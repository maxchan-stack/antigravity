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xchan/Downloads/"/>
    </mc:Choice>
  </mc:AlternateContent>
  <xr:revisionPtr revIDLastSave="0" documentId="13_ncr:1_{7662F223-0DF9-D747-88CD-9B465B605BE3}" xr6:coauthVersionLast="47" xr6:coauthVersionMax="47" xr10:uidLastSave="{00000000-0000-0000-0000-000000000000}"/>
  <bookViews>
    <workbookView xWindow="0" yWindow="760" windowWidth="19640" windowHeight="15880" tabRatio="909" xr2:uid="{00000000-000D-0000-FFFF-FFFF00000000}"/>
  </bookViews>
  <sheets>
    <sheet name="一年級" sheetId="123" r:id="rId1"/>
    <sheet name="二年級" sheetId="118" r:id="rId2"/>
    <sheet name="三年級" sheetId="124" r:id="rId3"/>
    <sheet name="休退轉出" sheetId="120" r:id="rId4"/>
    <sheet name="復學轉入" sheetId="131" r:id="rId5"/>
    <sheet name="更正" sheetId="125" r:id="rId6"/>
    <sheet name="查表" sheetId="112" r:id="rId7"/>
    <sheet name="總表" sheetId="130" r:id="rId8"/>
    <sheet name="班級" sheetId="132" r:id="rId9"/>
    <sheet name="同科同名" sheetId="133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0" hidden="1">一年級!$A$2:$CQ$46</definedName>
    <definedName name="_xlnm._FilterDatabase" localSheetId="1" hidden="1">二年級!$CR$2:$CV$46</definedName>
    <definedName name="_xlnm._FilterDatabase" localSheetId="2" hidden="1">三年級!$A$2:$CQ$46</definedName>
    <definedName name="_xlnm._FilterDatabase" localSheetId="3" hidden="1">休退轉出!$A$1:$R$393</definedName>
    <definedName name="_xlnm._FilterDatabase" localSheetId="6" hidden="1">查表!$A$1:$S$1903</definedName>
    <definedName name="_xlnm._FilterDatabase" localSheetId="4" hidden="1">復學轉入!$A$1:$N$1</definedName>
    <definedName name="_xlnm._FilterDatabase" localSheetId="7" hidden="1">總表!$A$1:$S$25</definedName>
    <definedName name="Account" localSheetId="1">#REF!</definedName>
    <definedName name="Account" localSheetId="7">#REF!</definedName>
    <definedName name="Account">#REF!</definedName>
    <definedName name="ClassName" localSheetId="1">#REF!</definedName>
    <definedName name="ClassName" localSheetId="7">#REF!</definedName>
    <definedName name="ClassName">#REF!</definedName>
    <definedName name="ClassName2" localSheetId="1">'[1]月考(平時)成績輸入表單'!$F$3</definedName>
    <definedName name="ClassName2" localSheetId="7">'[2]月考(平時)成績輸入表單'!$F$3</definedName>
    <definedName name="ClassName2">'[3]月考(平時)成績輸入表單'!$F$3</definedName>
    <definedName name="_xlnm.Database" localSheetId="1">'[1]月考(平時)成績輸入表單'!$A$5:$I$75</definedName>
    <definedName name="_xlnm.Database" localSheetId="7">'[2]月考(平時)成績輸入表單'!$A$5:$I$75</definedName>
    <definedName name="_xlnm.Database">'[3]月考(平時)成績輸入表單'!$A$5:$I$75</definedName>
    <definedName name="iv">#REF!</definedName>
    <definedName name="Password" localSheetId="1">#REF!</definedName>
    <definedName name="Password" localSheetId="7">#REF!</definedName>
    <definedName name="Password">#REF!</definedName>
    <definedName name="Present1" localSheetId="1">'[1]月考(平時)成績輸入表單'!$N$3</definedName>
    <definedName name="Present1" localSheetId="7">'[2]月考(平時)成績輸入表單'!$N$3</definedName>
    <definedName name="Present1">'[3]月考(平時)成績輸入表單'!$N$3</definedName>
    <definedName name="Present2" localSheetId="1">'[1]月考(平時)成績輸入表單'!$O$3</definedName>
    <definedName name="Present2" localSheetId="7">'[2]月考(平時)成績輸入表單'!$O$3</definedName>
    <definedName name="Present2">'[3]月考(平時)成績輸入表單'!$O$3</definedName>
    <definedName name="Present3" localSheetId="1">'[1]月考(平時)成績輸入表單'!$P$3</definedName>
    <definedName name="Present3" localSheetId="7">'[2]月考(平時)成績輸入表單'!$P$3</definedName>
    <definedName name="Present3">'[3]月考(平時)成績輸入表單'!$P$3</definedName>
    <definedName name="_xlnm.Print_Area" localSheetId="0">一年級!$A$1:$CQ$49</definedName>
    <definedName name="_xlnm.Print_Area" localSheetId="1">二年級!$A$1:$CV$49</definedName>
    <definedName name="_xlnm.Print_Area" localSheetId="2">三年級!$A$1:$CQ$49</definedName>
    <definedName name="_xlnm.Print_Area" localSheetId="3">休退轉出!$B$1:$K$396</definedName>
    <definedName name="_xlnm.Print_Area" localSheetId="5">更正!$A$1:$M$6</definedName>
    <definedName name="_xlnm.Print_Area" localSheetId="6">查表!$A$1:$G$73</definedName>
    <definedName name="_xlnm.Print_Area" localSheetId="4">復學轉入!$A$1:$N$7</definedName>
    <definedName name="_xlnm.Print_Area" localSheetId="7">總表!$A$1:$S$39</definedName>
    <definedName name="SchoolYear" localSheetId="1">#REF!</definedName>
    <definedName name="SchoolYear" localSheetId="7">#REF!</definedName>
    <definedName name="SchoolYear">#REF!</definedName>
    <definedName name="SchoolYear2" localSheetId="1">'[1]月考(平時)成績輸入表單'!$D$3</definedName>
    <definedName name="SchoolYear2" localSheetId="7">'[2]月考(平時)成績輸入表單'!$D$3</definedName>
    <definedName name="SchoolYear2">'[3]月考(平時)成績輸入表單'!$D$3</definedName>
    <definedName name="Score1" localSheetId="1">[4]成績一覽表!$C$9:$C$58,[4]成績一覽表!$E$9:$E$58,[4]成績一覽表!$G$9:$G$58,[4]成績一覽表!$I$9:$I$58</definedName>
    <definedName name="Score1" localSheetId="7">[5]成績一覽表!$C$9:$C$58,[5]成績一覽表!$E$9:$E$58,[5]成績一覽表!$G$9:$G$58,[5]成績一覽表!$I$9:$I$58</definedName>
    <definedName name="Score1">[6]成績一覽表!$C$9:$C$58,[6]成績一覽表!$E$9:$E$58,[6]成績一覽表!$G$9:$G$58,[6]成績一覽表!$I$9:$I$58</definedName>
    <definedName name="ScoreAll" localSheetId="1">[4]成績簿!$D$6:$P$50,[4]成績簿!$S$6:$S$50,[4]成績簿!$T$6:$T$50,[4]成績簿!$W$6:$W$50,[4]成績簿!#REF!</definedName>
    <definedName name="ScoreAll" localSheetId="7">[5]成績簿!$D$6:$P$50,[5]成績簿!$S$6:$S$50,[5]成績簿!$T$6:$T$50,[5]成績簿!$W$6:$W$50,[5]成績簿!#REF!</definedName>
    <definedName name="ScoreAll">[6]成績簿!$D$6:$P$50,[6]成績簿!$S$6:$S$50,[6]成績簿!$T$6:$T$50,[6]成績簿!$W$6:$W$50,[6]成績簿!#REF!</definedName>
    <definedName name="Semester" localSheetId="1">#REF!</definedName>
    <definedName name="Semester" localSheetId="7">#REF!</definedName>
    <definedName name="Semester">#REF!</definedName>
    <definedName name="Semester2" localSheetId="1">'[1]月考(平時)成績輸入表單'!$E$3</definedName>
    <definedName name="Semester2" localSheetId="7">'[2]月考(平時)成績輸入表單'!$E$3</definedName>
    <definedName name="Semester2">'[3]月考(平時)成績輸入表單'!$E$3</definedName>
    <definedName name="SSN" localSheetId="1">'[1]月考(平時)成績輸入表單'!#REF!</definedName>
    <definedName name="SSN" localSheetId="7">'[2]月考(平時)成績輸入表單'!#REF!</definedName>
    <definedName name="SSN">'[3]月考(平時)成績輸入表單'!#REF!</definedName>
    <definedName name="StudentNum" localSheetId="1">#REF!</definedName>
    <definedName name="StudentNum" localSheetId="7">#REF!</definedName>
    <definedName name="StudentNum">#REF!</definedName>
    <definedName name="SubjectName" localSheetId="1">#REF!</definedName>
    <definedName name="SubjectName" localSheetId="7">#REF!</definedName>
    <definedName name="SubjectName">#REF!</definedName>
    <definedName name="SubjName" localSheetId="1">'[1]月考(平時)成績輸入表單'!$H$3</definedName>
    <definedName name="SubjName" localSheetId="7">'[2]月考(平時)成績輸入表單'!$H$3</definedName>
    <definedName name="SubjName">'[3]月考(平時)成績輸入表單'!$H$3</definedName>
    <definedName name="Teacher" localSheetId="1">'[1]月考(平時)成績輸入表單'!$J$3</definedName>
    <definedName name="Teacher" localSheetId="7">'[2]月考(平時)成績輸入表單'!$J$3</definedName>
    <definedName name="Teacher">'[3]月考(平時)成績輸入表單'!$J$3</definedName>
    <definedName name="TeacherID" localSheetId="1">#REF!</definedName>
    <definedName name="TeacherID" localSheetId="7">#REF!</definedName>
    <definedName name="TeacherID">#REF!</definedName>
    <definedName name="TeacherName" localSheetId="1">#REF!</definedName>
    <definedName name="TeacherName" localSheetId="7">#REF!</definedName>
    <definedName name="TeacherName">#REF!</definedName>
    <definedName name="txtSchoolYear" localSheetId="1">#REF!</definedName>
    <definedName name="txtSchoolYear" localSheetId="7">#REF!</definedName>
    <definedName name="txtSchoolYear">#REF!</definedName>
    <definedName name="txtSemester" localSheetId="1">#REF!</definedName>
    <definedName name="txtSemester" localSheetId="7">#REF!</definedName>
    <definedName name="txtSemester">#REF!</definedName>
    <definedName name="txtTeacherName" localSheetId="1">#REF!</definedName>
    <definedName name="txtTeacherName" localSheetId="7">#REF!</definedName>
    <definedName name="txtTeacherName">#REF!</definedName>
    <definedName name="urlWebServer" localSheetId="1">#REF!</definedName>
    <definedName name="urlWebServer" localSheetId="7">#REF!</definedName>
    <definedName name="urlWebServer">#REF!</definedName>
    <definedName name="班級">[7]Sheet3!$A$2:$A$61</definedName>
  </definedNames>
  <calcPr calcId="191029"/>
  <pivotCaches>
    <pivotCache cacheId="0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92" i="120" l="1"/>
  <c r="A390" i="120"/>
  <c r="A389" i="120"/>
  <c r="A388" i="120"/>
  <c r="A387" i="120"/>
  <c r="A386" i="120" l="1"/>
  <c r="A376" i="120" l="1"/>
  <c r="A377" i="120"/>
  <c r="A378" i="120"/>
  <c r="A379" i="120"/>
  <c r="A380" i="120"/>
  <c r="A381" i="120"/>
  <c r="A382" i="120"/>
  <c r="A383" i="120"/>
  <c r="A384" i="120"/>
  <c r="A385" i="120"/>
  <c r="R6" i="112" l="1"/>
  <c r="R5" i="112"/>
  <c r="L14" i="131" l="1"/>
  <c r="L7" i="131"/>
  <c r="L8" i="131"/>
  <c r="L9" i="131"/>
  <c r="L10" i="131"/>
  <c r="L11" i="131"/>
  <c r="L12" i="131"/>
  <c r="L13" i="131"/>
  <c r="J23" i="130"/>
  <c r="I23" i="130"/>
  <c r="K23" i="130" l="1"/>
  <c r="A367" i="120" l="1"/>
  <c r="A369" i="120"/>
  <c r="A370" i="120"/>
  <c r="A371" i="120"/>
  <c r="A372" i="120"/>
  <c r="A373" i="120"/>
  <c r="A374" i="120"/>
  <c r="A375" i="120"/>
  <c r="A391" i="120"/>
  <c r="R7" i="112" l="1"/>
  <c r="A365" i="120" l="1"/>
  <c r="A366" i="120"/>
  <c r="A364" i="120" l="1"/>
  <c r="A361" i="120"/>
  <c r="A362" i="120"/>
  <c r="A363" i="120"/>
  <c r="A360" i="120" l="1"/>
  <c r="A357" i="120" l="1"/>
  <c r="A358" i="120"/>
  <c r="A359" i="120"/>
  <c r="A345" i="120" l="1"/>
  <c r="A346" i="120"/>
  <c r="A347" i="120"/>
  <c r="A348" i="120"/>
  <c r="A349" i="120"/>
  <c r="A350" i="120"/>
  <c r="A351" i="120"/>
  <c r="A352" i="120"/>
  <c r="A353" i="120"/>
  <c r="A354" i="120"/>
  <c r="A355" i="120"/>
  <c r="A356" i="120"/>
  <c r="L6" i="131" l="1"/>
  <c r="A342" i="120" l="1"/>
  <c r="A343" i="120"/>
  <c r="A344" i="120"/>
  <c r="A341" i="120" l="1"/>
  <c r="A339" i="120" l="1"/>
  <c r="A340" i="120"/>
  <c r="A335" i="120" l="1"/>
  <c r="A336" i="120"/>
  <c r="A337" i="120"/>
  <c r="A338" i="120"/>
  <c r="A334" i="120" l="1"/>
  <c r="A329" i="120" l="1"/>
  <c r="A330" i="120"/>
  <c r="A331" i="120"/>
  <c r="A332" i="120"/>
  <c r="A333" i="120"/>
  <c r="A328" i="120" l="1"/>
  <c r="A320" i="120" l="1"/>
  <c r="A321" i="120"/>
  <c r="A322" i="120"/>
  <c r="A323" i="120"/>
  <c r="A324" i="120"/>
  <c r="A325" i="120"/>
  <c r="A326" i="120"/>
  <c r="A327" i="120"/>
  <c r="A319" i="120" l="1"/>
  <c r="A317" i="120"/>
  <c r="A318" i="120"/>
  <c r="A316" i="120" l="1"/>
  <c r="A313" i="120"/>
  <c r="A314" i="120"/>
  <c r="A315" i="120"/>
  <c r="A310" i="120" l="1"/>
  <c r="A311" i="120"/>
  <c r="A312" i="120"/>
  <c r="A308" i="120" l="1"/>
  <c r="A309" i="120"/>
  <c r="L4" i="131" l="1"/>
  <c r="L5" i="131"/>
  <c r="A306" i="120" l="1"/>
  <c r="A307" i="120"/>
  <c r="A305" i="120" l="1"/>
  <c r="A304" i="120" l="1"/>
  <c r="A301" i="120"/>
  <c r="A302" i="120"/>
  <c r="A303" i="120"/>
  <c r="A300" i="120" l="1"/>
  <c r="A299" i="120" l="1"/>
  <c r="A298" i="120" l="1"/>
  <c r="A293" i="120" l="1"/>
  <c r="A294" i="120"/>
  <c r="A295" i="120"/>
  <c r="A296" i="120"/>
  <c r="A297" i="120"/>
  <c r="A292" i="120"/>
  <c r="A291" i="120"/>
  <c r="A289" i="120"/>
  <c r="A290" i="120"/>
  <c r="A284" i="120"/>
  <c r="A285" i="120"/>
  <c r="A286" i="120"/>
  <c r="A287" i="120"/>
  <c r="A288" i="120"/>
  <c r="A283" i="120"/>
  <c r="A282" i="120"/>
  <c r="A281" i="120"/>
  <c r="A280" i="120"/>
  <c r="A279" i="120"/>
  <c r="A270" i="120"/>
  <c r="A271" i="120"/>
  <c r="A272" i="120"/>
  <c r="A273" i="120"/>
  <c r="A274" i="120"/>
  <c r="A275" i="120"/>
  <c r="A276" i="120"/>
  <c r="A277" i="120"/>
  <c r="A278" i="120"/>
  <c r="A269" i="120"/>
  <c r="A266" i="120"/>
  <c r="A267" i="120"/>
  <c r="A268" i="120"/>
  <c r="L3" i="131"/>
  <c r="A265" i="120"/>
  <c r="A264" i="120"/>
  <c r="A262" i="120"/>
  <c r="A263" i="120"/>
  <c r="A261" i="120"/>
  <c r="A259" i="120"/>
  <c r="A260" i="120"/>
  <c r="A258" i="120"/>
  <c r="G2" i="112"/>
  <c r="G3" i="112"/>
  <c r="G4" i="112"/>
  <c r="G5" i="112"/>
  <c r="G6" i="112"/>
  <c r="G7" i="112"/>
  <c r="G8" i="112"/>
  <c r="G9" i="112"/>
  <c r="G10" i="112"/>
  <c r="G11" i="112"/>
  <c r="G12" i="112"/>
  <c r="G13" i="112"/>
  <c r="G14" i="112"/>
  <c r="G15" i="112"/>
  <c r="G16" i="112"/>
  <c r="G17" i="112"/>
  <c r="G18" i="112"/>
  <c r="G19" i="112"/>
  <c r="G20" i="112"/>
  <c r="G21" i="112"/>
  <c r="G22" i="112"/>
  <c r="G23" i="112"/>
  <c r="G24" i="112"/>
  <c r="G25" i="112"/>
  <c r="G26" i="112"/>
  <c r="G27" i="112"/>
  <c r="G28" i="112"/>
  <c r="G29" i="112"/>
  <c r="G30" i="112"/>
  <c r="G31" i="112"/>
  <c r="G32" i="112"/>
  <c r="G33" i="112"/>
  <c r="G34" i="112"/>
  <c r="G35" i="112"/>
  <c r="G36" i="112"/>
  <c r="G37" i="112"/>
  <c r="G38" i="112"/>
  <c r="G39" i="112"/>
  <c r="G40" i="112"/>
  <c r="G41" i="112"/>
  <c r="G42" i="112"/>
  <c r="G43" i="112"/>
  <c r="G44" i="112"/>
  <c r="G45" i="112"/>
  <c r="G46" i="112"/>
  <c r="G47" i="112"/>
  <c r="G48" i="112"/>
  <c r="G49" i="112"/>
  <c r="G50" i="112"/>
  <c r="G51" i="112"/>
  <c r="G52" i="112"/>
  <c r="G53" i="112"/>
  <c r="G54" i="112"/>
  <c r="G55" i="112"/>
  <c r="G56" i="112"/>
  <c r="G57" i="112"/>
  <c r="G58" i="112"/>
  <c r="G59" i="112"/>
  <c r="G60" i="112"/>
  <c r="G61" i="112"/>
  <c r="G62" i="112"/>
  <c r="G63" i="112"/>
  <c r="G64" i="112"/>
  <c r="G65" i="112"/>
  <c r="G66" i="112"/>
  <c r="G67" i="112"/>
  <c r="G68" i="112"/>
  <c r="G69" i="112"/>
  <c r="G70" i="112"/>
  <c r="G71" i="112"/>
  <c r="G72" i="112"/>
  <c r="G73" i="112"/>
  <c r="G74" i="112"/>
  <c r="G75" i="112"/>
  <c r="G76" i="112"/>
  <c r="G77" i="112"/>
  <c r="G78" i="112"/>
  <c r="G79" i="112"/>
  <c r="G80" i="112"/>
  <c r="G81" i="112"/>
  <c r="G82" i="112"/>
  <c r="G83" i="112"/>
  <c r="G84" i="112"/>
  <c r="G85" i="112"/>
  <c r="G86" i="112"/>
  <c r="G87" i="112"/>
  <c r="G88" i="112"/>
  <c r="G89" i="112"/>
  <c r="G90" i="112"/>
  <c r="G91" i="112"/>
  <c r="G92" i="112"/>
  <c r="G93" i="112"/>
  <c r="G94" i="112"/>
  <c r="G95" i="112"/>
  <c r="G96" i="112"/>
  <c r="G97" i="112"/>
  <c r="G98" i="112"/>
  <c r="G99" i="112"/>
  <c r="G100" i="112"/>
  <c r="G101" i="112"/>
  <c r="G102" i="112"/>
  <c r="G103" i="112"/>
  <c r="G104" i="112"/>
  <c r="G105" i="112"/>
  <c r="G106" i="112"/>
  <c r="G107" i="112"/>
  <c r="G108" i="112"/>
  <c r="G109" i="112"/>
  <c r="G110" i="112"/>
  <c r="G111" i="112"/>
  <c r="G112" i="112"/>
  <c r="G113" i="112"/>
  <c r="G114" i="112"/>
  <c r="G115" i="112"/>
  <c r="G116" i="112"/>
  <c r="G117" i="112"/>
  <c r="G118" i="112"/>
  <c r="G119" i="112"/>
  <c r="G120" i="112"/>
  <c r="G121" i="112"/>
  <c r="G122" i="112"/>
  <c r="G123" i="112"/>
  <c r="G124" i="112"/>
  <c r="G125" i="112"/>
  <c r="G126" i="112"/>
  <c r="G127" i="112"/>
  <c r="G128" i="112"/>
  <c r="G129" i="112"/>
  <c r="G130" i="112"/>
  <c r="G131" i="112"/>
  <c r="G132" i="112"/>
  <c r="G133" i="112"/>
  <c r="G134" i="112"/>
  <c r="G135" i="112"/>
  <c r="G136" i="112"/>
  <c r="G137" i="112"/>
  <c r="G138" i="112"/>
  <c r="G139" i="112"/>
  <c r="G140" i="112"/>
  <c r="G141" i="112"/>
  <c r="G142" i="112"/>
  <c r="G143" i="112"/>
  <c r="G144" i="112"/>
  <c r="G145" i="112"/>
  <c r="G146" i="112"/>
  <c r="G147" i="112"/>
  <c r="G148" i="112"/>
  <c r="G149" i="112"/>
  <c r="G150" i="112"/>
  <c r="G151" i="112"/>
  <c r="G152" i="112"/>
  <c r="G153" i="112"/>
  <c r="G154" i="112"/>
  <c r="G155" i="112"/>
  <c r="G156" i="112"/>
  <c r="G157" i="112"/>
  <c r="G158" i="112"/>
  <c r="G159" i="112"/>
  <c r="G160" i="112"/>
  <c r="G161" i="112"/>
  <c r="G162" i="112"/>
  <c r="G163" i="112"/>
  <c r="G164" i="112"/>
  <c r="G165" i="112"/>
  <c r="G166" i="112"/>
  <c r="G167" i="112"/>
  <c r="G168" i="112"/>
  <c r="G169" i="112"/>
  <c r="G170" i="112"/>
  <c r="G171" i="112"/>
  <c r="G172" i="112"/>
  <c r="G173" i="112"/>
  <c r="G174" i="112"/>
  <c r="G175" i="112"/>
  <c r="G176" i="112"/>
  <c r="G177" i="112"/>
  <c r="G178" i="112"/>
  <c r="G179" i="112"/>
  <c r="G180" i="112"/>
  <c r="G181" i="112"/>
  <c r="G182" i="112"/>
  <c r="G183" i="112"/>
  <c r="G184" i="112"/>
  <c r="G185" i="112"/>
  <c r="G186" i="112"/>
  <c r="G187" i="112"/>
  <c r="G188" i="112"/>
  <c r="G189" i="112"/>
  <c r="G190" i="112"/>
  <c r="G191" i="112"/>
  <c r="G192" i="112"/>
  <c r="G193" i="112"/>
  <c r="G194" i="112"/>
  <c r="G195" i="112"/>
  <c r="G196" i="112"/>
  <c r="G197" i="112"/>
  <c r="G198" i="112"/>
  <c r="G199" i="112"/>
  <c r="G200" i="112"/>
  <c r="G201" i="112"/>
  <c r="G202" i="112"/>
  <c r="G203" i="112"/>
  <c r="G204" i="112"/>
  <c r="G205" i="112"/>
  <c r="G206" i="112"/>
  <c r="G207" i="112"/>
  <c r="G208" i="112"/>
  <c r="G209" i="112"/>
  <c r="G210" i="112"/>
  <c r="G211" i="112"/>
  <c r="G212" i="112"/>
  <c r="G213" i="112"/>
  <c r="G214" i="112"/>
  <c r="G215" i="112"/>
  <c r="G216" i="112"/>
  <c r="G217" i="112"/>
  <c r="G218" i="112"/>
  <c r="G219" i="112"/>
  <c r="G220" i="112"/>
  <c r="G221" i="112"/>
  <c r="G222" i="112"/>
  <c r="G223" i="112"/>
  <c r="G224" i="112"/>
  <c r="G225" i="112"/>
  <c r="G226" i="112"/>
  <c r="G227" i="112"/>
  <c r="G228" i="112"/>
  <c r="G229" i="112"/>
  <c r="G230" i="112"/>
  <c r="G231" i="112"/>
  <c r="G232" i="112"/>
  <c r="G233" i="112"/>
  <c r="G234" i="112"/>
  <c r="G235" i="112"/>
  <c r="G236" i="112"/>
  <c r="G237" i="112"/>
  <c r="G238" i="112"/>
  <c r="G239" i="112"/>
  <c r="G240" i="112"/>
  <c r="G241" i="112"/>
  <c r="G242" i="112"/>
  <c r="G243" i="112"/>
  <c r="G244" i="112"/>
  <c r="G245" i="112"/>
  <c r="G246" i="112"/>
  <c r="G247" i="112"/>
  <c r="G248" i="112"/>
  <c r="G249" i="112"/>
  <c r="G250" i="112"/>
  <c r="G251" i="112"/>
  <c r="G252" i="112"/>
  <c r="G253" i="112"/>
  <c r="G254" i="112"/>
  <c r="G255" i="112"/>
  <c r="G256" i="112"/>
  <c r="G257" i="112"/>
  <c r="G258" i="112"/>
  <c r="G259" i="112"/>
  <c r="G260" i="112"/>
  <c r="G261" i="112"/>
  <c r="G262" i="112"/>
  <c r="G263" i="112"/>
  <c r="G264" i="112"/>
  <c r="G265" i="112"/>
  <c r="G266" i="112"/>
  <c r="G267" i="112"/>
  <c r="G268" i="112"/>
  <c r="G269" i="112"/>
  <c r="G270" i="112"/>
  <c r="G271" i="112"/>
  <c r="G272" i="112"/>
  <c r="G273" i="112"/>
  <c r="G274" i="112"/>
  <c r="G275" i="112"/>
  <c r="G276" i="112"/>
  <c r="G277" i="112"/>
  <c r="G278" i="112"/>
  <c r="G279" i="112"/>
  <c r="G280" i="112"/>
  <c r="G281" i="112"/>
  <c r="G282" i="112"/>
  <c r="G283" i="112"/>
  <c r="G284" i="112"/>
  <c r="G285" i="112"/>
  <c r="G286" i="112"/>
  <c r="G287" i="112"/>
  <c r="G288" i="112"/>
  <c r="G289" i="112"/>
  <c r="G290" i="112"/>
  <c r="G291" i="112"/>
  <c r="G292" i="112"/>
  <c r="G293" i="112"/>
  <c r="G294" i="112"/>
  <c r="G295" i="112"/>
  <c r="G296" i="112"/>
  <c r="G297" i="112"/>
  <c r="G298" i="112"/>
  <c r="G299" i="112"/>
  <c r="G300" i="112"/>
  <c r="G301" i="112"/>
  <c r="G302" i="112"/>
  <c r="G303" i="112"/>
  <c r="G304" i="112"/>
  <c r="G305" i="112"/>
  <c r="G306" i="112"/>
  <c r="G307" i="112"/>
  <c r="G308" i="112"/>
  <c r="G309" i="112"/>
  <c r="G310" i="112"/>
  <c r="G311" i="112"/>
  <c r="G312" i="112"/>
  <c r="G313" i="112"/>
  <c r="G314" i="112"/>
  <c r="G315" i="112"/>
  <c r="G316" i="112"/>
  <c r="G317" i="112"/>
  <c r="G318" i="112"/>
  <c r="G319" i="112"/>
  <c r="G320" i="112"/>
  <c r="G321" i="112"/>
  <c r="G322" i="112"/>
  <c r="G323" i="112"/>
  <c r="G324" i="112"/>
  <c r="G325" i="112"/>
  <c r="G326" i="112"/>
  <c r="G327" i="112"/>
  <c r="G328" i="112"/>
  <c r="G329" i="112"/>
  <c r="G330" i="112"/>
  <c r="G331" i="112"/>
  <c r="G332" i="112"/>
  <c r="G333" i="112"/>
  <c r="G334" i="112"/>
  <c r="G335" i="112"/>
  <c r="G336" i="112"/>
  <c r="G337" i="112"/>
  <c r="G338" i="112"/>
  <c r="G339" i="112"/>
  <c r="G340" i="112"/>
  <c r="G341" i="112"/>
  <c r="G342" i="112"/>
  <c r="G343" i="112"/>
  <c r="G344" i="112"/>
  <c r="G345" i="112"/>
  <c r="G346" i="112"/>
  <c r="G347" i="112"/>
  <c r="G348" i="112"/>
  <c r="G349" i="112"/>
  <c r="G350" i="112"/>
  <c r="G351" i="112"/>
  <c r="G352" i="112"/>
  <c r="G353" i="112"/>
  <c r="G354" i="112"/>
  <c r="G355" i="112"/>
  <c r="G356" i="112"/>
  <c r="G357" i="112"/>
  <c r="G358" i="112"/>
  <c r="G359" i="112"/>
  <c r="G360" i="112"/>
  <c r="G361" i="112"/>
  <c r="G362" i="112"/>
  <c r="G363" i="112"/>
  <c r="G364" i="112"/>
  <c r="G365" i="112"/>
  <c r="G366" i="112"/>
  <c r="G367" i="112"/>
  <c r="G368" i="112"/>
  <c r="G369" i="112"/>
  <c r="G370" i="112"/>
  <c r="G371" i="112"/>
  <c r="G372" i="112"/>
  <c r="G373" i="112"/>
  <c r="G374" i="112"/>
  <c r="G375" i="112"/>
  <c r="G376" i="112"/>
  <c r="G377" i="112"/>
  <c r="G378" i="112"/>
  <c r="G379" i="112"/>
  <c r="G380" i="112"/>
  <c r="G381" i="112"/>
  <c r="G382" i="112"/>
  <c r="G383" i="112"/>
  <c r="G384" i="112"/>
  <c r="G385" i="112"/>
  <c r="G386" i="112"/>
  <c r="G387" i="112"/>
  <c r="G388" i="112"/>
  <c r="G389" i="112"/>
  <c r="G390" i="112"/>
  <c r="G391" i="112"/>
  <c r="G392" i="112"/>
  <c r="G393" i="112"/>
  <c r="G394" i="112"/>
  <c r="G395" i="112"/>
  <c r="G396" i="112"/>
  <c r="G397" i="112"/>
  <c r="G398" i="112"/>
  <c r="G399" i="112"/>
  <c r="G400" i="112"/>
  <c r="G401" i="112"/>
  <c r="G402" i="112"/>
  <c r="G403" i="112"/>
  <c r="G404" i="112"/>
  <c r="G405" i="112"/>
  <c r="G406" i="112"/>
  <c r="G407" i="112"/>
  <c r="G408" i="112"/>
  <c r="G409" i="112"/>
  <c r="G410" i="112"/>
  <c r="G411" i="112"/>
  <c r="G412" i="112"/>
  <c r="G413" i="112"/>
  <c r="G414" i="112"/>
  <c r="G415" i="112"/>
  <c r="G416" i="112"/>
  <c r="G417" i="112"/>
  <c r="G418" i="112"/>
  <c r="G419" i="112"/>
  <c r="G420" i="112"/>
  <c r="G421" i="112"/>
  <c r="G422" i="112"/>
  <c r="G423" i="112"/>
  <c r="G424" i="112"/>
  <c r="G425" i="112"/>
  <c r="G426" i="112"/>
  <c r="G427" i="112"/>
  <c r="G428" i="112"/>
  <c r="G429" i="112"/>
  <c r="G430" i="112"/>
  <c r="G431" i="112"/>
  <c r="G432" i="112"/>
  <c r="G433" i="112"/>
  <c r="G434" i="112"/>
  <c r="G435" i="112"/>
  <c r="G436" i="112"/>
  <c r="G437" i="112"/>
  <c r="G438" i="112"/>
  <c r="G439" i="112"/>
  <c r="G440" i="112"/>
  <c r="G441" i="112"/>
  <c r="G442" i="112"/>
  <c r="G443" i="112"/>
  <c r="G444" i="112"/>
  <c r="G445" i="112"/>
  <c r="G446" i="112"/>
  <c r="G447" i="112"/>
  <c r="G448" i="112"/>
  <c r="G449" i="112"/>
  <c r="G450" i="112"/>
  <c r="G451" i="112"/>
  <c r="G452" i="112"/>
  <c r="G453" i="112"/>
  <c r="G454" i="112"/>
  <c r="G455" i="112"/>
  <c r="G456" i="112"/>
  <c r="G457" i="112"/>
  <c r="G458" i="112"/>
  <c r="G459" i="112"/>
  <c r="G460" i="112"/>
  <c r="G461" i="112"/>
  <c r="G462" i="112"/>
  <c r="G463" i="112"/>
  <c r="G464" i="112"/>
  <c r="G465" i="112"/>
  <c r="G466" i="112"/>
  <c r="G467" i="112"/>
  <c r="G468" i="112"/>
  <c r="G469" i="112"/>
  <c r="G470" i="112"/>
  <c r="G471" i="112"/>
  <c r="G472" i="112"/>
  <c r="G473" i="112"/>
  <c r="G474" i="112"/>
  <c r="G475" i="112"/>
  <c r="G476" i="112"/>
  <c r="G477" i="112"/>
  <c r="G478" i="112"/>
  <c r="G479" i="112"/>
  <c r="G480" i="112"/>
  <c r="G481" i="112"/>
  <c r="G482" i="112"/>
  <c r="G483" i="112"/>
  <c r="G484" i="112"/>
  <c r="G485" i="112"/>
  <c r="G486" i="112"/>
  <c r="G487" i="112"/>
  <c r="G488" i="112"/>
  <c r="G489" i="112"/>
  <c r="G490" i="112"/>
  <c r="G491" i="112"/>
  <c r="G492" i="112"/>
  <c r="G493" i="112"/>
  <c r="G494" i="112"/>
  <c r="G495" i="112"/>
  <c r="G496" i="112"/>
  <c r="G497" i="112"/>
  <c r="G498" i="112"/>
  <c r="G499" i="112"/>
  <c r="G500" i="112"/>
  <c r="G501" i="112"/>
  <c r="G502" i="112"/>
  <c r="G503" i="112"/>
  <c r="G504" i="112"/>
  <c r="G505" i="112"/>
  <c r="G506" i="112"/>
  <c r="G507" i="112"/>
  <c r="G508" i="112"/>
  <c r="G509" i="112"/>
  <c r="G510" i="112"/>
  <c r="G511" i="112"/>
  <c r="G512" i="112"/>
  <c r="G513" i="112"/>
  <c r="G514" i="112"/>
  <c r="G515" i="112"/>
  <c r="G516" i="112"/>
  <c r="G517" i="112"/>
  <c r="G518" i="112"/>
  <c r="G519" i="112"/>
  <c r="G520" i="112"/>
  <c r="G521" i="112"/>
  <c r="G522" i="112"/>
  <c r="G523" i="112"/>
  <c r="G524" i="112"/>
  <c r="G525" i="112"/>
  <c r="G526" i="112"/>
  <c r="G527" i="112"/>
  <c r="G528" i="112"/>
  <c r="G529" i="112"/>
  <c r="G530" i="112"/>
  <c r="G531" i="112"/>
  <c r="G532" i="112"/>
  <c r="G533" i="112"/>
  <c r="G534" i="112"/>
  <c r="G535" i="112"/>
  <c r="G536" i="112"/>
  <c r="G537" i="112"/>
  <c r="G538" i="112"/>
  <c r="G539" i="112"/>
  <c r="G540" i="112"/>
  <c r="G541" i="112"/>
  <c r="G542" i="112"/>
  <c r="G543" i="112"/>
  <c r="G544" i="112"/>
  <c r="G545" i="112"/>
  <c r="G546" i="112"/>
  <c r="G547" i="112"/>
  <c r="G548" i="112"/>
  <c r="G549" i="112"/>
  <c r="G550" i="112"/>
  <c r="G551" i="112"/>
  <c r="G552" i="112"/>
  <c r="G553" i="112"/>
  <c r="G554" i="112"/>
  <c r="G555" i="112"/>
  <c r="G556" i="112"/>
  <c r="G557" i="112"/>
  <c r="G558" i="112"/>
  <c r="G559" i="112"/>
  <c r="G560" i="112"/>
  <c r="G561" i="112"/>
  <c r="G562" i="112"/>
  <c r="G563" i="112"/>
  <c r="G564" i="112"/>
  <c r="G565" i="112"/>
  <c r="G566" i="112"/>
  <c r="G567" i="112"/>
  <c r="G568" i="112"/>
  <c r="G569" i="112"/>
  <c r="G570" i="112"/>
  <c r="G571" i="112"/>
  <c r="G572" i="112"/>
  <c r="G573" i="112"/>
  <c r="G574" i="112"/>
  <c r="G575" i="112"/>
  <c r="G576" i="112"/>
  <c r="G577" i="112"/>
  <c r="G578" i="112"/>
  <c r="G579" i="112"/>
  <c r="G580" i="112"/>
  <c r="G581" i="112"/>
  <c r="G582" i="112"/>
  <c r="G583" i="112"/>
  <c r="G584" i="112"/>
  <c r="G585" i="112"/>
  <c r="G586" i="112"/>
  <c r="G587" i="112"/>
  <c r="G588" i="112"/>
  <c r="G589" i="112"/>
  <c r="G590" i="112"/>
  <c r="G591" i="112"/>
  <c r="G592" i="112"/>
  <c r="G593" i="112"/>
  <c r="G594" i="112"/>
  <c r="G595" i="112"/>
  <c r="G596" i="112"/>
  <c r="G597" i="112"/>
  <c r="G598" i="112"/>
  <c r="G599" i="112"/>
  <c r="G600" i="112"/>
  <c r="G601" i="112"/>
  <c r="G602" i="112"/>
  <c r="G603" i="112"/>
  <c r="G604" i="112"/>
  <c r="G605" i="112"/>
  <c r="G606" i="112"/>
  <c r="G607" i="112"/>
  <c r="G608" i="112"/>
  <c r="G609" i="112"/>
  <c r="G610" i="112"/>
  <c r="G611" i="112"/>
  <c r="G612" i="112"/>
  <c r="G613" i="112"/>
  <c r="G614" i="112"/>
  <c r="G615" i="112"/>
  <c r="G616" i="112"/>
  <c r="G617" i="112"/>
  <c r="G618" i="112"/>
  <c r="G619" i="112"/>
  <c r="G620" i="112"/>
  <c r="G621" i="112"/>
  <c r="G622" i="112"/>
  <c r="G623" i="112"/>
  <c r="G624" i="112"/>
  <c r="G625" i="112"/>
  <c r="G626" i="112"/>
  <c r="G627" i="112"/>
  <c r="G628" i="112"/>
  <c r="G629" i="112"/>
  <c r="G630" i="112"/>
  <c r="G631" i="112"/>
  <c r="G632" i="112"/>
  <c r="G633" i="112"/>
  <c r="G634" i="112"/>
  <c r="G635" i="112"/>
  <c r="G636" i="112"/>
  <c r="G637" i="112"/>
  <c r="G638" i="112"/>
  <c r="G639" i="112"/>
  <c r="G640" i="112"/>
  <c r="G641" i="112"/>
  <c r="G642" i="112"/>
  <c r="G643" i="112"/>
  <c r="G644" i="112"/>
  <c r="G645" i="112"/>
  <c r="G646" i="112"/>
  <c r="G647" i="112"/>
  <c r="G648" i="112"/>
  <c r="G649" i="112"/>
  <c r="G650" i="112"/>
  <c r="G651" i="112"/>
  <c r="G652" i="112"/>
  <c r="G653" i="112"/>
  <c r="G654" i="112"/>
  <c r="G655" i="112"/>
  <c r="G656" i="112"/>
  <c r="G657" i="112"/>
  <c r="G658" i="112"/>
  <c r="G659" i="112"/>
  <c r="G660" i="112"/>
  <c r="G661" i="112"/>
  <c r="G662" i="112"/>
  <c r="G663" i="112"/>
  <c r="G664" i="112"/>
  <c r="G665" i="112"/>
  <c r="G666" i="112"/>
  <c r="G667" i="112"/>
  <c r="G668" i="112"/>
  <c r="G669" i="112"/>
  <c r="G670" i="112"/>
  <c r="G671" i="112"/>
  <c r="G672" i="112"/>
  <c r="G673" i="112"/>
  <c r="G674" i="112"/>
  <c r="G675" i="112"/>
  <c r="G676" i="112"/>
  <c r="G677" i="112"/>
  <c r="G678" i="112"/>
  <c r="G679" i="112"/>
  <c r="G680" i="112"/>
  <c r="G681" i="112"/>
  <c r="G682" i="112"/>
  <c r="G683" i="112"/>
  <c r="G684" i="112"/>
  <c r="G685" i="112"/>
  <c r="G686" i="112"/>
  <c r="G687" i="112"/>
  <c r="G688" i="112"/>
  <c r="G689" i="112"/>
  <c r="G690" i="112"/>
  <c r="G691" i="112"/>
  <c r="G692" i="112"/>
  <c r="G693" i="112"/>
  <c r="G694" i="112"/>
  <c r="G695" i="112"/>
  <c r="G696" i="112"/>
  <c r="G697" i="112"/>
  <c r="G698" i="112"/>
  <c r="G699" i="112"/>
  <c r="G700" i="112"/>
  <c r="G701" i="112"/>
  <c r="G702" i="112"/>
  <c r="G703" i="112"/>
  <c r="G704" i="112"/>
  <c r="G705" i="112"/>
  <c r="G706" i="112"/>
  <c r="G707" i="112"/>
  <c r="G708" i="112"/>
  <c r="G709" i="112"/>
  <c r="G710" i="112"/>
  <c r="G711" i="112"/>
  <c r="G712" i="112"/>
  <c r="G713" i="112"/>
  <c r="G714" i="112"/>
  <c r="G715" i="112"/>
  <c r="G716" i="112"/>
  <c r="G717" i="112"/>
  <c r="G718" i="112"/>
  <c r="G719" i="112"/>
  <c r="G720" i="112"/>
  <c r="G721" i="112"/>
  <c r="G722" i="112"/>
  <c r="G723" i="112"/>
  <c r="G724" i="112"/>
  <c r="G725" i="112"/>
  <c r="G726" i="112"/>
  <c r="G727" i="112"/>
  <c r="G728" i="112"/>
  <c r="G729" i="112"/>
  <c r="G730" i="112"/>
  <c r="G731" i="112"/>
  <c r="G732" i="112"/>
  <c r="G733" i="112"/>
  <c r="G734" i="112"/>
  <c r="G735" i="112"/>
  <c r="G736" i="112"/>
  <c r="G737" i="112"/>
  <c r="G738" i="112"/>
  <c r="G739" i="112"/>
  <c r="G740" i="112"/>
  <c r="G741" i="112"/>
  <c r="G742" i="112"/>
  <c r="G743" i="112"/>
  <c r="G744" i="112"/>
  <c r="G745" i="112"/>
  <c r="G746" i="112"/>
  <c r="G747" i="112"/>
  <c r="G748" i="112"/>
  <c r="G749" i="112"/>
  <c r="G750" i="112"/>
  <c r="G751" i="112"/>
  <c r="G752" i="112"/>
  <c r="G753" i="112"/>
  <c r="G754" i="112"/>
  <c r="G755" i="112"/>
  <c r="G756" i="112"/>
  <c r="G757" i="112"/>
  <c r="G758" i="112"/>
  <c r="G759" i="112"/>
  <c r="G760" i="112"/>
  <c r="G761" i="112"/>
  <c r="G762" i="112"/>
  <c r="G763" i="112"/>
  <c r="G764" i="112"/>
  <c r="G765" i="112"/>
  <c r="G766" i="112"/>
  <c r="G767" i="112"/>
  <c r="G768" i="112"/>
  <c r="G769" i="112"/>
  <c r="G770" i="112"/>
  <c r="G771" i="112"/>
  <c r="G772" i="112"/>
  <c r="G773" i="112"/>
  <c r="G774" i="112"/>
  <c r="G775" i="112"/>
  <c r="G776" i="112"/>
  <c r="G777" i="112"/>
  <c r="G778" i="112"/>
  <c r="G779" i="112"/>
  <c r="G780" i="112"/>
  <c r="G781" i="112"/>
  <c r="G782" i="112"/>
  <c r="G783" i="112"/>
  <c r="G784" i="112"/>
  <c r="G785" i="112"/>
  <c r="G786" i="112"/>
  <c r="G787" i="112"/>
  <c r="G788" i="112"/>
  <c r="G789" i="112"/>
  <c r="G790" i="112"/>
  <c r="G791" i="112"/>
  <c r="G792" i="112"/>
  <c r="G793" i="112"/>
  <c r="G794" i="112"/>
  <c r="G795" i="112"/>
  <c r="G796" i="112"/>
  <c r="G797" i="112"/>
  <c r="G798" i="112"/>
  <c r="G799" i="112"/>
  <c r="G800" i="112"/>
  <c r="G801" i="112"/>
  <c r="G802" i="112"/>
  <c r="G803" i="112"/>
  <c r="G804" i="112"/>
  <c r="G805" i="112"/>
  <c r="G806" i="112"/>
  <c r="G807" i="112"/>
  <c r="G808" i="112"/>
  <c r="G809" i="112"/>
  <c r="G810" i="112"/>
  <c r="G811" i="112"/>
  <c r="G812" i="112"/>
  <c r="G813" i="112"/>
  <c r="G814" i="112"/>
  <c r="G815" i="112"/>
  <c r="G816" i="112"/>
  <c r="G817" i="112"/>
  <c r="G818" i="112"/>
  <c r="G819" i="112"/>
  <c r="G820" i="112"/>
  <c r="G821" i="112"/>
  <c r="G822" i="112"/>
  <c r="G823" i="112"/>
  <c r="G824" i="112"/>
  <c r="G825" i="112"/>
  <c r="G826" i="112"/>
  <c r="G827" i="112"/>
  <c r="G828" i="112"/>
  <c r="G829" i="112"/>
  <c r="G830" i="112"/>
  <c r="G831" i="112"/>
  <c r="G832" i="112"/>
  <c r="G833" i="112"/>
  <c r="G834" i="112"/>
  <c r="G835" i="112"/>
  <c r="G836" i="112"/>
  <c r="G837" i="112"/>
  <c r="G838" i="112"/>
  <c r="G839" i="112"/>
  <c r="G840" i="112"/>
  <c r="G841" i="112"/>
  <c r="G842" i="112"/>
  <c r="G843" i="112"/>
  <c r="G844" i="112"/>
  <c r="G845" i="112"/>
  <c r="G846" i="112"/>
  <c r="G847" i="112"/>
  <c r="G848" i="112"/>
  <c r="G849" i="112"/>
  <c r="G850" i="112"/>
  <c r="G851" i="112"/>
  <c r="G852" i="112"/>
  <c r="G853" i="112"/>
  <c r="G854" i="112"/>
  <c r="G855" i="112"/>
  <c r="G856" i="112"/>
  <c r="G857" i="112"/>
  <c r="G858" i="112"/>
  <c r="G859" i="112"/>
  <c r="G860" i="112"/>
  <c r="G861" i="112"/>
  <c r="G862" i="112"/>
  <c r="G863" i="112"/>
  <c r="G864" i="112"/>
  <c r="G865" i="112"/>
  <c r="G866" i="112"/>
  <c r="G867" i="112"/>
  <c r="G868" i="112"/>
  <c r="G869" i="112"/>
  <c r="G870" i="112"/>
  <c r="G871" i="112"/>
  <c r="G872" i="112"/>
  <c r="G873" i="112"/>
  <c r="G874" i="112"/>
  <c r="G875" i="112"/>
  <c r="G876" i="112"/>
  <c r="G877" i="112"/>
  <c r="G878" i="112"/>
  <c r="G879" i="112"/>
  <c r="G880" i="112"/>
  <c r="G881" i="112"/>
  <c r="G882" i="112"/>
  <c r="G883" i="112"/>
  <c r="G884" i="112"/>
  <c r="G885" i="112"/>
  <c r="G886" i="112"/>
  <c r="G887" i="112"/>
  <c r="G888" i="112"/>
  <c r="G889" i="112"/>
  <c r="G890" i="112"/>
  <c r="G891" i="112"/>
  <c r="G892" i="112"/>
  <c r="G893" i="112"/>
  <c r="G894" i="112"/>
  <c r="G895" i="112"/>
  <c r="G896" i="112"/>
  <c r="G897" i="112"/>
  <c r="G898" i="112"/>
  <c r="G899" i="112"/>
  <c r="G900" i="112"/>
  <c r="G901" i="112"/>
  <c r="G902" i="112"/>
  <c r="G903" i="112"/>
  <c r="G904" i="112"/>
  <c r="G905" i="112"/>
  <c r="G906" i="112"/>
  <c r="G907" i="112"/>
  <c r="G908" i="112"/>
  <c r="G909" i="112"/>
  <c r="G910" i="112"/>
  <c r="G911" i="112"/>
  <c r="G912" i="112"/>
  <c r="G913" i="112"/>
  <c r="G914" i="112"/>
  <c r="G915" i="112"/>
  <c r="G916" i="112"/>
  <c r="G917" i="112"/>
  <c r="G918" i="112"/>
  <c r="G919" i="112"/>
  <c r="G920" i="112"/>
  <c r="G921" i="112"/>
  <c r="G922" i="112"/>
  <c r="G923" i="112"/>
  <c r="G924" i="112"/>
  <c r="G925" i="112"/>
  <c r="G926" i="112"/>
  <c r="G927" i="112"/>
  <c r="G928" i="112"/>
  <c r="G929" i="112"/>
  <c r="G930" i="112"/>
  <c r="G931" i="112"/>
  <c r="G932" i="112"/>
  <c r="G933" i="112"/>
  <c r="G934" i="112"/>
  <c r="G935" i="112"/>
  <c r="G936" i="112"/>
  <c r="G937" i="112"/>
  <c r="G938" i="112"/>
  <c r="G939" i="112"/>
  <c r="G940" i="112"/>
  <c r="G941" i="112"/>
  <c r="G942" i="112"/>
  <c r="G943" i="112"/>
  <c r="G944" i="112"/>
  <c r="G945" i="112"/>
  <c r="G946" i="112"/>
  <c r="G947" i="112"/>
  <c r="G948" i="112"/>
  <c r="G949" i="112"/>
  <c r="G950" i="112"/>
  <c r="G951" i="112"/>
  <c r="G952" i="112"/>
  <c r="G953" i="112"/>
  <c r="G954" i="112"/>
  <c r="G955" i="112"/>
  <c r="G956" i="112"/>
  <c r="G957" i="112"/>
  <c r="G958" i="112"/>
  <c r="G959" i="112"/>
  <c r="G960" i="112"/>
  <c r="G961" i="112"/>
  <c r="G962" i="112"/>
  <c r="G963" i="112"/>
  <c r="G964" i="112"/>
  <c r="G965" i="112"/>
  <c r="G966" i="112"/>
  <c r="G967" i="112"/>
  <c r="G968" i="112"/>
  <c r="G969" i="112"/>
  <c r="G970" i="112"/>
  <c r="G971" i="112"/>
  <c r="G972" i="112"/>
  <c r="G973" i="112"/>
  <c r="G974" i="112"/>
  <c r="G975" i="112"/>
  <c r="G976" i="112"/>
  <c r="G977" i="112"/>
  <c r="G978" i="112"/>
  <c r="G979" i="112"/>
  <c r="G980" i="112"/>
  <c r="G981" i="112"/>
  <c r="G982" i="112"/>
  <c r="G983" i="112"/>
  <c r="G984" i="112"/>
  <c r="G985" i="112"/>
  <c r="G986" i="112"/>
  <c r="G987" i="112"/>
  <c r="G988" i="112"/>
  <c r="G989" i="112"/>
  <c r="G990" i="112"/>
  <c r="G991" i="112"/>
  <c r="G992" i="112"/>
  <c r="G993" i="112"/>
  <c r="G994" i="112"/>
  <c r="G995" i="112"/>
  <c r="G996" i="112"/>
  <c r="G997" i="112"/>
  <c r="G998" i="112"/>
  <c r="G999" i="112"/>
  <c r="G1000" i="112"/>
  <c r="G1001" i="112"/>
  <c r="G1002" i="112"/>
  <c r="G1003" i="112"/>
  <c r="G1004" i="112"/>
  <c r="G1005" i="112"/>
  <c r="G1006" i="112"/>
  <c r="G1007" i="112"/>
  <c r="G1008" i="112"/>
  <c r="G1009" i="112"/>
  <c r="G1010" i="112"/>
  <c r="G1011" i="112"/>
  <c r="G1012" i="112"/>
  <c r="G1013" i="112"/>
  <c r="G1014" i="112"/>
  <c r="G1015" i="112"/>
  <c r="G1016" i="112"/>
  <c r="G1017" i="112"/>
  <c r="G1018" i="112"/>
  <c r="G1019" i="112"/>
  <c r="G1020" i="112"/>
  <c r="G1021" i="112"/>
  <c r="G1022" i="112"/>
  <c r="G1023" i="112"/>
  <c r="G1024" i="112"/>
  <c r="G1025" i="112"/>
  <c r="G1026" i="112"/>
  <c r="G1027" i="112"/>
  <c r="G1028" i="112"/>
  <c r="G1029" i="112"/>
  <c r="G1030" i="112"/>
  <c r="G1031" i="112"/>
  <c r="G1032" i="112"/>
  <c r="G1033" i="112"/>
  <c r="G1034" i="112"/>
  <c r="G1035" i="112"/>
  <c r="G1036" i="112"/>
  <c r="G1037" i="112"/>
  <c r="G1038" i="112"/>
  <c r="G1039" i="112"/>
  <c r="G1040" i="112"/>
  <c r="G1041" i="112"/>
  <c r="G1042" i="112"/>
  <c r="G1043" i="112"/>
  <c r="G1044" i="112"/>
  <c r="G1045" i="112"/>
  <c r="G1046" i="112"/>
  <c r="G1047" i="112"/>
  <c r="G1048" i="112"/>
  <c r="G1049" i="112"/>
  <c r="G1050" i="112"/>
  <c r="G1051" i="112"/>
  <c r="G1052" i="112"/>
  <c r="G1053" i="112"/>
  <c r="G1054" i="112"/>
  <c r="G1055" i="112"/>
  <c r="G1056" i="112"/>
  <c r="G1057" i="112"/>
  <c r="G1058" i="112"/>
  <c r="G1059" i="112"/>
  <c r="G1060" i="112"/>
  <c r="G1061" i="112"/>
  <c r="G1062" i="112"/>
  <c r="G1063" i="112"/>
  <c r="G1064" i="112"/>
  <c r="G1065" i="112"/>
  <c r="G1066" i="112"/>
  <c r="G1067" i="112"/>
  <c r="G1068" i="112"/>
  <c r="G1069" i="112"/>
  <c r="G1070" i="112"/>
  <c r="G1071" i="112"/>
  <c r="G1072" i="112"/>
  <c r="G1073" i="112"/>
  <c r="G1074" i="112"/>
  <c r="G1075" i="112"/>
  <c r="G1076" i="112"/>
  <c r="G1077" i="112"/>
  <c r="G1078" i="112"/>
  <c r="G1079" i="112"/>
  <c r="G1080" i="112"/>
  <c r="G1081" i="112"/>
  <c r="G1082" i="112"/>
  <c r="G1083" i="112"/>
  <c r="G1084" i="112"/>
  <c r="G1085" i="112"/>
  <c r="G1086" i="112"/>
  <c r="G1087" i="112"/>
  <c r="G1088" i="112"/>
  <c r="G1089" i="112"/>
  <c r="G1090" i="112"/>
  <c r="G1091" i="112"/>
  <c r="G1092" i="112"/>
  <c r="G1093" i="112"/>
  <c r="G1094" i="112"/>
  <c r="G1095" i="112"/>
  <c r="G1096" i="112"/>
  <c r="G1097" i="112"/>
  <c r="G1098" i="112"/>
  <c r="G1099" i="112"/>
  <c r="G1100" i="112"/>
  <c r="G1101" i="112"/>
  <c r="G1102" i="112"/>
  <c r="G1103" i="112"/>
  <c r="G1104" i="112"/>
  <c r="G1105" i="112"/>
  <c r="G1106" i="112"/>
  <c r="G1107" i="112"/>
  <c r="G1108" i="112"/>
  <c r="G1109" i="112"/>
  <c r="G1110" i="112"/>
  <c r="G1111" i="112"/>
  <c r="G1112" i="112"/>
  <c r="G1113" i="112"/>
  <c r="G1114" i="112"/>
  <c r="G1115" i="112"/>
  <c r="G1116" i="112"/>
  <c r="G1117" i="112"/>
  <c r="G1118" i="112"/>
  <c r="G1119" i="112"/>
  <c r="G1120" i="112"/>
  <c r="G1121" i="112"/>
  <c r="G1122" i="112"/>
  <c r="G1123" i="112"/>
  <c r="G1124" i="112"/>
  <c r="G1125" i="112"/>
  <c r="G1126" i="112"/>
  <c r="G1127" i="112"/>
  <c r="G1128" i="112"/>
  <c r="G1129" i="112"/>
  <c r="G1130" i="112"/>
  <c r="G1131" i="112"/>
  <c r="G1132" i="112"/>
  <c r="G1133" i="112"/>
  <c r="G1134" i="112"/>
  <c r="G1135" i="112"/>
  <c r="G1136" i="112"/>
  <c r="G1137" i="112"/>
  <c r="G1138" i="112"/>
  <c r="G1139" i="112"/>
  <c r="G1140" i="112"/>
  <c r="G1141" i="112"/>
  <c r="G1142" i="112"/>
  <c r="G1143" i="112"/>
  <c r="G1144" i="112"/>
  <c r="G1145" i="112"/>
  <c r="G1146" i="112"/>
  <c r="G1147" i="112"/>
  <c r="G1148" i="112"/>
  <c r="G1149" i="112"/>
  <c r="G1150" i="112"/>
  <c r="G1151" i="112"/>
  <c r="G1152" i="112"/>
  <c r="G1153" i="112"/>
  <c r="G1154" i="112"/>
  <c r="G1155" i="112"/>
  <c r="G1156" i="112"/>
  <c r="G1157" i="112"/>
  <c r="G1158" i="112"/>
  <c r="G1159" i="112"/>
  <c r="G1160" i="112"/>
  <c r="G1161" i="112"/>
  <c r="G1162" i="112"/>
  <c r="G1163" i="112"/>
  <c r="G1164" i="112"/>
  <c r="G1165" i="112"/>
  <c r="G1166" i="112"/>
  <c r="G1167" i="112"/>
  <c r="G1168" i="112"/>
  <c r="G1169" i="112"/>
  <c r="G1170" i="112"/>
  <c r="G1171" i="112"/>
  <c r="G1172" i="112"/>
  <c r="G1173" i="112"/>
  <c r="G1174" i="112"/>
  <c r="G1175" i="112"/>
  <c r="G1176" i="112"/>
  <c r="G1177" i="112"/>
  <c r="G1178" i="112"/>
  <c r="G1179" i="112"/>
  <c r="G1180" i="112"/>
  <c r="G1181" i="112"/>
  <c r="G1182" i="112"/>
  <c r="G1183" i="112"/>
  <c r="G1184" i="112"/>
  <c r="G1185" i="112"/>
  <c r="G1186" i="112"/>
  <c r="G1187" i="112"/>
  <c r="G1188" i="112"/>
  <c r="G1189" i="112"/>
  <c r="G1190" i="112"/>
  <c r="G1191" i="112"/>
  <c r="G1192" i="112"/>
  <c r="G1193" i="112"/>
  <c r="G1194" i="112"/>
  <c r="G1195" i="112"/>
  <c r="G1196" i="112"/>
  <c r="G1197" i="112"/>
  <c r="G1198" i="112"/>
  <c r="G1199" i="112"/>
  <c r="G1200" i="112"/>
  <c r="G1201" i="112"/>
  <c r="G1202" i="112"/>
  <c r="G1203" i="112"/>
  <c r="G1204" i="112"/>
  <c r="G1205" i="112"/>
  <c r="G1206" i="112"/>
  <c r="G1207" i="112"/>
  <c r="G1208" i="112"/>
  <c r="G1209" i="112"/>
  <c r="G1210" i="112"/>
  <c r="G1211" i="112"/>
  <c r="G1212" i="112"/>
  <c r="G1213" i="112"/>
  <c r="G1214" i="112"/>
  <c r="G1215" i="112"/>
  <c r="G1216" i="112"/>
  <c r="G1217" i="112"/>
  <c r="G1218" i="112"/>
  <c r="G1219" i="112"/>
  <c r="G1220" i="112"/>
  <c r="G1221" i="112"/>
  <c r="G1222" i="112"/>
  <c r="G1223" i="112"/>
  <c r="G1224" i="112"/>
  <c r="G1225" i="112"/>
  <c r="G1226" i="112"/>
  <c r="G1227" i="112"/>
  <c r="G1228" i="112"/>
  <c r="G1229" i="112"/>
  <c r="G1230" i="112"/>
  <c r="G1231" i="112"/>
  <c r="G1232" i="112"/>
  <c r="G1233" i="112"/>
  <c r="G1234" i="112"/>
  <c r="G1235" i="112"/>
  <c r="G1236" i="112"/>
  <c r="G1237" i="112"/>
  <c r="G1238" i="112"/>
  <c r="G1239" i="112"/>
  <c r="G1240" i="112"/>
  <c r="G1241" i="112"/>
  <c r="G1242" i="112"/>
  <c r="G1243" i="112"/>
  <c r="G1244" i="112"/>
  <c r="G1245" i="112"/>
  <c r="G1246" i="112"/>
  <c r="G1247" i="112"/>
  <c r="G1248" i="112"/>
  <c r="G1249" i="112"/>
  <c r="G1250" i="112"/>
  <c r="G1251" i="112"/>
  <c r="G1252" i="112"/>
  <c r="G1253" i="112"/>
  <c r="G1254" i="112"/>
  <c r="G1255" i="112"/>
  <c r="G1256" i="112"/>
  <c r="G1257" i="112"/>
  <c r="G1258" i="112"/>
  <c r="G1259" i="112"/>
  <c r="G1260" i="112"/>
  <c r="G1261" i="112"/>
  <c r="G1262" i="112"/>
  <c r="G1263" i="112"/>
  <c r="G1264" i="112"/>
  <c r="G1265" i="112"/>
  <c r="G1266" i="112"/>
  <c r="G1267" i="112"/>
  <c r="G1268" i="112"/>
  <c r="G1269" i="112"/>
  <c r="G1270" i="112"/>
  <c r="G1271" i="112"/>
  <c r="G1272" i="112"/>
  <c r="G1273" i="112"/>
  <c r="G1274" i="112"/>
  <c r="G1275" i="112"/>
  <c r="G1276" i="112"/>
  <c r="G1277" i="112"/>
  <c r="G1278" i="112"/>
  <c r="G1279" i="112"/>
  <c r="G1280" i="112"/>
  <c r="G1281" i="112"/>
  <c r="G1282" i="112"/>
  <c r="G1283" i="112"/>
  <c r="G1284" i="112"/>
  <c r="G1285" i="112"/>
  <c r="G1286" i="112"/>
  <c r="G1287" i="112"/>
  <c r="G1288" i="112"/>
  <c r="G1289" i="112"/>
  <c r="G1290" i="112"/>
  <c r="G1291" i="112"/>
  <c r="G1292" i="112"/>
  <c r="G1293" i="112"/>
  <c r="G1294" i="112"/>
  <c r="G1295" i="112"/>
  <c r="G1296" i="112"/>
  <c r="G1297" i="112"/>
  <c r="G1298" i="112"/>
  <c r="G1299" i="112"/>
  <c r="G1300" i="112"/>
  <c r="G1301" i="112"/>
  <c r="G1302" i="112"/>
  <c r="G1303" i="112"/>
  <c r="G1304" i="112"/>
  <c r="G1305" i="112"/>
  <c r="G1306" i="112"/>
  <c r="G1307" i="112"/>
  <c r="G1308" i="112"/>
  <c r="G1309" i="112"/>
  <c r="G1310" i="112"/>
  <c r="G1311" i="112"/>
  <c r="G1312" i="112"/>
  <c r="G1313" i="112"/>
  <c r="G1314" i="112"/>
  <c r="G1315" i="112"/>
  <c r="G1316" i="112"/>
  <c r="G1317" i="112"/>
  <c r="G1318" i="112"/>
  <c r="G1319" i="112"/>
  <c r="G1320" i="112"/>
  <c r="G1321" i="112"/>
  <c r="G1322" i="112"/>
  <c r="G1323" i="112"/>
  <c r="G1324" i="112"/>
  <c r="G1325" i="112"/>
  <c r="G1326" i="112"/>
  <c r="G1327" i="112"/>
  <c r="G1328" i="112"/>
  <c r="G1329" i="112"/>
  <c r="G1330" i="112"/>
  <c r="G1331" i="112"/>
  <c r="G1332" i="112"/>
  <c r="G1333" i="112"/>
  <c r="G1334" i="112"/>
  <c r="G1335" i="112"/>
  <c r="G1336" i="112"/>
  <c r="G1337" i="112"/>
  <c r="G1338" i="112"/>
  <c r="G1339" i="112"/>
  <c r="G1340" i="112"/>
  <c r="G1341" i="112"/>
  <c r="G1342" i="112"/>
  <c r="G1343" i="112"/>
  <c r="G1344" i="112"/>
  <c r="G1345" i="112"/>
  <c r="G1346" i="112"/>
  <c r="G1347" i="112"/>
  <c r="G1348" i="112"/>
  <c r="G1349" i="112"/>
  <c r="G1350" i="112"/>
  <c r="G1351" i="112"/>
  <c r="G1352" i="112"/>
  <c r="G1353" i="112"/>
  <c r="G1354" i="112"/>
  <c r="G1355" i="112"/>
  <c r="G1356" i="112"/>
  <c r="G1357" i="112"/>
  <c r="G1358" i="112"/>
  <c r="G1359" i="112"/>
  <c r="G1360" i="112"/>
  <c r="G1361" i="112"/>
  <c r="G1362" i="112"/>
  <c r="G1363" i="112"/>
  <c r="G1364" i="112"/>
  <c r="G1365" i="112"/>
  <c r="G1366" i="112"/>
  <c r="G1367" i="112"/>
  <c r="G1368" i="112"/>
  <c r="G1369" i="112"/>
  <c r="G1370" i="112"/>
  <c r="G1371" i="112"/>
  <c r="G1372" i="112"/>
  <c r="G1373" i="112"/>
  <c r="G1374" i="112"/>
  <c r="G1375" i="112"/>
  <c r="G1376" i="112"/>
  <c r="G1377" i="112"/>
  <c r="G1378" i="112"/>
  <c r="G1379" i="112"/>
  <c r="G1380" i="112"/>
  <c r="G1381" i="112"/>
  <c r="G1382" i="112"/>
  <c r="G1383" i="112"/>
  <c r="G1384" i="112"/>
  <c r="G1385" i="112"/>
  <c r="G1386" i="112"/>
  <c r="G1387" i="112"/>
  <c r="G1388" i="112"/>
  <c r="G1389" i="112"/>
  <c r="G1390" i="112"/>
  <c r="G1391" i="112"/>
  <c r="G1392" i="112"/>
  <c r="G1393" i="112"/>
  <c r="G1394" i="112"/>
  <c r="G1395" i="112"/>
  <c r="G1396" i="112"/>
  <c r="G1397" i="112"/>
  <c r="G1398" i="112"/>
  <c r="G1399" i="112"/>
  <c r="G1400" i="112"/>
  <c r="G1401" i="112"/>
  <c r="G1402" i="112"/>
  <c r="G1403" i="112"/>
  <c r="G1404" i="112"/>
  <c r="G1405" i="112"/>
  <c r="G1406" i="112"/>
  <c r="G1407" i="112"/>
  <c r="G1408" i="112"/>
  <c r="G1409" i="112"/>
  <c r="G1410" i="112"/>
  <c r="G1411" i="112"/>
  <c r="G1412" i="112"/>
  <c r="G1413" i="112"/>
  <c r="G1414" i="112"/>
  <c r="G1415" i="112"/>
  <c r="G1416" i="112"/>
  <c r="G1417" i="112"/>
  <c r="G1418" i="112"/>
  <c r="G1419" i="112"/>
  <c r="G1420" i="112"/>
  <c r="G1421" i="112"/>
  <c r="G1422" i="112"/>
  <c r="G1423" i="112"/>
  <c r="G1424" i="112"/>
  <c r="G1425" i="112"/>
  <c r="G1426" i="112"/>
  <c r="G1427" i="112"/>
  <c r="G1428" i="112"/>
  <c r="G1429" i="112"/>
  <c r="G1430" i="112"/>
  <c r="G1431" i="112"/>
  <c r="G1432" i="112"/>
  <c r="G1433" i="112"/>
  <c r="G1434" i="112"/>
  <c r="G1435" i="112"/>
  <c r="G1436" i="112"/>
  <c r="G1437" i="112"/>
  <c r="G1438" i="112"/>
  <c r="G1439" i="112"/>
  <c r="G1440" i="112"/>
  <c r="G1441" i="112"/>
  <c r="G1442" i="112"/>
  <c r="G1443" i="112"/>
  <c r="G1444" i="112"/>
  <c r="G1445" i="112"/>
  <c r="G1446" i="112"/>
  <c r="G1447" i="112"/>
  <c r="G1448" i="112"/>
  <c r="G1449" i="112"/>
  <c r="G1450" i="112"/>
  <c r="G1451" i="112"/>
  <c r="G1452" i="112"/>
  <c r="G1453" i="112"/>
  <c r="G1454" i="112"/>
  <c r="G1455" i="112"/>
  <c r="G1456" i="112"/>
  <c r="G1457" i="112"/>
  <c r="G1458" i="112"/>
  <c r="G1459" i="112"/>
  <c r="G1460" i="112"/>
  <c r="G1461" i="112"/>
  <c r="G1462" i="112"/>
  <c r="G1463" i="112"/>
  <c r="G1464" i="112"/>
  <c r="G1465" i="112"/>
  <c r="G1466" i="112"/>
  <c r="G1467" i="112"/>
  <c r="G1468" i="112"/>
  <c r="G1469" i="112"/>
  <c r="G1470" i="112"/>
  <c r="G1471" i="112"/>
  <c r="G1472" i="112"/>
  <c r="G1473" i="112"/>
  <c r="G1474" i="112"/>
  <c r="G1475" i="112"/>
  <c r="G1476" i="112"/>
  <c r="G1477" i="112"/>
  <c r="G1478" i="112"/>
  <c r="G1479" i="112"/>
  <c r="G1480" i="112"/>
  <c r="G1481" i="112"/>
  <c r="G1482" i="112"/>
  <c r="G1483" i="112"/>
  <c r="G1484" i="112"/>
  <c r="G1485" i="112"/>
  <c r="G1486" i="112"/>
  <c r="G1487" i="112"/>
  <c r="G1488" i="112"/>
  <c r="G1489" i="112"/>
  <c r="G1490" i="112"/>
  <c r="G1491" i="112"/>
  <c r="G1492" i="112"/>
  <c r="G1493" i="112"/>
  <c r="G1494" i="112"/>
  <c r="G1495" i="112"/>
  <c r="G1496" i="112"/>
  <c r="G1497" i="112"/>
  <c r="G1498" i="112"/>
  <c r="G1499" i="112"/>
  <c r="G1500" i="112"/>
  <c r="G1501" i="112"/>
  <c r="G1502" i="112"/>
  <c r="G1503" i="112"/>
  <c r="G1504" i="112"/>
  <c r="G1505" i="112"/>
  <c r="G1506" i="112"/>
  <c r="G1507" i="112"/>
  <c r="G1508" i="112"/>
  <c r="G1509" i="112"/>
  <c r="G1510" i="112"/>
  <c r="G1511" i="112"/>
  <c r="G1512" i="112"/>
  <c r="G1513" i="112"/>
  <c r="G1514" i="112"/>
  <c r="G1515" i="112"/>
  <c r="G1516" i="112"/>
  <c r="G1517" i="112"/>
  <c r="G1518" i="112"/>
  <c r="G1519" i="112"/>
  <c r="G1520" i="112"/>
  <c r="G1521" i="112"/>
  <c r="G1522" i="112"/>
  <c r="G1523" i="112"/>
  <c r="G1524" i="112"/>
  <c r="G1525" i="112"/>
  <c r="G1526" i="112"/>
  <c r="G1527" i="112"/>
  <c r="G1528" i="112"/>
  <c r="G1529" i="112"/>
  <c r="G1530" i="112"/>
  <c r="G1531" i="112"/>
  <c r="G1532" i="112"/>
  <c r="G1533" i="112"/>
  <c r="G1534" i="112"/>
  <c r="G1535" i="112"/>
  <c r="G1536" i="112"/>
  <c r="G1537" i="112"/>
  <c r="G1538" i="112"/>
  <c r="G1539" i="112"/>
  <c r="G1540" i="112"/>
  <c r="G1541" i="112"/>
  <c r="G1542" i="112"/>
  <c r="G1543" i="112"/>
  <c r="G1544" i="112"/>
  <c r="G1545" i="112"/>
  <c r="G1546" i="112"/>
  <c r="G1547" i="112"/>
  <c r="G1548" i="112"/>
  <c r="G1549" i="112"/>
  <c r="G1550" i="112"/>
  <c r="G1551" i="112"/>
  <c r="G1552" i="112"/>
  <c r="G1553" i="112"/>
  <c r="G1554" i="112"/>
  <c r="G1555" i="112"/>
  <c r="G1556" i="112"/>
  <c r="G1557" i="112"/>
  <c r="G1558" i="112"/>
  <c r="G1559" i="112"/>
  <c r="G1560" i="112"/>
  <c r="G1561" i="112"/>
  <c r="G1562" i="112"/>
  <c r="G1563" i="112"/>
  <c r="G1564" i="112"/>
  <c r="G1565" i="112"/>
  <c r="G1566" i="112"/>
  <c r="G1567" i="112"/>
  <c r="G1568" i="112"/>
  <c r="G1569" i="112"/>
  <c r="G1570" i="112"/>
  <c r="G1571" i="112"/>
  <c r="G1572" i="112"/>
  <c r="G1573" i="112"/>
  <c r="G1574" i="112"/>
  <c r="G1575" i="112"/>
  <c r="G1576" i="112"/>
  <c r="G1577" i="112"/>
  <c r="G1578" i="112"/>
  <c r="G1579" i="112"/>
  <c r="G1580" i="112"/>
  <c r="G1581" i="112"/>
  <c r="G1582" i="112"/>
  <c r="G1583" i="112"/>
  <c r="G1584" i="112"/>
  <c r="G1585" i="112"/>
  <c r="G1586" i="112"/>
  <c r="G1587" i="112"/>
  <c r="G1588" i="112"/>
  <c r="G1589" i="112"/>
  <c r="G1590" i="112"/>
  <c r="G1591" i="112"/>
  <c r="G1592" i="112"/>
  <c r="G1593" i="112"/>
  <c r="G1594" i="112"/>
  <c r="G1595" i="112"/>
  <c r="G1596" i="112"/>
  <c r="G1597" i="112"/>
  <c r="G1598" i="112"/>
  <c r="G1599" i="112"/>
  <c r="G1600" i="112"/>
  <c r="G1601" i="112"/>
  <c r="G1602" i="112"/>
  <c r="G1603" i="112"/>
  <c r="G1604" i="112"/>
  <c r="G1605" i="112"/>
  <c r="G1606" i="112"/>
  <c r="G1607" i="112"/>
  <c r="G1608" i="112"/>
  <c r="G1609" i="112"/>
  <c r="G1610" i="112"/>
  <c r="G1611" i="112"/>
  <c r="G1612" i="112"/>
  <c r="G1613" i="112"/>
  <c r="G1614" i="112"/>
  <c r="G1615" i="112"/>
  <c r="G1616" i="112"/>
  <c r="G1617" i="112"/>
  <c r="G1618" i="112"/>
  <c r="G1619" i="112"/>
  <c r="G1620" i="112"/>
  <c r="G1621" i="112"/>
  <c r="G1622" i="112"/>
  <c r="G1623" i="112"/>
  <c r="G1624" i="112"/>
  <c r="G1625" i="112"/>
  <c r="G1626" i="112"/>
  <c r="G1627" i="112"/>
  <c r="G1628" i="112"/>
  <c r="G1629" i="112"/>
  <c r="G1630" i="112"/>
  <c r="G1631" i="112"/>
  <c r="G1632" i="112"/>
  <c r="G1633" i="112"/>
  <c r="G1634" i="112"/>
  <c r="G1635" i="112"/>
  <c r="G1636" i="112"/>
  <c r="G1637" i="112"/>
  <c r="G1638" i="112"/>
  <c r="G1639" i="112"/>
  <c r="G1640" i="112"/>
  <c r="G1641" i="112"/>
  <c r="G1642" i="112"/>
  <c r="G1643" i="112"/>
  <c r="G1644" i="112"/>
  <c r="G1645" i="112"/>
  <c r="G1646" i="112"/>
  <c r="G1647" i="112"/>
  <c r="G1648" i="112"/>
  <c r="G1649" i="112"/>
  <c r="G1650" i="112"/>
  <c r="G1651" i="112"/>
  <c r="G1652" i="112"/>
  <c r="G1653" i="112"/>
  <c r="G1654" i="112"/>
  <c r="G1655" i="112"/>
  <c r="G1656" i="112"/>
  <c r="G1657" i="112"/>
  <c r="G1658" i="112"/>
  <c r="G1659" i="112"/>
  <c r="G1660" i="112"/>
  <c r="G1661" i="112"/>
  <c r="G1662" i="112"/>
  <c r="G1663" i="112"/>
  <c r="G1664" i="112"/>
  <c r="G1665" i="112"/>
  <c r="G1666" i="112"/>
  <c r="G1667" i="112"/>
  <c r="G1668" i="112"/>
  <c r="G1669" i="112"/>
  <c r="G1670" i="112"/>
  <c r="G1671" i="112"/>
  <c r="G1672" i="112"/>
  <c r="G1673" i="112"/>
  <c r="G1674" i="112"/>
  <c r="G1675" i="112"/>
  <c r="G1676" i="112"/>
  <c r="G1677" i="112"/>
  <c r="G1678" i="112"/>
  <c r="G1679" i="112"/>
  <c r="G1680" i="112"/>
  <c r="G1681" i="112"/>
  <c r="G1682" i="112"/>
  <c r="G1683" i="112"/>
  <c r="G1684" i="112"/>
  <c r="G1685" i="112"/>
  <c r="G1686" i="112"/>
  <c r="G1687" i="112"/>
  <c r="G1688" i="112"/>
  <c r="G1689" i="112"/>
  <c r="G1690" i="112"/>
  <c r="G1691" i="112"/>
  <c r="G1692" i="112"/>
  <c r="G1693" i="112"/>
  <c r="G1694" i="112"/>
  <c r="G1695" i="112"/>
  <c r="G1696" i="112"/>
  <c r="G1697" i="112"/>
  <c r="G1698" i="112"/>
  <c r="G1699" i="112"/>
  <c r="G1700" i="112"/>
  <c r="G1701" i="112"/>
  <c r="G1702" i="112"/>
  <c r="G1703" i="112"/>
  <c r="G1704" i="112"/>
  <c r="G1705" i="112"/>
  <c r="G1706" i="112"/>
  <c r="G1707" i="112"/>
  <c r="G1708" i="112"/>
  <c r="G1709" i="112"/>
  <c r="G1710" i="112"/>
  <c r="G1711" i="112"/>
  <c r="G1712" i="112"/>
  <c r="G1713" i="112"/>
  <c r="G1714" i="112"/>
  <c r="G1715" i="112"/>
  <c r="G1716" i="112"/>
  <c r="G1717" i="112"/>
  <c r="G1718" i="112"/>
  <c r="G1719" i="112"/>
  <c r="G1720" i="112"/>
  <c r="G1721" i="112"/>
  <c r="G1722" i="112"/>
  <c r="G1723" i="112"/>
  <c r="G1724" i="112"/>
  <c r="G1725" i="112"/>
  <c r="G1726" i="112"/>
  <c r="G1727" i="112"/>
  <c r="G1728" i="112"/>
  <c r="G1729" i="112"/>
  <c r="G1730" i="112"/>
  <c r="G1731" i="112"/>
  <c r="G1732" i="112"/>
  <c r="G1733" i="112"/>
  <c r="G1734" i="112"/>
  <c r="G1735" i="112"/>
  <c r="G1736" i="112"/>
  <c r="G1737" i="112"/>
  <c r="G1738" i="112"/>
  <c r="G1739" i="112"/>
  <c r="G1740" i="112"/>
  <c r="G1741" i="112"/>
  <c r="G1742" i="112"/>
  <c r="G1743" i="112"/>
  <c r="G1744" i="112"/>
  <c r="G1745" i="112"/>
  <c r="G1746" i="112"/>
  <c r="G1747" i="112"/>
  <c r="G1748" i="112"/>
  <c r="G1749" i="112"/>
  <c r="G1750" i="112"/>
  <c r="G1751" i="112"/>
  <c r="G1752" i="112"/>
  <c r="G1753" i="112"/>
  <c r="G1754" i="112"/>
  <c r="G1755" i="112"/>
  <c r="G1756" i="112"/>
  <c r="G1757" i="112"/>
  <c r="G1758" i="112"/>
  <c r="G1759" i="112"/>
  <c r="G1760" i="112"/>
  <c r="G1761" i="112"/>
  <c r="G1762" i="112"/>
  <c r="G1763" i="112"/>
  <c r="G1764" i="112"/>
  <c r="G1765" i="112"/>
  <c r="G1766" i="112"/>
  <c r="G1767" i="112"/>
  <c r="G1768" i="112"/>
  <c r="G1769" i="112"/>
  <c r="G1770" i="112"/>
  <c r="G1771" i="112"/>
  <c r="G1772" i="112"/>
  <c r="G1773" i="112"/>
  <c r="G1774" i="112"/>
  <c r="G1775" i="112"/>
  <c r="G1776" i="112"/>
  <c r="G1777" i="112"/>
  <c r="G1778" i="112"/>
  <c r="G1779" i="112"/>
  <c r="G1780" i="112"/>
  <c r="G1781" i="112"/>
  <c r="G1782" i="112"/>
  <c r="G1783" i="112"/>
  <c r="G1784" i="112"/>
  <c r="G1785" i="112"/>
  <c r="G1786" i="112"/>
  <c r="G1787" i="112"/>
  <c r="G1788" i="112"/>
  <c r="G1789" i="112"/>
  <c r="G1790" i="112"/>
  <c r="G1791" i="112"/>
  <c r="G1792" i="112"/>
  <c r="G1793" i="112"/>
  <c r="G1794" i="112"/>
  <c r="G1795" i="112"/>
  <c r="G1796" i="112"/>
  <c r="G1797" i="112"/>
  <c r="G1798" i="112"/>
  <c r="G1799" i="112"/>
  <c r="G1800" i="112"/>
  <c r="G1801" i="112"/>
  <c r="G1802" i="112"/>
  <c r="G1803" i="112"/>
  <c r="G1804" i="112"/>
  <c r="G1805" i="112"/>
  <c r="G1806" i="112"/>
  <c r="G1807" i="112"/>
  <c r="G1808" i="112"/>
  <c r="G1809" i="112"/>
  <c r="G1810" i="112"/>
  <c r="G1811" i="112"/>
  <c r="G1812" i="112"/>
  <c r="G1813" i="112"/>
  <c r="G1814" i="112"/>
  <c r="G1815" i="112"/>
  <c r="G1816" i="112"/>
  <c r="G1817" i="112"/>
  <c r="G1818" i="112"/>
  <c r="G1819" i="112"/>
  <c r="G1820" i="112"/>
  <c r="G1821" i="112"/>
  <c r="G1822" i="112"/>
  <c r="G1823" i="112"/>
  <c r="G1824" i="112"/>
  <c r="G1825" i="112"/>
  <c r="G1826" i="112"/>
  <c r="G1827" i="112"/>
  <c r="G1828" i="112"/>
  <c r="G1829" i="112"/>
  <c r="G1830" i="112"/>
  <c r="G1831" i="112"/>
  <c r="G1832" i="112"/>
  <c r="G1833" i="112"/>
  <c r="G1834" i="112"/>
  <c r="G1835" i="112"/>
  <c r="G1836" i="112"/>
  <c r="G1837" i="112"/>
  <c r="G1838" i="112"/>
  <c r="G1839" i="112"/>
  <c r="G1840" i="112"/>
  <c r="G1841" i="112"/>
  <c r="G1842" i="112"/>
  <c r="G1843" i="112"/>
  <c r="G1844" i="112"/>
  <c r="G1845" i="112"/>
  <c r="G1846" i="112"/>
  <c r="G1847" i="112"/>
  <c r="G1848" i="112"/>
  <c r="G1849" i="112"/>
  <c r="G1850" i="112"/>
  <c r="G1851" i="112"/>
  <c r="G1852" i="112"/>
  <c r="G1853" i="112"/>
  <c r="G1854" i="112"/>
  <c r="G1855" i="112"/>
  <c r="G1856" i="112"/>
  <c r="G1857" i="112"/>
  <c r="G1858" i="112"/>
  <c r="G1859" i="112"/>
  <c r="G1860" i="112"/>
  <c r="G1861" i="112"/>
  <c r="G1862" i="112"/>
  <c r="G1863" i="112"/>
  <c r="G1864" i="112"/>
  <c r="G1865" i="112"/>
  <c r="G1866" i="112"/>
  <c r="G1867" i="112"/>
  <c r="G1868" i="112"/>
  <c r="G1869" i="112"/>
  <c r="G1870" i="112"/>
  <c r="G1871" i="112"/>
  <c r="G1872" i="112"/>
  <c r="G1873" i="112"/>
  <c r="G1874" i="112"/>
  <c r="G1875" i="112"/>
  <c r="G1876" i="112"/>
  <c r="G1877" i="112"/>
  <c r="G1878" i="112"/>
  <c r="G1879" i="112"/>
  <c r="G1880" i="112"/>
  <c r="G1881" i="112"/>
  <c r="G1882" i="112"/>
  <c r="G1883" i="112"/>
  <c r="G1884" i="112"/>
  <c r="G1885" i="112"/>
  <c r="G1886" i="112"/>
  <c r="G1887" i="112"/>
  <c r="G1888" i="112"/>
  <c r="G1889" i="112"/>
  <c r="G1890" i="112"/>
  <c r="G1891" i="112"/>
  <c r="G1892" i="112"/>
  <c r="G1893" i="112"/>
  <c r="G1894" i="112"/>
  <c r="G1895" i="112"/>
  <c r="G1896" i="112"/>
  <c r="G1897" i="112"/>
  <c r="G1898" i="112"/>
  <c r="G1899" i="112"/>
  <c r="G1900" i="112"/>
  <c r="G1901" i="112"/>
  <c r="G1902" i="112"/>
  <c r="G1903" i="112"/>
  <c r="L2" i="131"/>
  <c r="R1" i="120"/>
  <c r="A2" i="120"/>
  <c r="A3" i="120"/>
  <c r="A4" i="120"/>
  <c r="A5" i="120"/>
  <c r="A6" i="120"/>
  <c r="A7" i="120"/>
  <c r="A8" i="120"/>
  <c r="A9" i="120"/>
  <c r="A10" i="120"/>
  <c r="A11" i="120"/>
  <c r="A12" i="120"/>
  <c r="A13" i="120"/>
  <c r="A14" i="120"/>
  <c r="A15" i="120"/>
  <c r="A16" i="120"/>
  <c r="A17" i="120"/>
  <c r="A18" i="120"/>
  <c r="A19" i="120"/>
  <c r="A20" i="120"/>
  <c r="A21" i="120"/>
  <c r="A22" i="120"/>
  <c r="A23" i="120"/>
  <c r="A24" i="120"/>
  <c r="A25" i="120"/>
  <c r="A26" i="120"/>
  <c r="A27" i="120"/>
  <c r="A28" i="120"/>
  <c r="A29" i="120"/>
  <c r="A30" i="120"/>
  <c r="A31" i="120"/>
  <c r="A32" i="120"/>
  <c r="A33" i="120"/>
  <c r="A34" i="120"/>
  <c r="A35" i="120"/>
  <c r="A36" i="120"/>
  <c r="A37" i="120"/>
  <c r="A38" i="120"/>
  <c r="A39" i="120"/>
  <c r="A40" i="120"/>
  <c r="A41" i="120"/>
  <c r="A42" i="120"/>
  <c r="A43" i="120"/>
  <c r="A44" i="120"/>
  <c r="A45" i="120"/>
  <c r="A46" i="120"/>
  <c r="A47" i="120"/>
  <c r="A48" i="120"/>
  <c r="A49" i="120"/>
  <c r="A50" i="120"/>
  <c r="A51" i="120"/>
  <c r="A52" i="120"/>
  <c r="A53" i="120"/>
  <c r="A54" i="120"/>
  <c r="A55" i="120"/>
  <c r="A56" i="120"/>
  <c r="A57" i="120"/>
  <c r="A58" i="120"/>
  <c r="A59" i="120"/>
  <c r="A60" i="120"/>
  <c r="A61" i="120"/>
  <c r="A62" i="120"/>
  <c r="A63" i="120"/>
  <c r="A64" i="120"/>
  <c r="A65" i="120"/>
  <c r="A66" i="120"/>
  <c r="A67" i="120"/>
  <c r="A68" i="120"/>
  <c r="A69" i="120"/>
  <c r="A70" i="120"/>
  <c r="A71" i="120"/>
  <c r="A72" i="120"/>
  <c r="A73" i="120"/>
  <c r="A74" i="120"/>
  <c r="A75" i="120"/>
  <c r="A76" i="120"/>
  <c r="A77" i="120"/>
  <c r="A78" i="120"/>
  <c r="A79" i="120"/>
  <c r="A80" i="120"/>
  <c r="A81" i="120"/>
  <c r="A82" i="120"/>
  <c r="A83" i="120"/>
  <c r="A84" i="120"/>
  <c r="A85" i="120"/>
  <c r="A86" i="120"/>
  <c r="A87" i="120"/>
  <c r="A88" i="120"/>
  <c r="A89" i="120"/>
  <c r="A90" i="120"/>
  <c r="A91" i="120"/>
  <c r="A92" i="120"/>
  <c r="A93" i="120"/>
  <c r="A94" i="120"/>
  <c r="A95" i="120"/>
  <c r="A96" i="120"/>
  <c r="A97" i="120"/>
  <c r="A98" i="120"/>
  <c r="A99" i="120"/>
  <c r="A100" i="120"/>
  <c r="A101" i="120"/>
  <c r="A102" i="120"/>
  <c r="A103" i="120"/>
  <c r="A104" i="120"/>
  <c r="A105" i="120"/>
  <c r="A106" i="120"/>
  <c r="A107" i="120"/>
  <c r="A108" i="120"/>
  <c r="A109" i="120"/>
  <c r="A110" i="120"/>
  <c r="A111" i="120"/>
  <c r="A112" i="120"/>
  <c r="A113" i="120"/>
  <c r="A114" i="120"/>
  <c r="A115" i="120"/>
  <c r="A116" i="120"/>
  <c r="A117" i="120"/>
  <c r="A118" i="120"/>
  <c r="A119" i="120"/>
  <c r="A120" i="120"/>
  <c r="A121" i="120"/>
  <c r="A122" i="120"/>
  <c r="A123" i="120"/>
  <c r="A124" i="120"/>
  <c r="A125" i="120"/>
  <c r="A126" i="120"/>
  <c r="A127" i="120"/>
  <c r="A128" i="120"/>
  <c r="A129" i="120"/>
  <c r="A130" i="120"/>
  <c r="A131" i="120"/>
  <c r="A132" i="120"/>
  <c r="A133" i="120"/>
  <c r="A134" i="120"/>
  <c r="A135" i="120"/>
  <c r="A136" i="120"/>
  <c r="A137" i="120"/>
  <c r="A138" i="120"/>
  <c r="A139" i="120"/>
  <c r="A140" i="120"/>
  <c r="A141" i="120"/>
  <c r="A142" i="120"/>
  <c r="A143" i="120"/>
  <c r="A144" i="120"/>
  <c r="A145" i="120"/>
  <c r="A146" i="120"/>
  <c r="A147" i="120"/>
  <c r="A148" i="120"/>
  <c r="A149" i="120"/>
  <c r="A150" i="120"/>
  <c r="A151" i="120"/>
  <c r="A152" i="120"/>
  <c r="A153" i="120"/>
  <c r="A154" i="120"/>
  <c r="A155" i="120"/>
  <c r="A156" i="120"/>
  <c r="A157" i="120"/>
  <c r="A158" i="120"/>
  <c r="A159" i="120"/>
  <c r="A160" i="120"/>
  <c r="A161" i="120"/>
  <c r="A162" i="120"/>
  <c r="A163" i="120"/>
  <c r="A164" i="120"/>
  <c r="A165" i="120"/>
  <c r="A166" i="120"/>
  <c r="A167" i="120"/>
  <c r="A168" i="120"/>
  <c r="A169" i="120"/>
  <c r="A170" i="120"/>
  <c r="A171" i="120"/>
  <c r="A172" i="120"/>
  <c r="A173" i="120"/>
  <c r="A174" i="120"/>
  <c r="A175" i="120"/>
  <c r="A176" i="120"/>
  <c r="A177" i="120"/>
  <c r="A178" i="120"/>
  <c r="A179" i="120"/>
  <c r="A180" i="120"/>
  <c r="A181" i="120"/>
  <c r="A182" i="120"/>
  <c r="A183" i="120"/>
  <c r="A184" i="120"/>
  <c r="A185" i="120"/>
  <c r="A186" i="120"/>
  <c r="A187" i="120"/>
  <c r="A188" i="120"/>
  <c r="A189" i="120"/>
  <c r="A190" i="120"/>
  <c r="A191" i="120"/>
  <c r="A192" i="120"/>
  <c r="A193" i="120"/>
  <c r="A194" i="120"/>
  <c r="A195" i="120"/>
  <c r="A196" i="120"/>
  <c r="A197" i="120"/>
  <c r="A198" i="120"/>
  <c r="A199" i="120"/>
  <c r="A200" i="120"/>
  <c r="A201" i="120"/>
  <c r="A202" i="120"/>
  <c r="A203" i="120"/>
  <c r="A204" i="120"/>
  <c r="A205" i="120"/>
  <c r="A206" i="120"/>
  <c r="A207" i="120"/>
  <c r="A208" i="120"/>
  <c r="A209" i="120"/>
  <c r="A210" i="120"/>
  <c r="A211" i="120"/>
  <c r="A212" i="120"/>
  <c r="A213" i="120"/>
  <c r="A214" i="120"/>
  <c r="A215" i="120"/>
  <c r="A216" i="120"/>
  <c r="A217" i="120"/>
  <c r="A218" i="120"/>
  <c r="A219" i="120"/>
  <c r="A220" i="120"/>
  <c r="A221" i="120"/>
  <c r="A222" i="120"/>
  <c r="A223" i="120"/>
  <c r="A224" i="120"/>
  <c r="A225" i="120"/>
  <c r="A226" i="120"/>
  <c r="A227" i="120"/>
  <c r="A228" i="120"/>
  <c r="A229" i="120"/>
  <c r="A230" i="120"/>
  <c r="A231" i="120"/>
  <c r="A232" i="120"/>
  <c r="A233" i="120"/>
  <c r="A234" i="120"/>
  <c r="A235" i="120"/>
  <c r="A236" i="120"/>
  <c r="A237" i="120"/>
  <c r="A238" i="120"/>
  <c r="A239" i="120"/>
  <c r="A240" i="120"/>
  <c r="A241" i="120"/>
  <c r="A242" i="120"/>
  <c r="A243" i="120"/>
  <c r="A244" i="120"/>
  <c r="A245" i="120"/>
  <c r="A246" i="120"/>
  <c r="A247" i="120"/>
  <c r="A248" i="120"/>
  <c r="A249" i="120"/>
  <c r="A250" i="120"/>
  <c r="A251" i="120"/>
  <c r="A252" i="120"/>
  <c r="A253" i="120"/>
  <c r="A254" i="120"/>
  <c r="A255" i="120"/>
  <c r="A256" i="120"/>
  <c r="A257" i="120"/>
  <c r="D47" i="118"/>
  <c r="I47" i="118"/>
  <c r="N47" i="118"/>
  <c r="S47" i="118"/>
  <c r="X47" i="118"/>
  <c r="AC47" i="118"/>
  <c r="AH47" i="118"/>
  <c r="AM47" i="118"/>
  <c r="AR47" i="118"/>
  <c r="AW47" i="118"/>
  <c r="BB47" i="118"/>
  <c r="BG47" i="118"/>
  <c r="BL47" i="118"/>
  <c r="BQ47" i="118"/>
  <c r="BV47" i="118"/>
  <c r="CA47" i="118"/>
  <c r="CF47" i="118"/>
  <c r="CK47" i="118"/>
  <c r="CP47" i="118"/>
  <c r="CU47" i="118"/>
  <c r="D48" i="118"/>
  <c r="I48" i="118"/>
  <c r="N48" i="118"/>
  <c r="N49" i="118" s="1"/>
  <c r="S48" i="118"/>
  <c r="X48" i="118"/>
  <c r="AC48" i="118"/>
  <c r="AH48" i="118"/>
  <c r="AM48" i="118"/>
  <c r="AR48" i="118"/>
  <c r="AW48" i="118"/>
  <c r="BB48" i="118"/>
  <c r="BG48" i="118"/>
  <c r="BL48" i="118"/>
  <c r="BQ48" i="118"/>
  <c r="BV48" i="118"/>
  <c r="CA48" i="118"/>
  <c r="CF48" i="118"/>
  <c r="CK48" i="118"/>
  <c r="CP48" i="118"/>
  <c r="CU48" i="118"/>
  <c r="CU49" i="118" s="1"/>
  <c r="D47" i="123"/>
  <c r="I47" i="123"/>
  <c r="N47" i="123"/>
  <c r="S47" i="123"/>
  <c r="X47" i="123"/>
  <c r="AC47" i="123"/>
  <c r="AH47" i="123"/>
  <c r="AM47" i="123"/>
  <c r="AR47" i="123"/>
  <c r="AW47" i="123"/>
  <c r="BB47" i="123"/>
  <c r="BG47" i="123"/>
  <c r="BL47" i="123"/>
  <c r="BQ47" i="123"/>
  <c r="BV47" i="123"/>
  <c r="CA47" i="123"/>
  <c r="CF47" i="123"/>
  <c r="CK47" i="123"/>
  <c r="CP47" i="123"/>
  <c r="D48" i="123"/>
  <c r="I48" i="123"/>
  <c r="N48" i="123"/>
  <c r="N49" i="123" s="1"/>
  <c r="S48" i="123"/>
  <c r="S49" i="123" s="1"/>
  <c r="X48" i="123"/>
  <c r="AC48" i="123"/>
  <c r="AH48" i="123"/>
  <c r="AM48" i="123"/>
  <c r="AR48" i="123"/>
  <c r="AW48" i="123"/>
  <c r="BB48" i="123"/>
  <c r="BG48" i="123"/>
  <c r="BL48" i="123"/>
  <c r="BQ48" i="123"/>
  <c r="BV48" i="123"/>
  <c r="CA48" i="123"/>
  <c r="CF48" i="123"/>
  <c r="CK48" i="123"/>
  <c r="CP48" i="123"/>
  <c r="CP49" i="123" s="1"/>
  <c r="AM49" i="123"/>
  <c r="D47" i="124"/>
  <c r="I47" i="124"/>
  <c r="N47" i="124"/>
  <c r="S47" i="124"/>
  <c r="X47" i="124"/>
  <c r="AC47" i="124"/>
  <c r="AH47" i="124"/>
  <c r="AM47" i="124"/>
  <c r="AR47" i="124"/>
  <c r="AR49" i="124" s="1"/>
  <c r="AW47" i="124"/>
  <c r="BB47" i="124"/>
  <c r="BG47" i="124"/>
  <c r="BL47" i="124"/>
  <c r="BQ47" i="124"/>
  <c r="BV47" i="124"/>
  <c r="CA47" i="124"/>
  <c r="CF47" i="124"/>
  <c r="CK47" i="124"/>
  <c r="CP47" i="124"/>
  <c r="D48" i="124"/>
  <c r="I48" i="124"/>
  <c r="N48" i="124"/>
  <c r="S48" i="124"/>
  <c r="X48" i="124"/>
  <c r="AC48" i="124"/>
  <c r="AC49" i="124" s="1"/>
  <c r="AH48" i="124"/>
  <c r="AM48" i="124"/>
  <c r="AR48" i="124"/>
  <c r="AW48" i="124"/>
  <c r="BB48" i="124"/>
  <c r="BG48" i="124"/>
  <c r="BL48" i="124"/>
  <c r="BQ48" i="124"/>
  <c r="BV48" i="124"/>
  <c r="BV49" i="124" s="1"/>
  <c r="CA48" i="124"/>
  <c r="CF48" i="124"/>
  <c r="CK48" i="124"/>
  <c r="CP48" i="124"/>
  <c r="N49" i="124"/>
  <c r="CA49" i="123"/>
  <c r="P13" i="130"/>
  <c r="I11" i="130"/>
  <c r="O8" i="130"/>
  <c r="J12" i="130"/>
  <c r="O18" i="130"/>
  <c r="J9" i="130"/>
  <c r="O5" i="130"/>
  <c r="J16" i="130"/>
  <c r="C8" i="130"/>
  <c r="O9" i="130"/>
  <c r="I7" i="130"/>
  <c r="P4" i="130"/>
  <c r="I9" i="130"/>
  <c r="D5" i="130"/>
  <c r="C15" i="130"/>
  <c r="I20" i="130"/>
  <c r="O4" i="130"/>
  <c r="D18" i="130"/>
  <c r="I6" i="130"/>
  <c r="O6" i="130"/>
  <c r="D22" i="130"/>
  <c r="D12" i="130"/>
  <c r="D14" i="130"/>
  <c r="P8" i="130"/>
  <c r="D4" i="130"/>
  <c r="J18" i="130"/>
  <c r="I16" i="130"/>
  <c r="O11" i="130"/>
  <c r="I18" i="130"/>
  <c r="D7" i="130"/>
  <c r="O19" i="130"/>
  <c r="I24" i="130"/>
  <c r="C22" i="130"/>
  <c r="C17" i="130"/>
  <c r="I19" i="130"/>
  <c r="I8" i="130"/>
  <c r="P7" i="130"/>
  <c r="J14" i="130"/>
  <c r="O10" i="130"/>
  <c r="C11" i="130"/>
  <c r="P10" i="130"/>
  <c r="C13" i="130"/>
  <c r="D10" i="130"/>
  <c r="P20" i="130"/>
  <c r="D16" i="130"/>
  <c r="J5" i="130"/>
  <c r="J20" i="130"/>
  <c r="D19" i="130"/>
  <c r="D24" i="130"/>
  <c r="P12" i="130"/>
  <c r="J11" i="130"/>
  <c r="J10" i="130"/>
  <c r="I12" i="130"/>
  <c r="D20" i="130"/>
  <c r="O13" i="130"/>
  <c r="J7" i="130"/>
  <c r="I17" i="130"/>
  <c r="J6" i="130"/>
  <c r="I4" i="130"/>
  <c r="C6" i="130"/>
  <c r="J4" i="130"/>
  <c r="C16" i="130"/>
  <c r="C18" i="130"/>
  <c r="I14" i="130"/>
  <c r="P24" i="130"/>
  <c r="C24" i="130"/>
  <c r="O16" i="130"/>
  <c r="O22" i="130"/>
  <c r="C4" i="130"/>
  <c r="P17" i="130"/>
  <c r="P15" i="130"/>
  <c r="P22" i="130"/>
  <c r="D11" i="130"/>
  <c r="O17" i="130"/>
  <c r="P6" i="130"/>
  <c r="C7" i="130"/>
  <c r="J17" i="130"/>
  <c r="O12" i="130"/>
  <c r="P14" i="130"/>
  <c r="J13" i="130"/>
  <c r="J8" i="130"/>
  <c r="O20" i="130"/>
  <c r="C5" i="130"/>
  <c r="P16" i="130"/>
  <c r="C12" i="130"/>
  <c r="O14" i="130"/>
  <c r="J15" i="130"/>
  <c r="C20" i="130"/>
  <c r="P11" i="130"/>
  <c r="O15" i="130"/>
  <c r="J22" i="130"/>
  <c r="I5" i="130"/>
  <c r="C19" i="130"/>
  <c r="P19" i="130"/>
  <c r="O7" i="130"/>
  <c r="P5" i="130"/>
  <c r="I22" i="130"/>
  <c r="J19" i="130"/>
  <c r="D6" i="130"/>
  <c r="C10" i="130"/>
  <c r="O24" i="130"/>
  <c r="D9" i="130"/>
  <c r="C9" i="130"/>
  <c r="I15" i="130"/>
  <c r="D8" i="130"/>
  <c r="D17" i="130"/>
  <c r="J24" i="130"/>
  <c r="P9" i="130"/>
  <c r="I13" i="130"/>
  <c r="C14" i="130"/>
  <c r="P18" i="130"/>
  <c r="D15" i="130"/>
  <c r="D13" i="130"/>
  <c r="I10" i="130"/>
  <c r="CK49" i="123" l="1"/>
  <c r="BB49" i="124"/>
  <c r="AW49" i="124"/>
  <c r="AR49" i="123"/>
  <c r="D49" i="124"/>
  <c r="X49" i="124"/>
  <c r="D49" i="123"/>
  <c r="BL49" i="123"/>
  <c r="AH49" i="123"/>
  <c r="AC49" i="123"/>
  <c r="X49" i="123"/>
  <c r="BB49" i="123"/>
  <c r="CF49" i="123"/>
  <c r="BQ49" i="123"/>
  <c r="AH49" i="124"/>
  <c r="AH49" i="118"/>
  <c r="X49" i="118"/>
  <c r="CA49" i="124"/>
  <c r="S49" i="124"/>
  <c r="S49" i="118"/>
  <c r="BG49" i="124"/>
  <c r="CF49" i="124"/>
  <c r="BV49" i="123"/>
  <c r="BG49" i="118"/>
  <c r="AW49" i="123"/>
  <c r="I49" i="124"/>
  <c r="AM49" i="124"/>
  <c r="CK49" i="124"/>
  <c r="BL49" i="124"/>
  <c r="BQ49" i="124"/>
  <c r="BG49" i="123"/>
  <c r="N1" i="120"/>
  <c r="P1" i="120"/>
  <c r="Q1" i="120"/>
  <c r="CF49" i="118"/>
  <c r="D49" i="118"/>
  <c r="I49" i="118"/>
  <c r="AM49" i="118"/>
  <c r="BQ49" i="118"/>
  <c r="AC49" i="118"/>
  <c r="O1" i="120"/>
  <c r="I49" i="123"/>
  <c r="CV47" i="118"/>
  <c r="CQ48" i="123"/>
  <c r="CK49" i="118"/>
  <c r="AW49" i="118"/>
  <c r="BL49" i="118"/>
  <c r="CQ48" i="124"/>
  <c r="CA49" i="118"/>
  <c r="CP49" i="124"/>
  <c r="CP49" i="118"/>
  <c r="BB49" i="118"/>
  <c r="AR49" i="118"/>
  <c r="CQ47" i="124"/>
  <c r="CQ47" i="123"/>
  <c r="BV49" i="118"/>
  <c r="CV48" i="118"/>
  <c r="R8" i="112"/>
  <c r="K12" i="130"/>
  <c r="G31" i="130"/>
  <c r="M31" i="130"/>
  <c r="Q16" i="130"/>
  <c r="H36" i="130"/>
  <c r="H30" i="130"/>
  <c r="E11" i="130"/>
  <c r="K9" i="130"/>
  <c r="M36" i="130"/>
  <c r="K24" i="130"/>
  <c r="M38" i="130"/>
  <c r="O21" i="130"/>
  <c r="B32" i="130"/>
  <c r="Q4" i="130"/>
  <c r="E22" i="130"/>
  <c r="Q20" i="130"/>
  <c r="C36" i="130"/>
  <c r="C30" i="130"/>
  <c r="D21" i="130"/>
  <c r="M30" i="130"/>
  <c r="E5" i="130"/>
  <c r="E16" i="130"/>
  <c r="K17" i="130"/>
  <c r="L31" i="130"/>
  <c r="H37" i="130"/>
  <c r="K7" i="130"/>
  <c r="E17" i="130"/>
  <c r="L30" i="130"/>
  <c r="C38" i="130"/>
  <c r="B36" i="130"/>
  <c r="E8" i="130"/>
  <c r="Q12" i="130"/>
  <c r="G32" i="130"/>
  <c r="Q9" i="130"/>
  <c r="C31" i="130"/>
  <c r="J21" i="130"/>
  <c r="E20" i="130"/>
  <c r="K5" i="130"/>
  <c r="K22" i="130"/>
  <c r="Q15" i="130"/>
  <c r="G38" i="130"/>
  <c r="E15" i="130"/>
  <c r="G36" i="130"/>
  <c r="H32" i="130"/>
  <c r="C37" i="130"/>
  <c r="Q14" i="130"/>
  <c r="K16" i="130"/>
  <c r="G30" i="130"/>
  <c r="E12" i="130"/>
  <c r="B30" i="130"/>
  <c r="E4" i="130"/>
  <c r="C21" i="130"/>
  <c r="Q8" i="130"/>
  <c r="B38" i="130"/>
  <c r="Q17" i="130"/>
  <c r="L32" i="130"/>
  <c r="E13" i="130"/>
  <c r="K10" i="130"/>
  <c r="K6" i="130"/>
  <c r="E24" i="130"/>
  <c r="Q13" i="130"/>
  <c r="Q10" i="130"/>
  <c r="K13" i="130"/>
  <c r="E7" i="130"/>
  <c r="B37" i="130"/>
  <c r="K8" i="130"/>
  <c r="M32" i="130"/>
  <c r="Q7" i="130"/>
  <c r="Q11" i="130"/>
  <c r="K19" i="130"/>
  <c r="L37" i="130"/>
  <c r="E10" i="130"/>
  <c r="Q22" i="130"/>
  <c r="K11" i="130"/>
  <c r="E18" i="130"/>
  <c r="K4" i="130"/>
  <c r="B31" i="130"/>
  <c r="I21" i="130"/>
  <c r="E6" i="130"/>
  <c r="K18" i="130"/>
  <c r="H31" i="130"/>
  <c r="Q5" i="130"/>
  <c r="Q18" i="130"/>
  <c r="E14" i="130"/>
  <c r="K14" i="130"/>
  <c r="K20" i="130"/>
  <c r="Q24" i="130"/>
  <c r="Q19" i="130"/>
  <c r="L38" i="130"/>
  <c r="H38" i="130"/>
  <c r="C32" i="130"/>
  <c r="P21" i="130"/>
  <c r="M37" i="130"/>
  <c r="Q6" i="130"/>
  <c r="K15" i="130"/>
  <c r="G37" i="130"/>
  <c r="E9" i="130"/>
  <c r="L36" i="130"/>
  <c r="E19" i="130"/>
  <c r="CQ49" i="124" l="1"/>
  <c r="CQ49" i="123"/>
  <c r="M33" i="130"/>
  <c r="D38" i="130"/>
  <c r="CV49" i="118"/>
  <c r="I31" i="130"/>
  <c r="M39" i="130"/>
  <c r="H33" i="130"/>
  <c r="D31" i="130"/>
  <c r="D32" i="130"/>
  <c r="H39" i="130"/>
  <c r="I37" i="130"/>
  <c r="N38" i="130"/>
  <c r="I25" i="130"/>
  <c r="Q31" i="130"/>
  <c r="D36" i="130"/>
  <c r="B39" i="130"/>
  <c r="Q21" i="130"/>
  <c r="Q25" i="130" s="1"/>
  <c r="R32" i="130"/>
  <c r="R38" i="130" s="1"/>
  <c r="P25" i="130"/>
  <c r="K21" i="130"/>
  <c r="K25" i="130" s="1"/>
  <c r="C25" i="130"/>
  <c r="Q30" i="130"/>
  <c r="R31" i="130"/>
  <c r="R37" i="130" s="1"/>
  <c r="J25" i="130"/>
  <c r="N30" i="130"/>
  <c r="L33" i="130"/>
  <c r="O25" i="130"/>
  <c r="Q32" i="130"/>
  <c r="L39" i="130"/>
  <c r="N36" i="130"/>
  <c r="E21" i="130"/>
  <c r="E25" i="130" s="1"/>
  <c r="I36" i="130"/>
  <c r="G39" i="130"/>
  <c r="R30" i="130"/>
  <c r="D25" i="130"/>
  <c r="B33" i="130"/>
  <c r="D30" i="130"/>
  <c r="C33" i="130"/>
  <c r="D37" i="130"/>
  <c r="I38" i="130"/>
  <c r="I32" i="130"/>
  <c r="C39" i="130"/>
  <c r="N32" i="130"/>
  <c r="I30" i="130"/>
  <c r="G33" i="130"/>
  <c r="N31" i="130"/>
  <c r="N37" i="130"/>
  <c r="N39" i="130" l="1"/>
  <c r="N33" i="130"/>
  <c r="Q33" i="130"/>
  <c r="Q36" i="130"/>
  <c r="S30" i="130"/>
  <c r="I33" i="130"/>
  <c r="D33" i="130"/>
  <c r="S32" i="130"/>
  <c r="Q38" i="130"/>
  <c r="S38" i="130" s="1"/>
  <c r="S31" i="130"/>
  <c r="Q37" i="130"/>
  <c r="S37" i="130" s="1"/>
  <c r="R36" i="130"/>
  <c r="R39" i="130" s="1"/>
  <c r="R33" i="130"/>
  <c r="I39" i="130"/>
  <c r="D39" i="130"/>
  <c r="S33" i="130" l="1"/>
  <c r="Q39" i="130"/>
  <c r="S39" i="130" s="1"/>
  <c r="S36" i="130"/>
</calcChain>
</file>

<file path=xl/sharedStrings.xml><?xml version="1.0" encoding="utf-8"?>
<sst xmlns="http://schemas.openxmlformats.org/spreadsheetml/2006/main" count="14440" uniqueCount="4427">
  <si>
    <t>陳柏勳</t>
  </si>
  <si>
    <t>體育二忠</t>
    <phoneticPr fontId="2" type="noConversion"/>
  </si>
  <si>
    <t>修正</t>
    <phoneticPr fontId="2" type="noConversion"/>
  </si>
  <si>
    <t>班級</t>
    <phoneticPr fontId="2" type="noConversion"/>
  </si>
  <si>
    <t>班級</t>
    <phoneticPr fontId="2" type="noConversion"/>
  </si>
  <si>
    <t>電子一忠</t>
  </si>
  <si>
    <t>體育一忠</t>
  </si>
  <si>
    <t>男</t>
    <phoneticPr fontId="2" type="noConversion"/>
  </si>
  <si>
    <t>035211</t>
  </si>
  <si>
    <t>施博翔</t>
  </si>
  <si>
    <t xml:space="preserve">      </t>
  </si>
  <si>
    <t xml:space="preserve">       </t>
  </si>
  <si>
    <t>一 年 級</t>
  </si>
  <si>
    <t>二 年 級</t>
  </si>
  <si>
    <t>三 年 級</t>
  </si>
  <si>
    <r>
      <t>班</t>
    </r>
    <r>
      <rPr>
        <sz val="12"/>
        <rFont val="Times New Roman"/>
        <family val="1"/>
      </rPr>
      <t xml:space="preserve">    </t>
    </r>
    <r>
      <rPr>
        <sz val="12"/>
        <rFont val="標楷體"/>
        <family val="4"/>
        <charset val="136"/>
      </rPr>
      <t>級</t>
    </r>
  </si>
  <si>
    <r>
      <t xml:space="preserve">  </t>
    </r>
    <r>
      <rPr>
        <sz val="12"/>
        <rFont val="標楷體"/>
        <family val="4"/>
        <charset val="136"/>
      </rPr>
      <t>導</t>
    </r>
    <r>
      <rPr>
        <sz val="12"/>
        <rFont val="Times New Roman"/>
        <family val="1"/>
      </rPr>
      <t xml:space="preserve">  </t>
    </r>
    <r>
      <rPr>
        <sz val="12"/>
        <rFont val="標楷體"/>
        <family val="4"/>
        <charset val="136"/>
      </rPr>
      <t>師</t>
    </r>
    <r>
      <rPr>
        <sz val="12"/>
        <rFont val="Times New Roman"/>
        <family val="1"/>
      </rPr>
      <t xml:space="preserve">  </t>
    </r>
  </si>
  <si>
    <r>
      <t xml:space="preserve"> </t>
    </r>
    <r>
      <rPr>
        <sz val="12"/>
        <rFont val="標楷體"/>
        <family val="4"/>
        <charset val="136"/>
      </rPr>
      <t>男</t>
    </r>
    <r>
      <rPr>
        <sz val="12"/>
        <rFont val="Times New Roman"/>
        <family val="1"/>
      </rPr>
      <t xml:space="preserve"> </t>
    </r>
  </si>
  <si>
    <r>
      <t xml:space="preserve"> </t>
    </r>
    <r>
      <rPr>
        <sz val="12"/>
        <rFont val="標楷體"/>
        <family val="4"/>
        <charset val="136"/>
      </rPr>
      <t>女</t>
    </r>
  </si>
  <si>
    <r>
      <t xml:space="preserve"> </t>
    </r>
    <r>
      <rPr>
        <sz val="12"/>
        <rFont val="標楷體"/>
        <family val="4"/>
        <charset val="136"/>
      </rPr>
      <t>合計</t>
    </r>
  </si>
  <si>
    <t>全一年級</t>
    <phoneticPr fontId="2" type="noConversion"/>
  </si>
  <si>
    <t>全二年級</t>
    <phoneticPr fontId="2" type="noConversion"/>
  </si>
  <si>
    <t>全三年級</t>
    <phoneticPr fontId="2" type="noConversion"/>
  </si>
  <si>
    <t>科別</t>
    <phoneticPr fontId="2" type="noConversion"/>
  </si>
  <si>
    <r>
      <t xml:space="preserve">   </t>
    </r>
    <r>
      <rPr>
        <sz val="12"/>
        <rFont val="標楷體"/>
        <family val="4"/>
        <charset val="136"/>
      </rPr>
      <t>電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子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科</t>
    </r>
    <r>
      <rPr>
        <sz val="12"/>
        <rFont val="Times New Roman"/>
        <family val="1"/>
      </rPr>
      <t xml:space="preserve">      </t>
    </r>
    <phoneticPr fontId="2" type="noConversion"/>
  </si>
  <si>
    <r>
      <t xml:space="preserve">     </t>
    </r>
    <r>
      <rPr>
        <sz val="12"/>
        <rFont val="標楷體"/>
        <family val="4"/>
        <charset val="136"/>
      </rPr>
      <t>資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訊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科</t>
    </r>
    <r>
      <rPr>
        <sz val="12"/>
        <rFont val="Times New Roman"/>
        <family val="1"/>
      </rPr>
      <t xml:space="preserve">   </t>
    </r>
    <phoneticPr fontId="2" type="noConversion"/>
  </si>
  <si>
    <r>
      <t xml:space="preserve">    </t>
    </r>
    <r>
      <rPr>
        <sz val="12"/>
        <rFont val="標楷體"/>
        <family val="4"/>
        <charset val="136"/>
      </rPr>
      <t>冷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凍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科</t>
    </r>
    <r>
      <rPr>
        <sz val="12"/>
        <rFont val="Times New Roman"/>
        <family val="1"/>
      </rPr>
      <t xml:space="preserve">     </t>
    </r>
    <phoneticPr fontId="2" type="noConversion"/>
  </si>
  <si>
    <r>
      <t xml:space="preserve"> </t>
    </r>
    <r>
      <rPr>
        <sz val="12"/>
        <rFont val="標楷體"/>
        <family val="4"/>
        <charset val="136"/>
      </rPr>
      <t>女</t>
    </r>
    <r>
      <rPr>
        <sz val="12"/>
        <rFont val="Times New Roman"/>
        <family val="1"/>
      </rPr>
      <t xml:space="preserve"> </t>
    </r>
  </si>
  <si>
    <t>小計</t>
    <phoneticPr fontId="2" type="noConversion"/>
  </si>
  <si>
    <r>
      <t xml:space="preserve"> </t>
    </r>
    <r>
      <rPr>
        <sz val="12"/>
        <rFont val="標楷體"/>
        <family val="4"/>
        <charset val="136"/>
      </rPr>
      <t>男</t>
    </r>
    <r>
      <rPr>
        <sz val="12"/>
        <rFont val="Times New Roman"/>
        <family val="1"/>
      </rPr>
      <t xml:space="preserve"> </t>
    </r>
    <phoneticPr fontId="2" type="noConversion"/>
  </si>
  <si>
    <r>
      <t xml:space="preserve"> </t>
    </r>
    <r>
      <rPr>
        <sz val="12"/>
        <rFont val="標楷體"/>
        <family val="4"/>
        <charset val="136"/>
      </rPr>
      <t>小計</t>
    </r>
    <phoneticPr fontId="2" type="noConversion"/>
  </si>
  <si>
    <t>合計</t>
    <phoneticPr fontId="2" type="noConversion"/>
  </si>
  <si>
    <r>
      <t>一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年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級</t>
    </r>
    <r>
      <rPr>
        <sz val="12"/>
        <rFont val="Times New Roman"/>
        <family val="1"/>
      </rPr>
      <t xml:space="preserve"> </t>
    </r>
  </si>
  <si>
    <r>
      <t>二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年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級</t>
    </r>
    <r>
      <rPr>
        <sz val="12"/>
        <rFont val="Times New Roman"/>
        <family val="1"/>
      </rPr>
      <t xml:space="preserve"> </t>
    </r>
  </si>
  <si>
    <r>
      <t>三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年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級</t>
    </r>
    <r>
      <rPr>
        <sz val="12"/>
        <rFont val="Times New Roman"/>
        <family val="1"/>
      </rPr>
      <t xml:space="preserve"> </t>
    </r>
  </si>
  <si>
    <r>
      <t>合</t>
    </r>
    <r>
      <rPr>
        <sz val="12"/>
        <rFont val="Times New Roman"/>
        <family val="1"/>
      </rPr>
      <t xml:space="preserve">  </t>
    </r>
    <r>
      <rPr>
        <sz val="12"/>
        <rFont val="標楷體"/>
        <family val="4"/>
        <charset val="136"/>
      </rPr>
      <t>計</t>
    </r>
    <r>
      <rPr>
        <sz val="12"/>
        <rFont val="Times New Roman"/>
        <family val="1"/>
      </rPr>
      <t xml:space="preserve"> </t>
    </r>
  </si>
  <si>
    <r>
      <t xml:space="preserve">    </t>
    </r>
    <r>
      <rPr>
        <sz val="12"/>
        <rFont val="標楷體"/>
        <family val="4"/>
        <charset val="136"/>
      </rPr>
      <t>電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機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科</t>
    </r>
    <r>
      <rPr>
        <sz val="12"/>
        <rFont val="Times New Roman"/>
        <family val="1"/>
      </rPr>
      <t xml:space="preserve">  </t>
    </r>
  </si>
  <si>
    <r>
      <t xml:space="preserve"> </t>
    </r>
    <r>
      <rPr>
        <sz val="12"/>
        <rFont val="標楷體"/>
        <family val="4"/>
        <charset val="136"/>
      </rPr>
      <t>控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制</t>
    </r>
    <r>
      <rPr>
        <sz val="12"/>
        <rFont val="Times New Roman"/>
        <family val="1"/>
      </rPr>
      <t xml:space="preserve"> </t>
    </r>
    <r>
      <rPr>
        <sz val="12"/>
        <rFont val="標楷體"/>
        <family val="4"/>
        <charset val="136"/>
      </rPr>
      <t>科</t>
    </r>
    <r>
      <rPr>
        <sz val="12"/>
        <rFont val="Times New Roman"/>
        <family val="1"/>
      </rPr>
      <t xml:space="preserve">   </t>
    </r>
  </si>
  <si>
    <t>動作</t>
    <phoneticPr fontId="2" type="noConversion"/>
  </si>
  <si>
    <t>動作完成</t>
    <phoneticPr fontId="2" type="noConversion"/>
  </si>
  <si>
    <t>原因</t>
    <phoneticPr fontId="2" type="noConversion"/>
  </si>
  <si>
    <t>性別</t>
    <phoneticPr fontId="2" type="noConversion"/>
  </si>
  <si>
    <t>男</t>
    <phoneticPr fontId="2" type="noConversion"/>
  </si>
  <si>
    <t>男</t>
    <phoneticPr fontId="4" type="noConversion"/>
  </si>
  <si>
    <t>女</t>
    <phoneticPr fontId="4" type="noConversion"/>
  </si>
  <si>
    <t>全班人數</t>
    <phoneticPr fontId="4" type="noConversion"/>
  </si>
  <si>
    <t>電子一孝</t>
  </si>
  <si>
    <t>電子一仁</t>
  </si>
  <si>
    <t>電子一愛</t>
  </si>
  <si>
    <t>電機一忠</t>
  </si>
  <si>
    <t>電機一孝</t>
  </si>
  <si>
    <t>電機一仁</t>
  </si>
  <si>
    <t>電機一愛</t>
  </si>
  <si>
    <t>資訊一忠</t>
  </si>
  <si>
    <t>資訊一孝</t>
  </si>
  <si>
    <t>控制一忠</t>
  </si>
  <si>
    <t>控制一孝</t>
  </si>
  <si>
    <t>冷凍一忠</t>
  </si>
  <si>
    <t>冷凍一孝</t>
  </si>
  <si>
    <t>男</t>
  </si>
  <si>
    <t>女</t>
  </si>
  <si>
    <t>資訊一仁</t>
  </si>
  <si>
    <t>電子二忠</t>
  </si>
  <si>
    <t>電子二孝</t>
  </si>
  <si>
    <t>電子二仁</t>
  </si>
  <si>
    <t>原班級</t>
    <phoneticPr fontId="2" type="noConversion"/>
  </si>
  <si>
    <t>性別</t>
    <phoneticPr fontId="2" type="noConversion"/>
  </si>
  <si>
    <t>動作</t>
    <phoneticPr fontId="2" type="noConversion"/>
  </si>
  <si>
    <t>電子二愛</t>
  </si>
  <si>
    <t>電機二忠</t>
  </si>
  <si>
    <t>電機二孝</t>
  </si>
  <si>
    <t>電機二仁</t>
  </si>
  <si>
    <t>電機二愛</t>
  </si>
  <si>
    <t>資訊二忠</t>
  </si>
  <si>
    <t>資訊二孝</t>
  </si>
  <si>
    <t>資訊二仁</t>
  </si>
  <si>
    <t>控制二忠</t>
  </si>
  <si>
    <t>控制二孝</t>
  </si>
  <si>
    <t>冷凍二忠</t>
  </si>
  <si>
    <t>冷凍二孝</t>
  </si>
  <si>
    <t>體育二忠</t>
  </si>
  <si>
    <t>電子三忠</t>
  </si>
  <si>
    <t>電子三孝</t>
  </si>
  <si>
    <t>電子三仁</t>
  </si>
  <si>
    <t>電子三愛</t>
  </si>
  <si>
    <t>電機三忠</t>
  </si>
  <si>
    <t>電機三孝</t>
  </si>
  <si>
    <t>電機三仁</t>
  </si>
  <si>
    <t>電機三愛</t>
  </si>
  <si>
    <t>資訊三忠</t>
  </si>
  <si>
    <t>資訊三孝</t>
  </si>
  <si>
    <t>資訊三仁</t>
  </si>
  <si>
    <t>控制三忠</t>
  </si>
  <si>
    <t>控制三孝</t>
  </si>
  <si>
    <t>冷凍三忠</t>
  </si>
  <si>
    <t>冷凍三孝</t>
  </si>
  <si>
    <t>班級</t>
  </si>
  <si>
    <t>體育三忠</t>
  </si>
  <si>
    <t>學期</t>
  </si>
  <si>
    <t>日期</t>
  </si>
  <si>
    <t>學號</t>
  </si>
  <si>
    <t>姓名</t>
  </si>
  <si>
    <t>科別</t>
  </si>
  <si>
    <t>年級</t>
  </si>
  <si>
    <t>座號</t>
  </si>
  <si>
    <t>編號</t>
  </si>
  <si>
    <t>異動情形</t>
  </si>
  <si>
    <t>班級</t>
    <phoneticPr fontId="4" type="noConversion"/>
  </si>
  <si>
    <t>座號</t>
    <phoneticPr fontId="4" type="noConversion"/>
  </si>
  <si>
    <t>學號</t>
    <phoneticPr fontId="4" type="noConversion"/>
  </si>
  <si>
    <t>姓名</t>
    <phoneticPr fontId="4" type="noConversion"/>
  </si>
  <si>
    <t>性別</t>
    <phoneticPr fontId="4" type="noConversion"/>
  </si>
  <si>
    <t>體育一忠</t>
    <phoneticPr fontId="2" type="noConversion"/>
  </si>
  <si>
    <t>總計</t>
  </si>
  <si>
    <t>性別</t>
  </si>
  <si>
    <t>修改狀況</t>
    <phoneticPr fontId="2" type="noConversion"/>
  </si>
  <si>
    <t>計數 - 性別</t>
  </si>
  <si>
    <t>應外三忠</t>
  </si>
  <si>
    <t>應外三孝</t>
  </si>
  <si>
    <t>陳彥勳</t>
  </si>
  <si>
    <t>043332</t>
  </si>
  <si>
    <t>樊孟哲</t>
  </si>
  <si>
    <t>042433</t>
  </si>
  <si>
    <t>謝享均</t>
  </si>
  <si>
    <t>編號</t>
    <phoneticPr fontId="2" type="noConversion"/>
  </si>
  <si>
    <t>編入班級</t>
    <phoneticPr fontId="2" type="noConversion"/>
  </si>
  <si>
    <t>編入年級</t>
    <phoneticPr fontId="2" type="noConversion"/>
  </si>
  <si>
    <t>轉科生</t>
  </si>
  <si>
    <t>動作完成(Y/N)</t>
    <phoneticPr fontId="2" type="noConversion"/>
  </si>
  <si>
    <t>復學生</t>
  </si>
  <si>
    <t>電機二仁</t>
    <phoneticPr fontId="2" type="noConversion"/>
  </si>
  <si>
    <t>休學</t>
    <phoneticPr fontId="2" type="noConversion"/>
  </si>
  <si>
    <t>035114</t>
    <phoneticPr fontId="2" type="noConversion"/>
  </si>
  <si>
    <t>控制一忠</t>
    <phoneticPr fontId="2" type="noConversion"/>
  </si>
  <si>
    <t>轉出</t>
    <phoneticPr fontId="2" type="noConversion"/>
  </si>
  <si>
    <t>冷凍一孝</t>
    <phoneticPr fontId="2" type="noConversion"/>
  </si>
  <si>
    <t>資訊二孝</t>
    <phoneticPr fontId="2" type="noConversion"/>
  </si>
  <si>
    <t>資訊一忠</t>
    <phoneticPr fontId="2" type="noConversion"/>
  </si>
  <si>
    <t>電子一孝</t>
    <phoneticPr fontId="2" type="noConversion"/>
  </si>
  <si>
    <t>冷凍二孝</t>
    <phoneticPr fontId="2" type="noConversion"/>
  </si>
  <si>
    <t>電機一仁</t>
    <phoneticPr fontId="2" type="noConversion"/>
  </si>
  <si>
    <t>陳柏宇</t>
  </si>
  <si>
    <t>王柏翔</t>
  </si>
  <si>
    <t>陳柏霖</t>
  </si>
  <si>
    <t>李晏塾</t>
  </si>
  <si>
    <t>*張心慈</t>
  </si>
  <si>
    <t>058215</t>
  </si>
  <si>
    <t>053217</t>
  </si>
  <si>
    <t>張凱傑</t>
  </si>
  <si>
    <t>許裴洛</t>
  </si>
  <si>
    <t>陳冠廷</t>
  </si>
  <si>
    <t>055138</t>
  </si>
  <si>
    <t>羅勝鴻</t>
  </si>
  <si>
    <t>一年級</t>
    <phoneticPr fontId="4" type="noConversion"/>
  </si>
  <si>
    <t>二年級</t>
    <phoneticPr fontId="4" type="noConversion"/>
  </si>
  <si>
    <t>三年級</t>
    <phoneticPr fontId="4" type="noConversion"/>
  </si>
  <si>
    <t>控制二孝</t>
    <phoneticPr fontId="2" type="noConversion"/>
  </si>
  <si>
    <t>休學</t>
    <phoneticPr fontId="2" type="noConversion"/>
  </si>
  <si>
    <t>電子一忠</t>
    <phoneticPr fontId="2" type="noConversion"/>
  </si>
  <si>
    <t>ok</t>
    <phoneticPr fontId="2" type="noConversion"/>
  </si>
  <si>
    <t>電子二孝</t>
    <phoneticPr fontId="2" type="noConversion"/>
  </si>
  <si>
    <t>電子一愛</t>
    <phoneticPr fontId="2" type="noConversion"/>
  </si>
  <si>
    <t>資訊三忠</t>
    <phoneticPr fontId="2" type="noConversion"/>
  </si>
  <si>
    <t>休學</t>
  </si>
  <si>
    <t>ok</t>
  </si>
  <si>
    <t>052126</t>
    <phoneticPr fontId="2" type="noConversion"/>
  </si>
  <si>
    <t>055208</t>
    <phoneticPr fontId="2" type="noConversion"/>
  </si>
  <si>
    <t>電子二仁</t>
    <phoneticPr fontId="2" type="noConversion"/>
  </si>
  <si>
    <t>053134</t>
    <phoneticPr fontId="2" type="noConversion"/>
  </si>
  <si>
    <t>1061移除</t>
    <phoneticPr fontId="2" type="noConversion"/>
  </si>
  <si>
    <t>休學(出國)</t>
    <phoneticPr fontId="2" type="noConversion"/>
  </si>
  <si>
    <t>資訊一仁</t>
    <phoneticPr fontId="2" type="noConversion"/>
  </si>
  <si>
    <t>062301</t>
  </si>
  <si>
    <t>王柏閎</t>
  </si>
  <si>
    <t>068202</t>
  </si>
  <si>
    <t>朱品翰</t>
  </si>
  <si>
    <t>068204</t>
  </si>
  <si>
    <t>吳浩源</t>
  </si>
  <si>
    <t>065205</t>
  </si>
  <si>
    <t>吳柏均</t>
  </si>
  <si>
    <t>063307</t>
  </si>
  <si>
    <t>卓那謙誠</t>
  </si>
  <si>
    <t>062408</t>
  </si>
  <si>
    <t>林紘任</t>
  </si>
  <si>
    <t>062112</t>
  </si>
  <si>
    <t>耿旨宏</t>
  </si>
  <si>
    <t>064115</t>
  </si>
  <si>
    <t>陳彥儒</t>
  </si>
  <si>
    <t>061116</t>
  </si>
  <si>
    <t>*彭妤婷</t>
  </si>
  <si>
    <t>061219</t>
  </si>
  <si>
    <t>許宸瑋</t>
  </si>
  <si>
    <t>061319</t>
  </si>
  <si>
    <t>張諱顥</t>
  </si>
  <si>
    <t>063321</t>
  </si>
  <si>
    <t>郭宜傑</t>
  </si>
  <si>
    <t>陳柏安</t>
  </si>
  <si>
    <t>062324</t>
  </si>
  <si>
    <t>陳駿錡</t>
  </si>
  <si>
    <t>065224</t>
  </si>
  <si>
    <t>陳泓維</t>
  </si>
  <si>
    <t>黃泓喆</t>
  </si>
  <si>
    <t>062426</t>
  </si>
  <si>
    <t>063127</t>
  </si>
  <si>
    <t>梁辰安</t>
  </si>
  <si>
    <t>068227</t>
  </si>
  <si>
    <t>蔡文耕</t>
  </si>
  <si>
    <t>065228</t>
  </si>
  <si>
    <t>陳翔恩</t>
  </si>
  <si>
    <t>063330</t>
  </si>
  <si>
    <t>廖永立</t>
  </si>
  <si>
    <t>064230</t>
  </si>
  <si>
    <t>劉緯杰</t>
  </si>
  <si>
    <t>*黃湘芸</t>
  </si>
  <si>
    <t>061435</t>
  </si>
  <si>
    <t>*顏若卉</t>
  </si>
  <si>
    <t>063336</t>
  </si>
  <si>
    <t>065107</t>
  </si>
  <si>
    <t>林丞恩</t>
  </si>
  <si>
    <t>065108</t>
  </si>
  <si>
    <t>林品諺</t>
  </si>
  <si>
    <t>065109</t>
  </si>
  <si>
    <t>林家毅</t>
  </si>
  <si>
    <t>065113</t>
  </si>
  <si>
    <t>胡益幃</t>
  </si>
  <si>
    <t>065117</t>
  </si>
  <si>
    <t>張耀林</t>
  </si>
  <si>
    <t>體育三忠</t>
    <phoneticPr fontId="2" type="noConversion"/>
  </si>
  <si>
    <t>體育一忠</t>
    <phoneticPr fontId="2" type="noConversion"/>
  </si>
  <si>
    <t>057104</t>
    <phoneticPr fontId="2" type="noConversion"/>
  </si>
  <si>
    <t>宋敏嘉</t>
    <phoneticPr fontId="2" type="noConversion"/>
  </si>
  <si>
    <t>男</t>
    <phoneticPr fontId="2" type="noConversion"/>
  </si>
  <si>
    <t>轉出</t>
    <phoneticPr fontId="2" type="noConversion"/>
  </si>
  <si>
    <t>1061移除</t>
    <phoneticPr fontId="2" type="noConversion"/>
  </si>
  <si>
    <t>轉學(泰山或育達)</t>
    <phoneticPr fontId="2" type="noConversion"/>
  </si>
  <si>
    <t>資訊一忠</t>
    <phoneticPr fontId="2" type="noConversion"/>
  </si>
  <si>
    <t>053130</t>
    <phoneticPr fontId="2" type="noConversion"/>
  </si>
  <si>
    <t>費詠緹</t>
    <phoneticPr fontId="2" type="noConversion"/>
  </si>
  <si>
    <t>女</t>
    <phoneticPr fontId="2" type="noConversion"/>
  </si>
  <si>
    <t>轉學(松山家商)</t>
    <phoneticPr fontId="2" type="noConversion"/>
  </si>
  <si>
    <t>應外二忠</t>
    <phoneticPr fontId="2" type="noConversion"/>
  </si>
  <si>
    <t>048136</t>
    <phoneticPr fontId="2" type="noConversion"/>
  </si>
  <si>
    <t>陳玟璇</t>
    <phoneticPr fontId="2" type="noConversion"/>
  </si>
  <si>
    <t>女</t>
    <phoneticPr fontId="2" type="noConversion"/>
  </si>
  <si>
    <t>轉出</t>
    <phoneticPr fontId="2" type="noConversion"/>
  </si>
  <si>
    <t>1061移除</t>
    <phoneticPr fontId="2" type="noConversion"/>
  </si>
  <si>
    <t>轉學(士林高商)</t>
    <phoneticPr fontId="2" type="noConversion"/>
  </si>
  <si>
    <t>電機二孝</t>
    <phoneticPr fontId="2" type="noConversion"/>
  </si>
  <si>
    <t>042238</t>
    <phoneticPr fontId="2" type="noConversion"/>
  </si>
  <si>
    <t>盧邵瑜</t>
    <phoneticPr fontId="2" type="noConversion"/>
  </si>
  <si>
    <t>男</t>
    <phoneticPr fontId="2" type="noConversion"/>
  </si>
  <si>
    <t>轉出</t>
    <phoneticPr fontId="2" type="noConversion"/>
  </si>
  <si>
    <t>1061移除</t>
    <phoneticPr fontId="2" type="noConversion"/>
  </si>
  <si>
    <t>轉學(南強高職)</t>
    <phoneticPr fontId="2" type="noConversion"/>
  </si>
  <si>
    <t>ok</t>
    <phoneticPr fontId="2" type="noConversion"/>
  </si>
  <si>
    <t>電子一仁</t>
    <phoneticPr fontId="2" type="noConversion"/>
  </si>
  <si>
    <t>051312</t>
    <phoneticPr fontId="2" type="noConversion"/>
  </si>
  <si>
    <t>邱聖翊</t>
    <phoneticPr fontId="2" type="noConversion"/>
  </si>
  <si>
    <t>轉學(北市商國貿)</t>
    <phoneticPr fontId="2" type="noConversion"/>
  </si>
  <si>
    <t>許譹譯</t>
  </si>
  <si>
    <t>資訊二仁</t>
    <phoneticPr fontId="2" type="noConversion"/>
  </si>
  <si>
    <t>轉出</t>
    <phoneticPr fontId="2" type="noConversion"/>
  </si>
  <si>
    <t>轉學(私立大同)</t>
    <phoneticPr fontId="2" type="noConversion"/>
  </si>
  <si>
    <t>ok</t>
    <phoneticPr fontId="2" type="noConversion"/>
  </si>
  <si>
    <t>1061移除</t>
    <phoneticPr fontId="2" type="noConversion"/>
  </si>
  <si>
    <t>ok</t>
    <phoneticPr fontId="2" type="noConversion"/>
  </si>
  <si>
    <t>控制一忠</t>
    <phoneticPr fontId="2" type="noConversion"/>
  </si>
  <si>
    <t>休學</t>
    <phoneticPr fontId="2" type="noConversion"/>
  </si>
  <si>
    <t>1061移除</t>
  </si>
  <si>
    <t>電機三愛</t>
    <phoneticPr fontId="2" type="noConversion"/>
  </si>
  <si>
    <t>控制二忠</t>
    <phoneticPr fontId="2" type="noConversion"/>
  </si>
  <si>
    <t>054123</t>
    <phoneticPr fontId="2" type="noConversion"/>
  </si>
  <si>
    <t>陳易東</t>
    <phoneticPr fontId="2" type="noConversion"/>
  </si>
  <si>
    <t>轉出</t>
    <phoneticPr fontId="2" type="noConversion"/>
  </si>
  <si>
    <t>應外一孝</t>
    <phoneticPr fontId="2" type="noConversion"/>
  </si>
  <si>
    <t>資訊一仁</t>
    <phoneticPr fontId="2" type="noConversion"/>
  </si>
  <si>
    <t>053303</t>
    <phoneticPr fontId="2" type="noConversion"/>
  </si>
  <si>
    <t>王穎欣</t>
    <phoneticPr fontId="2" type="noConversion"/>
  </si>
  <si>
    <t>女</t>
    <phoneticPr fontId="2" type="noConversion"/>
  </si>
  <si>
    <t>電機一愛</t>
    <phoneticPr fontId="2" type="noConversion"/>
  </si>
  <si>
    <t>轉出(康橋高中)</t>
    <phoneticPr fontId="2" type="noConversion"/>
  </si>
  <si>
    <t>已移除</t>
    <phoneticPr fontId="2" type="noConversion"/>
  </si>
  <si>
    <t>ok</t>
    <phoneticPr fontId="2" type="noConversion"/>
  </si>
  <si>
    <t>電機一仁</t>
    <phoneticPr fontId="2" type="noConversion"/>
  </si>
  <si>
    <t>冷凍二孝</t>
    <phoneticPr fontId="2" type="noConversion"/>
  </si>
  <si>
    <t>045217</t>
    <phoneticPr fontId="2" type="noConversion"/>
  </si>
  <si>
    <t>虎晉瑋</t>
    <phoneticPr fontId="2" type="noConversion"/>
  </si>
  <si>
    <t>男</t>
    <phoneticPr fontId="2" type="noConversion"/>
  </si>
  <si>
    <t>休學</t>
    <phoneticPr fontId="2" type="noConversion"/>
  </si>
  <si>
    <t>電子一孝</t>
    <phoneticPr fontId="2" type="noConversion"/>
  </si>
  <si>
    <t>冷凍一忠</t>
    <phoneticPr fontId="2" type="noConversion"/>
  </si>
  <si>
    <t>ok</t>
    <phoneticPr fontId="2" type="noConversion"/>
  </si>
  <si>
    <t>冷凍三忠</t>
    <phoneticPr fontId="2" type="noConversion"/>
  </si>
  <si>
    <t>放棄學籍</t>
  </si>
  <si>
    <t>放棄學籍</t>
    <phoneticPr fontId="2" type="noConversion"/>
  </si>
  <si>
    <t>1062移除</t>
    <phoneticPr fontId="2" type="noConversion"/>
  </si>
  <si>
    <t>ok</t>
    <phoneticPr fontId="2" type="noConversion"/>
  </si>
  <si>
    <t>冷凍二忠</t>
    <phoneticPr fontId="2" type="noConversion"/>
  </si>
  <si>
    <t>資訊一忠</t>
    <phoneticPr fontId="2" type="noConversion"/>
  </si>
  <si>
    <t>032305</t>
    <phoneticPr fontId="2" type="noConversion"/>
  </si>
  <si>
    <t>吳昶毅</t>
    <phoneticPr fontId="2" type="noConversion"/>
  </si>
  <si>
    <t>男</t>
    <phoneticPr fontId="2" type="noConversion"/>
  </si>
  <si>
    <t>電機三仁</t>
    <phoneticPr fontId="2" type="noConversion"/>
  </si>
  <si>
    <t>ok</t>
    <phoneticPr fontId="2" type="noConversion"/>
  </si>
  <si>
    <t>轉出</t>
    <phoneticPr fontId="2" type="noConversion"/>
  </si>
  <si>
    <t>轉出(志趣不合)</t>
    <phoneticPr fontId="2" type="noConversion"/>
  </si>
  <si>
    <t>電機三愛</t>
    <phoneticPr fontId="2" type="noConversion"/>
  </si>
  <si>
    <t>042413</t>
    <phoneticPr fontId="2" type="noConversion"/>
  </si>
  <si>
    <t>常皓</t>
    <phoneticPr fontId="2" type="noConversion"/>
  </si>
  <si>
    <t>男</t>
    <phoneticPr fontId="2" type="noConversion"/>
  </si>
  <si>
    <t>轉出</t>
    <phoneticPr fontId="2" type="noConversion"/>
  </si>
  <si>
    <t>1061移除</t>
    <phoneticPr fontId="2" type="noConversion"/>
  </si>
  <si>
    <t>轉出(南山中學)</t>
    <phoneticPr fontId="2" type="noConversion"/>
  </si>
  <si>
    <t>冷凍一忠</t>
    <phoneticPr fontId="2" type="noConversion"/>
  </si>
  <si>
    <t>何旻亘</t>
    <phoneticPr fontId="2" type="noConversion"/>
  </si>
  <si>
    <t>1061移除</t>
    <phoneticPr fontId="2" type="noConversion"/>
  </si>
  <si>
    <t>轉出(中正預校)</t>
    <phoneticPr fontId="2" type="noConversion"/>
  </si>
  <si>
    <t>讀育達商職高一，依法移除學籍</t>
    <phoneticPr fontId="2" type="noConversion"/>
  </si>
  <si>
    <t>新生未註冊，依法放棄學籍</t>
    <phoneticPr fontId="2" type="noConversion"/>
  </si>
  <si>
    <t>7日未到校，依法註記休學</t>
    <phoneticPr fontId="2" type="noConversion"/>
  </si>
  <si>
    <t>轉出(台北海洋科技大學五專)</t>
    <phoneticPr fontId="2" type="noConversion"/>
  </si>
  <si>
    <t>廢除學籍</t>
    <phoneticPr fontId="2" type="noConversion"/>
  </si>
  <si>
    <t>轉出</t>
    <phoneticPr fontId="2" type="noConversion"/>
  </si>
  <si>
    <t>ok</t>
    <phoneticPr fontId="2" type="noConversion"/>
  </si>
  <si>
    <t>ok</t>
    <phoneticPr fontId="2" type="noConversion"/>
  </si>
  <si>
    <t>休學(出國)</t>
    <phoneticPr fontId="2" type="noConversion"/>
  </si>
  <si>
    <t>轉出(光仁高中)</t>
    <phoneticPr fontId="2" type="noConversion"/>
  </si>
  <si>
    <t>062234</t>
    <phoneticPr fontId="2" type="noConversion"/>
  </si>
  <si>
    <t>蔡仲捷</t>
    <phoneticPr fontId="2" type="noConversion"/>
  </si>
  <si>
    <t>男</t>
    <phoneticPr fontId="2" type="noConversion"/>
  </si>
  <si>
    <t>轉出</t>
    <phoneticPr fontId="2" type="noConversion"/>
  </si>
  <si>
    <t>電機一孝</t>
    <phoneticPr fontId="2" type="noConversion"/>
  </si>
  <si>
    <t>轉出(協和工商)</t>
    <phoneticPr fontId="2" type="noConversion"/>
  </si>
  <si>
    <t>讀育達商職高一</t>
    <phoneticPr fontId="2" type="noConversion"/>
  </si>
  <si>
    <t>052232</t>
    <phoneticPr fontId="2" type="noConversion"/>
  </si>
  <si>
    <t>潘宥廷</t>
    <phoneticPr fontId="2" type="noConversion"/>
  </si>
  <si>
    <t>男</t>
    <phoneticPr fontId="2" type="noConversion"/>
  </si>
  <si>
    <t>休學</t>
    <phoneticPr fontId="2" type="noConversion"/>
  </si>
  <si>
    <t>031307</t>
    <phoneticPr fontId="2" type="noConversion"/>
  </si>
  <si>
    <t>呂陳翰</t>
    <phoneticPr fontId="2" type="noConversion"/>
  </si>
  <si>
    <t>ok</t>
    <phoneticPr fontId="2" type="noConversion"/>
  </si>
  <si>
    <t>043222</t>
    <phoneticPr fontId="2" type="noConversion"/>
  </si>
  <si>
    <t>陳立杰</t>
    <phoneticPr fontId="2" type="noConversion"/>
  </si>
  <si>
    <t>男</t>
    <phoneticPr fontId="2" type="noConversion"/>
  </si>
  <si>
    <t>休學</t>
    <phoneticPr fontId="2" type="noConversion"/>
  </si>
  <si>
    <t>休學</t>
    <phoneticPr fontId="2" type="noConversion"/>
  </si>
  <si>
    <t>資訊三孝</t>
    <phoneticPr fontId="2" type="noConversion"/>
  </si>
  <si>
    <t>資訊二忠</t>
    <phoneticPr fontId="2" type="noConversion"/>
  </si>
  <si>
    <t>053116</t>
    <phoneticPr fontId="2" type="noConversion"/>
  </si>
  <si>
    <t>胡蘅玥</t>
    <phoneticPr fontId="2" type="noConversion"/>
  </si>
  <si>
    <t>應外一孝</t>
    <phoneticPr fontId="2" type="noConversion"/>
  </si>
  <si>
    <t>068207</t>
    <phoneticPr fontId="2" type="noConversion"/>
  </si>
  <si>
    <t>林欣亞</t>
    <phoneticPr fontId="2" type="noConversion"/>
  </si>
  <si>
    <t>女</t>
    <phoneticPr fontId="2" type="noConversion"/>
  </si>
  <si>
    <t>1062移除</t>
    <phoneticPr fontId="2" type="noConversion"/>
  </si>
  <si>
    <t>電子二孝</t>
    <phoneticPr fontId="2" type="noConversion"/>
  </si>
  <si>
    <t>呂陳翰</t>
    <phoneticPr fontId="2" type="noConversion"/>
  </si>
  <si>
    <t>男</t>
    <phoneticPr fontId="2" type="noConversion"/>
  </si>
  <si>
    <t>轉出</t>
    <phoneticPr fontId="2" type="noConversion"/>
  </si>
  <si>
    <t>1062移除</t>
    <phoneticPr fontId="2" type="noConversion"/>
  </si>
  <si>
    <t>ok</t>
    <phoneticPr fontId="2" type="noConversion"/>
  </si>
  <si>
    <t>原休學後轉出(出國)</t>
    <phoneticPr fontId="2" type="noConversion"/>
  </si>
  <si>
    <t>電子一忠</t>
    <phoneticPr fontId="2" type="noConversion"/>
  </si>
  <si>
    <t>061111</t>
    <phoneticPr fontId="2" type="noConversion"/>
  </si>
  <si>
    <t>李奕昇</t>
    <phoneticPr fontId="2" type="noConversion"/>
  </si>
  <si>
    <t>休學</t>
    <phoneticPr fontId="2" type="noConversion"/>
  </si>
  <si>
    <t>控制一忠</t>
    <phoneticPr fontId="2" type="noConversion"/>
  </si>
  <si>
    <t>064130</t>
    <phoneticPr fontId="2" type="noConversion"/>
  </si>
  <si>
    <t>劉敬</t>
    <phoneticPr fontId="2" type="noConversion"/>
  </si>
  <si>
    <t>男</t>
    <phoneticPr fontId="2" type="noConversion"/>
  </si>
  <si>
    <t>休學</t>
    <phoneticPr fontId="2" type="noConversion"/>
  </si>
  <si>
    <t>1062移除</t>
    <phoneticPr fontId="2" type="noConversion"/>
  </si>
  <si>
    <t>ok</t>
    <phoneticPr fontId="2" type="noConversion"/>
  </si>
  <si>
    <t>電機二忠</t>
    <phoneticPr fontId="2" type="noConversion"/>
  </si>
  <si>
    <t>052107</t>
    <phoneticPr fontId="2" type="noConversion"/>
  </si>
  <si>
    <t>李坤煌</t>
    <phoneticPr fontId="2" type="noConversion"/>
  </si>
  <si>
    <t>1062移除</t>
    <phoneticPr fontId="2" type="noConversion"/>
  </si>
  <si>
    <t>控制二忠</t>
    <phoneticPr fontId="2" type="noConversion"/>
  </si>
  <si>
    <t>054116</t>
    <phoneticPr fontId="2" type="noConversion"/>
  </si>
  <si>
    <t>林浩偉</t>
    <phoneticPr fontId="2" type="noConversion"/>
  </si>
  <si>
    <t>男</t>
    <phoneticPr fontId="2" type="noConversion"/>
  </si>
  <si>
    <t>休學</t>
    <phoneticPr fontId="2" type="noConversion"/>
  </si>
  <si>
    <t>資訊二孝</t>
    <phoneticPr fontId="2" type="noConversion"/>
  </si>
  <si>
    <t>053232</t>
    <phoneticPr fontId="2" type="noConversion"/>
  </si>
  <si>
    <t>鄭力宥</t>
    <phoneticPr fontId="2" type="noConversion"/>
  </si>
  <si>
    <t>男</t>
    <phoneticPr fontId="2" type="noConversion"/>
  </si>
  <si>
    <t>休學</t>
    <phoneticPr fontId="2" type="noConversion"/>
  </si>
  <si>
    <t>電機二忠</t>
    <phoneticPr fontId="2" type="noConversion"/>
  </si>
  <si>
    <t>052114</t>
    <phoneticPr fontId="2" type="noConversion"/>
  </si>
  <si>
    <t>紀宗廷</t>
    <phoneticPr fontId="2" type="noConversion"/>
  </si>
  <si>
    <t>男</t>
    <phoneticPr fontId="2" type="noConversion"/>
  </si>
  <si>
    <t>休學</t>
    <phoneticPr fontId="2" type="noConversion"/>
  </si>
  <si>
    <t>1062移除</t>
    <phoneticPr fontId="2" type="noConversion"/>
  </si>
  <si>
    <t>ok</t>
    <phoneticPr fontId="2" type="noConversion"/>
  </si>
  <si>
    <t>休學(擬提早復學至一下)</t>
    <phoneticPr fontId="2" type="noConversion"/>
  </si>
  <si>
    <t>電子二孝</t>
    <phoneticPr fontId="2" type="noConversion"/>
  </si>
  <si>
    <t>051207</t>
    <phoneticPr fontId="2" type="noConversion"/>
  </si>
  <si>
    <t>李孟翰</t>
    <phoneticPr fontId="2" type="noConversion"/>
  </si>
  <si>
    <t>男</t>
    <phoneticPr fontId="2" type="noConversion"/>
  </si>
  <si>
    <t>休學</t>
    <phoneticPr fontId="2" type="noConversion"/>
  </si>
  <si>
    <t>蘇郁淳</t>
  </si>
  <si>
    <t>ok</t>
    <phoneticPr fontId="2" type="noConversion"/>
  </si>
  <si>
    <t>ok</t>
    <phoneticPr fontId="2" type="noConversion"/>
  </si>
  <si>
    <t>轉科(應外)</t>
    <phoneticPr fontId="2" type="noConversion"/>
  </si>
  <si>
    <t>轉科(應外)</t>
    <phoneticPr fontId="2" type="noConversion"/>
  </si>
  <si>
    <t>電子二仁</t>
    <phoneticPr fontId="2" type="noConversion"/>
  </si>
  <si>
    <t>051321</t>
    <phoneticPr fontId="2" type="noConversion"/>
  </si>
  <si>
    <t>莊政翰</t>
    <phoneticPr fontId="2" type="noConversion"/>
  </si>
  <si>
    <t>男</t>
    <phoneticPr fontId="2" type="noConversion"/>
  </si>
  <si>
    <t>休學</t>
    <phoneticPr fontId="2" type="noConversion"/>
  </si>
  <si>
    <t>休學(志趣不合)</t>
    <phoneticPr fontId="2" type="noConversion"/>
  </si>
  <si>
    <t>資訊一忠</t>
    <phoneticPr fontId="2" type="noConversion"/>
  </si>
  <si>
    <t>063111</t>
    <phoneticPr fontId="2" type="noConversion"/>
  </si>
  <si>
    <t>林佑家</t>
    <phoneticPr fontId="2" type="noConversion"/>
  </si>
  <si>
    <t>男</t>
    <phoneticPr fontId="2" type="noConversion"/>
  </si>
  <si>
    <t>休學</t>
    <phoneticPr fontId="2" type="noConversion"/>
  </si>
  <si>
    <t>休學(重考)</t>
    <phoneticPr fontId="2" type="noConversion"/>
  </si>
  <si>
    <t>ok</t>
    <phoneticPr fontId="2" type="noConversion"/>
  </si>
  <si>
    <t>電機一愛</t>
    <phoneticPr fontId="2" type="noConversion"/>
  </si>
  <si>
    <t>062425</t>
    <phoneticPr fontId="2" type="noConversion"/>
  </si>
  <si>
    <t>黃仕祐</t>
    <phoneticPr fontId="2" type="noConversion"/>
  </si>
  <si>
    <t>男</t>
    <phoneticPr fontId="2" type="noConversion"/>
  </si>
  <si>
    <t>休學</t>
    <phoneticPr fontId="2" type="noConversion"/>
  </si>
  <si>
    <t>063327</t>
    <phoneticPr fontId="2" type="noConversion"/>
  </si>
  <si>
    <t>陳鵬宇</t>
    <phoneticPr fontId="2" type="noConversion"/>
  </si>
  <si>
    <t>休學</t>
    <phoneticPr fontId="2" type="noConversion"/>
  </si>
  <si>
    <t>男</t>
    <phoneticPr fontId="2" type="noConversion"/>
  </si>
  <si>
    <t>體育一忠</t>
    <phoneticPr fontId="2" type="noConversion"/>
  </si>
  <si>
    <t>067104</t>
    <phoneticPr fontId="2" type="noConversion"/>
  </si>
  <si>
    <t>李維樵</t>
    <phoneticPr fontId="2" type="noConversion"/>
  </si>
  <si>
    <t>ok</t>
    <phoneticPr fontId="2" type="noConversion"/>
  </si>
  <si>
    <t>電子一忠</t>
    <phoneticPr fontId="2" type="noConversion"/>
  </si>
  <si>
    <t>061102</t>
    <phoneticPr fontId="2" type="noConversion"/>
  </si>
  <si>
    <t>于乃亦</t>
    <phoneticPr fontId="2" type="noConversion"/>
  </si>
  <si>
    <t>男</t>
    <phoneticPr fontId="2" type="noConversion"/>
  </si>
  <si>
    <t>休學</t>
    <phoneticPr fontId="2" type="noConversion"/>
  </si>
  <si>
    <t>控制一孝</t>
    <phoneticPr fontId="2" type="noConversion"/>
  </si>
  <si>
    <t>064234</t>
    <phoneticPr fontId="2" type="noConversion"/>
  </si>
  <si>
    <t>謝政哲</t>
    <phoneticPr fontId="2" type="noConversion"/>
  </si>
  <si>
    <t>電子一仁</t>
    <phoneticPr fontId="2" type="noConversion"/>
  </si>
  <si>
    <t>061309</t>
    <phoneticPr fontId="2" type="noConversion"/>
  </si>
  <si>
    <t>宋育綸</t>
    <phoneticPr fontId="2" type="noConversion"/>
  </si>
  <si>
    <t>1062移除</t>
    <phoneticPr fontId="2" type="noConversion"/>
  </si>
  <si>
    <t>應外二忠</t>
    <phoneticPr fontId="2" type="noConversion"/>
  </si>
  <si>
    <t>058110</t>
    <phoneticPr fontId="2" type="noConversion"/>
  </si>
  <si>
    <t>周祖安</t>
    <phoneticPr fontId="2" type="noConversion"/>
  </si>
  <si>
    <t>女</t>
    <phoneticPr fontId="2" type="noConversion"/>
  </si>
  <si>
    <t>冷凍一忠</t>
    <phoneticPr fontId="2" type="noConversion"/>
  </si>
  <si>
    <t>065101</t>
    <phoneticPr fontId="2" type="noConversion"/>
  </si>
  <si>
    <t>王奕華</t>
    <phoneticPr fontId="2" type="noConversion"/>
  </si>
  <si>
    <t>電機一仁</t>
    <phoneticPr fontId="2" type="noConversion"/>
  </si>
  <si>
    <t>062320</t>
    <phoneticPr fontId="2" type="noConversion"/>
  </si>
  <si>
    <t>陳文典</t>
    <phoneticPr fontId="2" type="noConversion"/>
  </si>
  <si>
    <t>男</t>
    <phoneticPr fontId="2" type="noConversion"/>
  </si>
  <si>
    <t>1062移除</t>
    <phoneticPr fontId="2" type="noConversion"/>
  </si>
  <si>
    <t>ok</t>
    <phoneticPr fontId="2" type="noConversion"/>
  </si>
  <si>
    <t>冷凍一忠</t>
    <phoneticPr fontId="2" type="noConversion"/>
  </si>
  <si>
    <t>065126</t>
    <phoneticPr fontId="2" type="noConversion"/>
  </si>
  <si>
    <t>陳婉樺</t>
    <phoneticPr fontId="2" type="noConversion"/>
  </si>
  <si>
    <t>061227</t>
    <phoneticPr fontId="2" type="noConversion"/>
  </si>
  <si>
    <t>電子一孝</t>
    <phoneticPr fontId="2" type="noConversion"/>
  </si>
  <si>
    <t>彭筠</t>
    <phoneticPr fontId="2" type="noConversion"/>
  </si>
  <si>
    <t>女</t>
    <phoneticPr fontId="2" type="noConversion"/>
  </si>
  <si>
    <t>冷凍二孝</t>
    <phoneticPr fontId="2" type="noConversion"/>
  </si>
  <si>
    <t>055206</t>
    <phoneticPr fontId="2" type="noConversion"/>
  </si>
  <si>
    <t>何卷哲</t>
    <phoneticPr fontId="2" type="noConversion"/>
  </si>
  <si>
    <t>男</t>
    <phoneticPr fontId="2" type="noConversion"/>
  </si>
  <si>
    <t>休學</t>
    <phoneticPr fontId="2" type="noConversion"/>
  </si>
  <si>
    <t>1062移除</t>
    <phoneticPr fontId="2" type="noConversion"/>
  </si>
  <si>
    <t>休學(志趣不合)</t>
    <phoneticPr fontId="2" type="noConversion"/>
  </si>
  <si>
    <t>冷凍一孝</t>
    <phoneticPr fontId="2" type="noConversion"/>
  </si>
  <si>
    <t>065223</t>
    <phoneticPr fontId="2" type="noConversion"/>
  </si>
  <si>
    <t>陳明杰</t>
    <phoneticPr fontId="2" type="noConversion"/>
  </si>
  <si>
    <t>休學(同儕關係)</t>
    <phoneticPr fontId="2" type="noConversion"/>
  </si>
  <si>
    <t>資訊一忠</t>
    <phoneticPr fontId="2" type="noConversion"/>
  </si>
  <si>
    <t>063101</t>
    <phoneticPr fontId="2" type="noConversion"/>
  </si>
  <si>
    <t>丁律倫</t>
    <phoneticPr fontId="2" type="noConversion"/>
  </si>
  <si>
    <t>男</t>
    <phoneticPr fontId="2" type="noConversion"/>
  </si>
  <si>
    <t>休學</t>
    <phoneticPr fontId="2" type="noConversion"/>
  </si>
  <si>
    <t>休學(志趣不合)</t>
    <phoneticPr fontId="2" type="noConversion"/>
  </si>
  <si>
    <t>資訊三忠</t>
    <phoneticPr fontId="2" type="noConversion"/>
  </si>
  <si>
    <t>043134</t>
    <phoneticPr fontId="2" type="noConversion"/>
  </si>
  <si>
    <t>楊淳讚</t>
    <phoneticPr fontId="2" type="noConversion"/>
  </si>
  <si>
    <t>休學(不願到校)</t>
    <phoneticPr fontId="2" type="noConversion"/>
  </si>
  <si>
    <t>電機三孝</t>
    <phoneticPr fontId="2" type="noConversion"/>
  </si>
  <si>
    <t>042217</t>
    <phoneticPr fontId="2" type="noConversion"/>
  </si>
  <si>
    <t>馬緯翰</t>
    <phoneticPr fontId="2" type="noConversion"/>
  </si>
  <si>
    <t>1062移除</t>
    <phoneticPr fontId="2" type="noConversion"/>
  </si>
  <si>
    <t>休學(擬提早復學)</t>
    <phoneticPr fontId="2" type="noConversion"/>
  </si>
  <si>
    <t>撤銷休學</t>
    <phoneticPr fontId="2" type="noConversion"/>
  </si>
  <si>
    <t>資訊一忠</t>
    <phoneticPr fontId="2" type="noConversion"/>
  </si>
  <si>
    <t>063125</t>
    <phoneticPr fontId="2" type="noConversion"/>
  </si>
  <si>
    <t>張祐昇</t>
    <phoneticPr fontId="2" type="noConversion"/>
  </si>
  <si>
    <t>男</t>
    <phoneticPr fontId="2" type="noConversion"/>
  </si>
  <si>
    <t>休學</t>
    <phoneticPr fontId="2" type="noConversion"/>
  </si>
  <si>
    <t>1062移除</t>
    <phoneticPr fontId="2" type="noConversion"/>
  </si>
  <si>
    <t>電機二孝</t>
    <phoneticPr fontId="2" type="noConversion"/>
  </si>
  <si>
    <t>052208</t>
    <phoneticPr fontId="2" type="noConversion"/>
  </si>
  <si>
    <t>休學(出國)</t>
    <phoneticPr fontId="2" type="noConversion"/>
  </si>
  <si>
    <t>1062新增</t>
    <phoneticPr fontId="2" type="noConversion"/>
  </si>
  <si>
    <t>1062已移除</t>
    <phoneticPr fontId="2" type="noConversion"/>
  </si>
  <si>
    <t>自棄學籍(原休學)</t>
    <phoneticPr fontId="2" type="noConversion"/>
  </si>
  <si>
    <t>冷凍一忠</t>
    <phoneticPr fontId="2" type="noConversion"/>
  </si>
  <si>
    <t>休學</t>
    <phoneticPr fontId="2" type="noConversion"/>
  </si>
  <si>
    <t>休學(志趣不合)</t>
    <phoneticPr fontId="2" type="noConversion"/>
  </si>
  <si>
    <t>電機一忠</t>
    <phoneticPr fontId="2" type="noConversion"/>
  </si>
  <si>
    <t>林宥妤</t>
    <phoneticPr fontId="2" type="noConversion"/>
  </si>
  <si>
    <t>1062移除</t>
    <phoneticPr fontId="2" type="noConversion"/>
  </si>
  <si>
    <t>電子一愛</t>
    <phoneticPr fontId="2" type="noConversion"/>
  </si>
  <si>
    <t>061412</t>
    <phoneticPr fontId="2" type="noConversion"/>
  </si>
  <si>
    <t>林曉沛</t>
    <phoneticPr fontId="2" type="noConversion"/>
  </si>
  <si>
    <t>女</t>
    <phoneticPr fontId="2" type="noConversion"/>
  </si>
  <si>
    <t>休學</t>
    <phoneticPr fontId="2" type="noConversion"/>
  </si>
  <si>
    <t>1062移除</t>
    <phoneticPr fontId="2" type="noConversion"/>
  </si>
  <si>
    <t>資訊一忠</t>
    <phoneticPr fontId="2" type="noConversion"/>
  </si>
  <si>
    <t>063122</t>
    <phoneticPr fontId="2" type="noConversion"/>
  </si>
  <si>
    <t>馬季辰</t>
    <phoneticPr fontId="2" type="noConversion"/>
  </si>
  <si>
    <t>男</t>
    <phoneticPr fontId="2" type="noConversion"/>
  </si>
  <si>
    <t>控制二忠</t>
    <phoneticPr fontId="2" type="noConversion"/>
  </si>
  <si>
    <t>054105</t>
    <phoneticPr fontId="2" type="noConversion"/>
  </si>
  <si>
    <t>朱樂昀</t>
    <phoneticPr fontId="2" type="noConversion"/>
  </si>
  <si>
    <t>休學(出國)</t>
    <phoneticPr fontId="2" type="noConversion"/>
  </si>
  <si>
    <t>控制二忠</t>
    <phoneticPr fontId="2" type="noConversion"/>
  </si>
  <si>
    <t>054122</t>
    <phoneticPr fontId="2" type="noConversion"/>
  </si>
  <si>
    <t>張益誠</t>
    <phoneticPr fontId="2" type="noConversion"/>
  </si>
  <si>
    <t>男</t>
    <phoneticPr fontId="2" type="noConversion"/>
  </si>
  <si>
    <t>休學</t>
    <phoneticPr fontId="2" type="noConversion"/>
  </si>
  <si>
    <t>休學(志趣不合)</t>
    <phoneticPr fontId="2" type="noConversion"/>
  </si>
  <si>
    <t>資訊一忠</t>
    <phoneticPr fontId="2" type="noConversion"/>
  </si>
  <si>
    <t>063121</t>
    <phoneticPr fontId="2" type="noConversion"/>
  </si>
  <si>
    <t>胡瀞</t>
    <phoneticPr fontId="2" type="noConversion"/>
  </si>
  <si>
    <t>女</t>
    <phoneticPr fontId="2" type="noConversion"/>
  </si>
  <si>
    <t>轉出</t>
    <phoneticPr fontId="2" type="noConversion"/>
  </si>
  <si>
    <t>1062移除</t>
    <phoneticPr fontId="2" type="noConversion"/>
  </si>
  <si>
    <t>轉出(花蓮高商)</t>
    <phoneticPr fontId="2" type="noConversion"/>
  </si>
  <si>
    <t>063131</t>
    <phoneticPr fontId="2" type="noConversion"/>
  </si>
  <si>
    <t>陳柏佑</t>
    <phoneticPr fontId="2" type="noConversion"/>
  </si>
  <si>
    <t>男</t>
    <phoneticPr fontId="2" type="noConversion"/>
  </si>
  <si>
    <t>男</t>
    <phoneticPr fontId="2" type="noConversion"/>
  </si>
  <si>
    <t>應外一孝</t>
    <phoneticPr fontId="2" type="noConversion"/>
  </si>
  <si>
    <t>068221</t>
    <phoneticPr fontId="2" type="noConversion"/>
  </si>
  <si>
    <t>黃宇慈</t>
    <phoneticPr fontId="2" type="noConversion"/>
  </si>
  <si>
    <t>轉出</t>
    <phoneticPr fontId="2" type="noConversion"/>
  </si>
  <si>
    <t>1062移除</t>
    <phoneticPr fontId="2" type="noConversion"/>
  </si>
  <si>
    <t>轉出(景文高中)</t>
    <phoneticPr fontId="2" type="noConversion"/>
  </si>
  <si>
    <t>073301</t>
  </si>
  <si>
    <t>王宏凱</t>
  </si>
  <si>
    <t>074201</t>
  </si>
  <si>
    <t>075201</t>
  </si>
  <si>
    <t>073202</t>
  </si>
  <si>
    <t>向益成</t>
  </si>
  <si>
    <t>王若霖</t>
  </si>
  <si>
    <t>林奕廷</t>
  </si>
  <si>
    <t>白又銘</t>
  </si>
  <si>
    <t>呂承翰</t>
  </si>
  <si>
    <t>吳冠廷</t>
  </si>
  <si>
    <t>李文辰</t>
  </si>
  <si>
    <t>071308</t>
  </si>
  <si>
    <t>林詠竣</t>
  </si>
  <si>
    <t>072108</t>
  </si>
  <si>
    <t>李彥成</t>
  </si>
  <si>
    <t>072408</t>
  </si>
  <si>
    <t>李閔諭</t>
  </si>
  <si>
    <t>075208</t>
  </si>
  <si>
    <t>077108</t>
  </si>
  <si>
    <t>張泰維</t>
  </si>
  <si>
    <t>林毓洲</t>
  </si>
  <si>
    <t>071409</t>
  </si>
  <si>
    <t>073209</t>
  </si>
  <si>
    <t>林柏樺</t>
  </si>
  <si>
    <t>林柏丞</t>
  </si>
  <si>
    <t>林鈺翔</t>
  </si>
  <si>
    <t>074110</t>
  </si>
  <si>
    <t>078210</t>
  </si>
  <si>
    <t>周煜倫</t>
  </si>
  <si>
    <t>073111</t>
  </si>
  <si>
    <t>*林雅萍</t>
  </si>
  <si>
    <t>071112</t>
  </si>
  <si>
    <t>周昀</t>
  </si>
  <si>
    <t>072312</t>
  </si>
  <si>
    <t>林為暉</t>
  </si>
  <si>
    <t>林俊廷</t>
  </si>
  <si>
    <t>林羿安</t>
  </si>
  <si>
    <t>073314</t>
  </si>
  <si>
    <t>071315</t>
  </si>
  <si>
    <t>073315</t>
  </si>
  <si>
    <t>計建成</t>
  </si>
  <si>
    <t>074215</t>
  </si>
  <si>
    <t>洪偉宸</t>
  </si>
  <si>
    <t>莊繹丞</t>
  </si>
  <si>
    <t>072116</t>
  </si>
  <si>
    <t>林祐輝</t>
  </si>
  <si>
    <t>孫侑成</t>
  </si>
  <si>
    <t>胡德熹</t>
  </si>
  <si>
    <t>許皓翔</t>
  </si>
  <si>
    <t>074217</t>
  </si>
  <si>
    <t>徐葳璉</t>
  </si>
  <si>
    <t>許躍騰</t>
  </si>
  <si>
    <t>張家齊</t>
  </si>
  <si>
    <t>072219</t>
  </si>
  <si>
    <t>075220</t>
  </si>
  <si>
    <t>洪顥文</t>
  </si>
  <si>
    <t>078220</t>
  </si>
  <si>
    <t>*陳芝樺</t>
  </si>
  <si>
    <t>陳薪宇</t>
  </si>
  <si>
    <t>074221</t>
  </si>
  <si>
    <t>陳杰弘</t>
  </si>
  <si>
    <t>陳奕安</t>
  </si>
  <si>
    <t>074122</t>
  </si>
  <si>
    <t>074222</t>
  </si>
  <si>
    <t>陳柏睿</t>
  </si>
  <si>
    <t>072323</t>
  </si>
  <si>
    <t>陳宥嘉</t>
  </si>
  <si>
    <t>陳楷武</t>
  </si>
  <si>
    <t>陳筵翔</t>
  </si>
  <si>
    <t>073126</t>
  </si>
  <si>
    <t>073127</t>
  </si>
  <si>
    <t>074127</t>
  </si>
  <si>
    <t>楊頡然</t>
  </si>
  <si>
    <t>071228</t>
  </si>
  <si>
    <t>陳璽鈞</t>
  </si>
  <si>
    <t>071330</t>
  </si>
  <si>
    <t>074130</t>
  </si>
  <si>
    <t>詹秉凡</t>
  </si>
  <si>
    <t>071431</t>
  </si>
  <si>
    <t>073331</t>
  </si>
  <si>
    <t>劉兆威</t>
  </si>
  <si>
    <t>*蔡欣珮</t>
  </si>
  <si>
    <t>073233</t>
  </si>
  <si>
    <t>073333</t>
  </si>
  <si>
    <t>蔡云愷</t>
  </si>
  <si>
    <t>074133</t>
  </si>
  <si>
    <t>*鄭卉庭</t>
  </si>
  <si>
    <t>鄭敦仁</t>
  </si>
  <si>
    <t>劉正勤</t>
  </si>
  <si>
    <t>074234</t>
  </si>
  <si>
    <t>071335</t>
  </si>
  <si>
    <t>簡紹諭</t>
  </si>
  <si>
    <t>075136</t>
  </si>
  <si>
    <t>075138</t>
  </si>
  <si>
    <t>蕭翌</t>
  </si>
  <si>
    <t>羅晟瑋</t>
  </si>
  <si>
    <t>全班人數</t>
  </si>
  <si>
    <t>資源班</t>
    <phoneticPr fontId="4" type="noConversion"/>
  </si>
  <si>
    <t>電機一孝</t>
    <phoneticPr fontId="2" type="noConversion"/>
  </si>
  <si>
    <t>062237</t>
    <phoneticPr fontId="2" type="noConversion"/>
  </si>
  <si>
    <t>蘇宏恩</t>
    <phoneticPr fontId="2" type="noConversion"/>
  </si>
  <si>
    <t>男</t>
    <phoneticPr fontId="2" type="noConversion"/>
  </si>
  <si>
    <t>轉出</t>
    <phoneticPr fontId="2" type="noConversion"/>
  </si>
  <si>
    <t>1071移除</t>
    <phoneticPr fontId="2" type="noConversion"/>
  </si>
  <si>
    <t>轉出(復興商工)</t>
    <phoneticPr fontId="2" type="noConversion"/>
  </si>
  <si>
    <t>電機一愛</t>
    <phoneticPr fontId="2" type="noConversion"/>
  </si>
  <si>
    <t>黃士祐</t>
    <phoneticPr fontId="2" type="noConversion"/>
  </si>
  <si>
    <t>1071移除</t>
    <phoneticPr fontId="2" type="noConversion"/>
  </si>
  <si>
    <t>052232</t>
  </si>
  <si>
    <t>潘宥廷</t>
  </si>
  <si>
    <t>053134</t>
  </si>
  <si>
    <t>053232</t>
  </si>
  <si>
    <t>鄭力宥</t>
  </si>
  <si>
    <t>052107</t>
  </si>
  <si>
    <t>李坤煌</t>
  </si>
  <si>
    <t>ok</t>
    <phoneticPr fontId="2" type="noConversion"/>
  </si>
  <si>
    <t>轉出(士商進修)(原已休學)</t>
    <phoneticPr fontId="2" type="noConversion"/>
  </si>
  <si>
    <t>轉出</t>
    <phoneticPr fontId="2" type="noConversion"/>
  </si>
  <si>
    <t>轉出(泰北)</t>
    <phoneticPr fontId="2" type="noConversion"/>
  </si>
  <si>
    <t>電子二仁</t>
    <phoneticPr fontId="2" type="noConversion"/>
  </si>
  <si>
    <t>061314</t>
    <phoneticPr fontId="2" type="noConversion"/>
  </si>
  <si>
    <t>林弘志</t>
    <phoneticPr fontId="2" type="noConversion"/>
  </si>
  <si>
    <t>男</t>
    <phoneticPr fontId="2" type="noConversion"/>
  </si>
  <si>
    <t>資訊二仁</t>
    <phoneticPr fontId="2" type="noConversion"/>
  </si>
  <si>
    <t>轉出</t>
    <phoneticPr fontId="2" type="noConversion"/>
  </si>
  <si>
    <t>轉出(育達應英)</t>
    <phoneticPr fontId="2" type="noConversion"/>
  </si>
  <si>
    <t>轉出(大理高中)</t>
    <phoneticPr fontId="2" type="noConversion"/>
  </si>
  <si>
    <t>陳勁志</t>
    <phoneticPr fontId="2" type="noConversion"/>
  </si>
  <si>
    <t>男</t>
    <phoneticPr fontId="2" type="noConversion"/>
  </si>
  <si>
    <t>轉出</t>
  </si>
  <si>
    <t>轉出</t>
    <phoneticPr fontId="2" type="noConversion"/>
  </si>
  <si>
    <t>1072移除</t>
    <phoneticPr fontId="2" type="noConversion"/>
  </si>
  <si>
    <t>資訊一忠</t>
    <phoneticPr fontId="2" type="noConversion"/>
  </si>
  <si>
    <t>原已休學</t>
    <phoneticPr fontId="2" type="noConversion"/>
  </si>
  <si>
    <t>轉出(秀峰高中)</t>
    <phoneticPr fontId="2" type="noConversion"/>
  </si>
  <si>
    <t>陳鵬宇</t>
    <phoneticPr fontId="2" type="noConversion"/>
  </si>
  <si>
    <t>原已休學</t>
    <phoneticPr fontId="2" type="noConversion"/>
  </si>
  <si>
    <t>轉出(松商應外)</t>
    <phoneticPr fontId="2" type="noConversion"/>
  </si>
  <si>
    <t>冷凍一忠</t>
    <phoneticPr fontId="2" type="noConversion"/>
  </si>
  <si>
    <t>轉出</t>
    <phoneticPr fontId="2" type="noConversion"/>
  </si>
  <si>
    <t>原已休學</t>
    <phoneticPr fontId="2" type="noConversion"/>
  </si>
  <si>
    <t>轉出(方濟高中)</t>
    <phoneticPr fontId="2" type="noConversion"/>
  </si>
  <si>
    <t>楊哲綸</t>
  </si>
  <si>
    <t>放棄學籍</t>
    <phoneticPr fontId="2" type="noConversion"/>
  </si>
  <si>
    <t>應外一孝</t>
    <phoneticPr fontId="2" type="noConversion"/>
  </si>
  <si>
    <t>1072移除</t>
    <phoneticPr fontId="2" type="noConversion"/>
  </si>
  <si>
    <t>應外二忠</t>
    <phoneticPr fontId="2" type="noConversion"/>
  </si>
  <si>
    <t>068118</t>
    <phoneticPr fontId="2" type="noConversion"/>
  </si>
  <si>
    <t>轉出</t>
    <phoneticPr fontId="2" type="noConversion"/>
  </si>
  <si>
    <t>1072移除</t>
    <phoneticPr fontId="2" type="noConversion"/>
  </si>
  <si>
    <t>資訊一忠</t>
    <phoneticPr fontId="2" type="noConversion"/>
  </si>
  <si>
    <t>張祐昇</t>
    <phoneticPr fontId="2" type="noConversion"/>
  </si>
  <si>
    <t>男</t>
    <phoneticPr fontId="2" type="noConversion"/>
  </si>
  <si>
    <t>轉出(政大附中)</t>
    <phoneticPr fontId="2" type="noConversion"/>
  </si>
  <si>
    <t>控制二孝</t>
    <phoneticPr fontId="2" type="noConversion"/>
  </si>
  <si>
    <t>休學</t>
    <phoneticPr fontId="2" type="noConversion"/>
  </si>
  <si>
    <t>應外二孝</t>
    <phoneticPr fontId="2" type="noConversion"/>
  </si>
  <si>
    <t>體育一忠</t>
    <phoneticPr fontId="2" type="noConversion"/>
  </si>
  <si>
    <t>冷凍三孝</t>
    <phoneticPr fontId="2" type="noConversion"/>
  </si>
  <si>
    <t>翁力友</t>
    <phoneticPr fontId="2" type="noConversion"/>
  </si>
  <si>
    <t>男</t>
    <phoneticPr fontId="2" type="noConversion"/>
  </si>
  <si>
    <t>1072移除</t>
    <phoneticPr fontId="2" type="noConversion"/>
  </si>
  <si>
    <t>資訊一忠</t>
    <phoneticPr fontId="2" type="noConversion"/>
  </si>
  <si>
    <t>073119</t>
    <phoneticPr fontId="2" type="noConversion"/>
  </si>
  <si>
    <t>許書維</t>
    <phoneticPr fontId="2" type="noConversion"/>
  </si>
  <si>
    <t>休學</t>
    <phoneticPr fontId="2" type="noConversion"/>
  </si>
  <si>
    <t>休學(德國)</t>
    <phoneticPr fontId="2" type="noConversion"/>
  </si>
  <si>
    <t>劉敬</t>
    <phoneticPr fontId="2" type="noConversion"/>
  </si>
  <si>
    <t>轉出</t>
    <phoneticPr fontId="2" type="noConversion"/>
  </si>
  <si>
    <t>原已休學</t>
    <phoneticPr fontId="2" type="noConversion"/>
  </si>
  <si>
    <t>轉出(南強工商)</t>
    <phoneticPr fontId="2" type="noConversion"/>
  </si>
  <si>
    <t>058127</t>
    <phoneticPr fontId="2" type="noConversion"/>
  </si>
  <si>
    <t>葉嫚婷</t>
  </si>
  <si>
    <t>女</t>
    <phoneticPr fontId="2" type="noConversion"/>
  </si>
  <si>
    <t>休學</t>
    <phoneticPr fontId="2" type="noConversion"/>
  </si>
  <si>
    <t>休學(出國)</t>
    <phoneticPr fontId="2" type="noConversion"/>
  </si>
  <si>
    <t>電子二忠</t>
    <phoneticPr fontId="2" type="noConversion"/>
  </si>
  <si>
    <t>061111</t>
    <phoneticPr fontId="2" type="noConversion"/>
  </si>
  <si>
    <t>李奕昇</t>
    <phoneticPr fontId="2" type="noConversion"/>
  </si>
  <si>
    <t>男</t>
    <phoneticPr fontId="2" type="noConversion"/>
  </si>
  <si>
    <t>轉出</t>
    <phoneticPr fontId="2" type="noConversion"/>
  </si>
  <si>
    <t>原已休學</t>
    <phoneticPr fontId="2" type="noConversion"/>
  </si>
  <si>
    <t>轉出(教育局自學)</t>
    <phoneticPr fontId="2" type="noConversion"/>
  </si>
  <si>
    <t>電子二仁</t>
    <phoneticPr fontId="2" type="noConversion"/>
  </si>
  <si>
    <t>061318</t>
    <phoneticPr fontId="2" type="noConversion"/>
  </si>
  <si>
    <t>應外三忠</t>
    <phoneticPr fontId="2" type="noConversion"/>
  </si>
  <si>
    <t>電子二孝</t>
    <phoneticPr fontId="2" type="noConversion"/>
  </si>
  <si>
    <t>李孟翰</t>
    <phoneticPr fontId="2" type="noConversion"/>
  </si>
  <si>
    <t>男</t>
    <phoneticPr fontId="2" type="noConversion"/>
  </si>
  <si>
    <t>轉出</t>
    <phoneticPr fontId="2" type="noConversion"/>
  </si>
  <si>
    <t>原已休學</t>
    <phoneticPr fontId="2" type="noConversion"/>
  </si>
  <si>
    <t>轉出(汗得實驗學校)</t>
    <phoneticPr fontId="2" type="noConversion"/>
  </si>
  <si>
    <t>062324</t>
    <phoneticPr fontId="2" type="noConversion"/>
  </si>
  <si>
    <t>陳駿錡</t>
    <phoneticPr fontId="2" type="noConversion"/>
  </si>
  <si>
    <t>轉出(承淨書院)</t>
    <phoneticPr fontId="2" type="noConversion"/>
  </si>
  <si>
    <t>吳旻澤</t>
    <phoneticPr fontId="2" type="noConversion"/>
  </si>
  <si>
    <t>男</t>
    <phoneticPr fontId="2" type="noConversion"/>
  </si>
  <si>
    <t>轉出</t>
    <phoneticPr fontId="2" type="noConversion"/>
  </si>
  <si>
    <t>轉出(志仁進修)</t>
    <phoneticPr fontId="2" type="noConversion"/>
  </si>
  <si>
    <t>冷凍一孝</t>
    <phoneticPr fontId="2" type="noConversion"/>
  </si>
  <si>
    <t>電子二仁</t>
    <phoneticPr fontId="2" type="noConversion"/>
  </si>
  <si>
    <t>休學</t>
    <phoneticPr fontId="2" type="noConversion"/>
  </si>
  <si>
    <t>1072移除</t>
    <phoneticPr fontId="2" type="noConversion"/>
  </si>
  <si>
    <t>應外一孝</t>
    <phoneticPr fontId="2" type="noConversion"/>
  </si>
  <si>
    <t>林欣亞</t>
    <phoneticPr fontId="2" type="noConversion"/>
  </si>
  <si>
    <t>女</t>
    <phoneticPr fontId="2" type="noConversion"/>
  </si>
  <si>
    <t>轉出</t>
    <phoneticPr fontId="2" type="noConversion"/>
  </si>
  <si>
    <t>轉出(基隆商工進修部國貿)</t>
    <phoneticPr fontId="2" type="noConversion"/>
  </si>
  <si>
    <t>資訊二忠</t>
    <phoneticPr fontId="2" type="noConversion"/>
  </si>
  <si>
    <t>休學</t>
    <phoneticPr fontId="2" type="noConversion"/>
  </si>
  <si>
    <t>073327</t>
    <phoneticPr fontId="2" type="noConversion"/>
  </si>
  <si>
    <t>陳啟恩</t>
    <phoneticPr fontId="2" type="noConversion"/>
  </si>
  <si>
    <t>男</t>
    <phoneticPr fontId="2" type="noConversion"/>
  </si>
  <si>
    <t>休學</t>
    <phoneticPr fontId="2" type="noConversion"/>
  </si>
  <si>
    <t>1072移除</t>
    <phoneticPr fontId="2" type="noConversion"/>
  </si>
  <si>
    <t>資訊一仁</t>
    <phoneticPr fontId="2" type="noConversion"/>
  </si>
  <si>
    <t>電機三忠</t>
    <phoneticPr fontId="2" type="noConversion"/>
  </si>
  <si>
    <t>馬緯翰</t>
    <phoneticPr fontId="2" type="noConversion"/>
  </si>
  <si>
    <t>男</t>
    <phoneticPr fontId="2" type="noConversion"/>
  </si>
  <si>
    <t>休學</t>
    <phoneticPr fontId="2" type="noConversion"/>
  </si>
  <si>
    <t>轉出(基隆商工)</t>
  </si>
  <si>
    <t>轉出(光仁高中)</t>
  </si>
  <si>
    <t>轉出(淡江高中)</t>
  </si>
  <si>
    <t>轉出(開南商工)</t>
  </si>
  <si>
    <t>轉出(育達商職)</t>
  </si>
  <si>
    <t>轉出(華夏工專)</t>
  </si>
  <si>
    <t>電機一仁</t>
    <phoneticPr fontId="2" type="noConversion"/>
  </si>
  <si>
    <t>休學</t>
    <phoneticPr fontId="2" type="noConversion"/>
  </si>
  <si>
    <t>ok</t>
    <phoneticPr fontId="2" type="noConversion"/>
  </si>
  <si>
    <t>轉出(南華高中)</t>
  </si>
  <si>
    <t>轉出(莊敬工家)</t>
  </si>
  <si>
    <t>休學(志趣不合)</t>
  </si>
  <si>
    <t>休學(健康情況)</t>
  </si>
  <si>
    <t>轉出(志仁高中)</t>
    <phoneticPr fontId="2" type="noConversion"/>
  </si>
  <si>
    <t>應外三孝</t>
    <phoneticPr fontId="2" type="noConversion"/>
  </si>
  <si>
    <t>休學</t>
    <phoneticPr fontId="2" type="noConversion"/>
  </si>
  <si>
    <t>休學(出國)</t>
    <phoneticPr fontId="2" type="noConversion"/>
  </si>
  <si>
    <t>01月10日</t>
    <phoneticPr fontId="2" type="noConversion"/>
  </si>
  <si>
    <t>轉科</t>
    <phoneticPr fontId="2" type="noConversion"/>
  </si>
  <si>
    <t>1072移除</t>
    <phoneticPr fontId="2" type="noConversion"/>
  </si>
  <si>
    <t>ok</t>
    <phoneticPr fontId="2" type="noConversion"/>
  </si>
  <si>
    <t>轉科(應外)</t>
    <phoneticPr fontId="2" type="noConversion"/>
  </si>
  <si>
    <t>資訊一仁</t>
    <phoneticPr fontId="2" type="noConversion"/>
  </si>
  <si>
    <t>077118</t>
    <phoneticPr fontId="2" type="noConversion"/>
  </si>
  <si>
    <t>龍軍菱</t>
    <phoneticPr fontId="2" type="noConversion"/>
  </si>
  <si>
    <t>女</t>
    <phoneticPr fontId="2" type="noConversion"/>
  </si>
  <si>
    <t>轉出</t>
    <phoneticPr fontId="2" type="noConversion"/>
  </si>
  <si>
    <t>1072移除</t>
    <phoneticPr fontId="2" type="noConversion"/>
  </si>
  <si>
    <t>轉出(高雄林園高中)</t>
    <phoneticPr fontId="2" type="noConversion"/>
  </si>
  <si>
    <t>071309</t>
    <phoneticPr fontId="2" type="noConversion"/>
  </si>
  <si>
    <t>男</t>
    <phoneticPr fontId="2" type="noConversion"/>
  </si>
  <si>
    <t>休學</t>
    <phoneticPr fontId="2" type="noConversion"/>
  </si>
  <si>
    <t>休學(重考)</t>
    <phoneticPr fontId="2" type="noConversion"/>
  </si>
  <si>
    <t>電機二忠</t>
    <phoneticPr fontId="2" type="noConversion"/>
  </si>
  <si>
    <t>062114</t>
    <phoneticPr fontId="2" type="noConversion"/>
  </si>
  <si>
    <t>施泓寬</t>
    <phoneticPr fontId="2" type="noConversion"/>
  </si>
  <si>
    <t>男</t>
    <phoneticPr fontId="2" type="noConversion"/>
  </si>
  <si>
    <t>轉出</t>
    <phoneticPr fontId="2" type="noConversion"/>
  </si>
  <si>
    <t>轉出(志仁觀光)</t>
    <phoneticPr fontId="2" type="noConversion"/>
  </si>
  <si>
    <t>1072移除</t>
    <phoneticPr fontId="2" type="noConversion"/>
  </si>
  <si>
    <t>ok</t>
    <phoneticPr fontId="2" type="noConversion"/>
  </si>
  <si>
    <t>資訊一仁</t>
    <phoneticPr fontId="2" type="noConversion"/>
  </si>
  <si>
    <t>轉出</t>
    <phoneticPr fontId="2" type="noConversion"/>
  </si>
  <si>
    <t>ok</t>
    <phoneticPr fontId="2" type="noConversion"/>
  </si>
  <si>
    <t>轉出(育達商職)</t>
    <phoneticPr fontId="2" type="noConversion"/>
  </si>
  <si>
    <t>電機一仁</t>
    <phoneticPr fontId="2" type="noConversion"/>
  </si>
  <si>
    <t>072327</t>
    <phoneticPr fontId="2" type="noConversion"/>
  </si>
  <si>
    <t>黃智翔</t>
    <phoneticPr fontId="2" type="noConversion"/>
  </si>
  <si>
    <t>男</t>
    <phoneticPr fontId="2" type="noConversion"/>
  </si>
  <si>
    <t>休學</t>
    <phoneticPr fontId="2" type="noConversion"/>
  </si>
  <si>
    <t>休學(經濟因素)</t>
    <phoneticPr fontId="2" type="noConversion"/>
  </si>
  <si>
    <t>冷凍一孝</t>
    <phoneticPr fontId="2" type="noConversion"/>
  </si>
  <si>
    <t>075222</t>
    <phoneticPr fontId="2" type="noConversion"/>
  </si>
  <si>
    <t>陳永霖</t>
    <phoneticPr fontId="2" type="noConversion"/>
  </si>
  <si>
    <t>男</t>
    <phoneticPr fontId="2" type="noConversion"/>
  </si>
  <si>
    <t>轉出</t>
    <phoneticPr fontId="2" type="noConversion"/>
  </si>
  <si>
    <t>轉出(東方工商)</t>
    <phoneticPr fontId="2" type="noConversion"/>
  </si>
  <si>
    <t>公告版時間0201</t>
    <phoneticPr fontId="2" type="noConversion"/>
  </si>
  <si>
    <t>暫訂版時間0118</t>
    <phoneticPr fontId="2" type="noConversion"/>
  </si>
  <si>
    <t>胡蘅玥</t>
    <phoneticPr fontId="2" type="noConversion"/>
  </si>
  <si>
    <t>女</t>
    <phoneticPr fontId="2" type="noConversion"/>
  </si>
  <si>
    <t>轉出</t>
    <phoneticPr fontId="2" type="noConversion"/>
  </si>
  <si>
    <t>原已休學</t>
    <phoneticPr fontId="2" type="noConversion"/>
  </si>
  <si>
    <t>轉出(志仁高中)</t>
    <phoneticPr fontId="2" type="noConversion"/>
  </si>
  <si>
    <t>資訊一孝</t>
    <phoneticPr fontId="2" type="noConversion"/>
  </si>
  <si>
    <t>資訊二忠</t>
    <phoneticPr fontId="2" type="noConversion"/>
  </si>
  <si>
    <t>073224</t>
    <phoneticPr fontId="2" type="noConversion"/>
  </si>
  <si>
    <t>陳俊豪</t>
    <phoneticPr fontId="2" type="noConversion"/>
  </si>
  <si>
    <t>男</t>
    <phoneticPr fontId="2" type="noConversion"/>
  </si>
  <si>
    <t>休學</t>
    <phoneticPr fontId="2" type="noConversion"/>
  </si>
  <si>
    <t>休學(家庭因素)</t>
    <phoneticPr fontId="2" type="noConversion"/>
  </si>
  <si>
    <t>資訊二孝</t>
    <phoneticPr fontId="2" type="noConversion"/>
  </si>
  <si>
    <t>063231</t>
    <phoneticPr fontId="2" type="noConversion"/>
  </si>
  <si>
    <t>劉智可</t>
    <phoneticPr fontId="2" type="noConversion"/>
  </si>
  <si>
    <t>休學(志趣不合)</t>
    <phoneticPr fontId="2" type="noConversion"/>
  </si>
  <si>
    <t>資訊一孝</t>
    <phoneticPr fontId="2" type="noConversion"/>
  </si>
  <si>
    <t>休學</t>
    <phoneticPr fontId="2" type="noConversion"/>
  </si>
  <si>
    <t>冷凍二忠</t>
    <phoneticPr fontId="2" type="noConversion"/>
  </si>
  <si>
    <t>休學(缺況過多)</t>
    <phoneticPr fontId="2" type="noConversion"/>
  </si>
  <si>
    <t>冷凍一孝</t>
    <phoneticPr fontId="2" type="noConversion"/>
  </si>
  <si>
    <t>休學</t>
    <phoneticPr fontId="2" type="noConversion"/>
  </si>
  <si>
    <t>1072移除</t>
    <phoneticPr fontId="2" type="noConversion"/>
  </si>
  <si>
    <t>控制一忠</t>
    <phoneticPr fontId="2" type="noConversion"/>
  </si>
  <si>
    <t>休學</t>
    <phoneticPr fontId="2" type="noConversion"/>
  </si>
  <si>
    <t>1072移除</t>
    <phoneticPr fontId="2" type="noConversion"/>
  </si>
  <si>
    <t>ok</t>
    <phoneticPr fontId="2" type="noConversion"/>
  </si>
  <si>
    <t>ok</t>
    <phoneticPr fontId="2" type="noConversion"/>
  </si>
  <si>
    <t>冷凍一孝</t>
    <phoneticPr fontId="2" type="noConversion"/>
  </si>
  <si>
    <t>075203</t>
    <phoneticPr fontId="2" type="noConversion"/>
  </si>
  <si>
    <t>休學</t>
    <phoneticPr fontId="2" type="noConversion"/>
  </si>
  <si>
    <t>男</t>
    <phoneticPr fontId="2" type="noConversion"/>
  </si>
  <si>
    <t>轉出</t>
    <phoneticPr fontId="2" type="noConversion"/>
  </si>
  <si>
    <t>轉出(育達餐飲)</t>
    <phoneticPr fontId="2" type="noConversion"/>
  </si>
  <si>
    <t>冷凍一忠</t>
    <phoneticPr fontId="2" type="noConversion"/>
  </si>
  <si>
    <t>1072移除</t>
    <phoneticPr fontId="2" type="noConversion"/>
  </si>
  <si>
    <t>轉出(稻江商職)</t>
    <phoneticPr fontId="2" type="noConversion"/>
  </si>
  <si>
    <t>1081移除</t>
    <phoneticPr fontId="2" type="noConversion"/>
  </si>
  <si>
    <t>轉出(聖心高職)</t>
    <phoneticPr fontId="2" type="noConversion"/>
  </si>
  <si>
    <t>劉冠伶</t>
  </si>
  <si>
    <t>女</t>
    <phoneticPr fontId="2" type="noConversion"/>
  </si>
  <si>
    <t>1081移除</t>
    <phoneticPr fontId="2" type="noConversion"/>
  </si>
  <si>
    <t>男</t>
    <phoneticPr fontId="2" type="noConversion"/>
  </si>
  <si>
    <t>轉出(1081轉應外科)</t>
    <phoneticPr fontId="2" type="noConversion"/>
  </si>
  <si>
    <t>電子一仁</t>
    <phoneticPr fontId="2" type="noConversion"/>
  </si>
  <si>
    <t>071309</t>
  </si>
  <si>
    <t>轉出</t>
    <phoneticPr fontId="2" type="noConversion"/>
  </si>
  <si>
    <t>1072已休學</t>
    <phoneticPr fontId="2" type="noConversion"/>
  </si>
  <si>
    <t>ok</t>
    <phoneticPr fontId="2" type="noConversion"/>
  </si>
  <si>
    <t>轉出(松農園藝)</t>
    <phoneticPr fontId="2" type="noConversion"/>
  </si>
  <si>
    <t>ok</t>
    <phoneticPr fontId="2" type="noConversion"/>
  </si>
  <si>
    <t>轉出(南強影視)</t>
    <phoneticPr fontId="2" type="noConversion"/>
  </si>
  <si>
    <t>電機一孝</t>
    <phoneticPr fontId="2" type="noConversion"/>
  </si>
  <si>
    <t>資訊二忠</t>
    <phoneticPr fontId="2" type="noConversion"/>
  </si>
  <si>
    <t>楊哲綸</t>
    <phoneticPr fontId="2" type="noConversion"/>
  </si>
  <si>
    <t>男</t>
    <phoneticPr fontId="2" type="noConversion"/>
  </si>
  <si>
    <t>轉出</t>
    <phoneticPr fontId="2" type="noConversion"/>
  </si>
  <si>
    <t>1071已休學</t>
    <phoneticPr fontId="2" type="noConversion"/>
  </si>
  <si>
    <t>ok</t>
    <phoneticPr fontId="2" type="noConversion"/>
  </si>
  <si>
    <t>轉出(萬芳高中)</t>
    <phoneticPr fontId="2" type="noConversion"/>
  </si>
  <si>
    <t>冷凍二忠</t>
    <phoneticPr fontId="2" type="noConversion"/>
  </si>
  <si>
    <t>1081移除</t>
    <phoneticPr fontId="2" type="noConversion"/>
  </si>
  <si>
    <t>轉出(聖心高中)</t>
    <phoneticPr fontId="2" type="noConversion"/>
  </si>
  <si>
    <t>1072已休學</t>
    <phoneticPr fontId="2" type="noConversion"/>
  </si>
  <si>
    <t>轉出(虎尾五專)</t>
    <phoneticPr fontId="2" type="noConversion"/>
  </si>
  <si>
    <t>冷凍二孝</t>
    <phoneticPr fontId="2" type="noConversion"/>
  </si>
  <si>
    <t>休學</t>
    <phoneticPr fontId="2" type="noConversion"/>
  </si>
  <si>
    <t>1072移除</t>
    <phoneticPr fontId="2" type="noConversion"/>
  </si>
  <si>
    <t>ok</t>
    <phoneticPr fontId="2" type="noConversion"/>
  </si>
  <si>
    <t>休學(出國)</t>
    <phoneticPr fontId="2" type="noConversion"/>
  </si>
  <si>
    <t>控制一忠</t>
    <phoneticPr fontId="2" type="noConversion"/>
  </si>
  <si>
    <t>轉出</t>
    <phoneticPr fontId="2" type="noConversion"/>
  </si>
  <si>
    <t>1081移除</t>
    <phoneticPr fontId="2" type="noConversion"/>
  </si>
  <si>
    <t>轉出(康寧應外)</t>
    <phoneticPr fontId="2" type="noConversion"/>
  </si>
  <si>
    <t>1081移除</t>
    <phoneticPr fontId="2" type="noConversion"/>
  </si>
  <si>
    <t>ok</t>
    <phoneticPr fontId="2" type="noConversion"/>
  </si>
  <si>
    <t>轉出(康寧企管)</t>
    <phoneticPr fontId="2" type="noConversion"/>
  </si>
  <si>
    <t>電子一忠</t>
    <phoneticPr fontId="2" type="noConversion"/>
  </si>
  <si>
    <t>轉出(十信資處)</t>
    <phoneticPr fontId="2" type="noConversion"/>
  </si>
  <si>
    <t>轉出(志仁)</t>
    <phoneticPr fontId="2" type="noConversion"/>
  </si>
  <si>
    <t>電機一愛</t>
    <phoneticPr fontId="2" type="noConversion"/>
  </si>
  <si>
    <t>轉出</t>
    <phoneticPr fontId="2" type="noConversion"/>
  </si>
  <si>
    <t>1081移除</t>
    <phoneticPr fontId="2" type="noConversion"/>
  </si>
  <si>
    <t>ok</t>
    <phoneticPr fontId="2" type="noConversion"/>
  </si>
  <si>
    <t>轉出(聖母護專)</t>
    <phoneticPr fontId="2" type="noConversion"/>
  </si>
  <si>
    <t>資訊一忠</t>
    <phoneticPr fontId="2" type="noConversion"/>
  </si>
  <si>
    <t>ok</t>
    <phoneticPr fontId="2" type="noConversion"/>
  </si>
  <si>
    <t>轉出(大安夜間建築)</t>
    <phoneticPr fontId="2" type="noConversion"/>
  </si>
  <si>
    <t>轉出</t>
    <phoneticPr fontId="2" type="noConversion"/>
  </si>
  <si>
    <t>1081移除</t>
    <phoneticPr fontId="2" type="noConversion"/>
  </si>
  <si>
    <t>ok</t>
    <phoneticPr fontId="2" type="noConversion"/>
  </si>
  <si>
    <t>轉出(志仁)</t>
    <phoneticPr fontId="2" type="noConversion"/>
  </si>
  <si>
    <t>081102</t>
  </si>
  <si>
    <t>林育臣</t>
  </si>
  <si>
    <t>081109</t>
  </si>
  <si>
    <t>*陳湘淇</t>
  </si>
  <si>
    <t>081125</t>
  </si>
  <si>
    <t>王維德</t>
  </si>
  <si>
    <t>082201</t>
  </si>
  <si>
    <t>王宏宇</t>
  </si>
  <si>
    <t>王昱翔</t>
  </si>
  <si>
    <t>088102</t>
  </si>
  <si>
    <t>*王羿婷</t>
  </si>
  <si>
    <t>085103</t>
  </si>
  <si>
    <t>081204</t>
  </si>
  <si>
    <t>古晨廷</t>
  </si>
  <si>
    <t>083304</t>
  </si>
  <si>
    <t>082105</t>
  </si>
  <si>
    <t>李宇宸</t>
  </si>
  <si>
    <t>083205</t>
  </si>
  <si>
    <t>余哲豪</t>
  </si>
  <si>
    <t>081206</t>
  </si>
  <si>
    <t>林則言</t>
  </si>
  <si>
    <t>083106</t>
  </si>
  <si>
    <t>083206</t>
  </si>
  <si>
    <t>呂秉宸</t>
  </si>
  <si>
    <t>085206</t>
  </si>
  <si>
    <t>吳政毅</t>
  </si>
  <si>
    <t>082307</t>
  </si>
  <si>
    <t>周廉恆</t>
  </si>
  <si>
    <t>086107</t>
  </si>
  <si>
    <t>*陳儀珍</t>
  </si>
  <si>
    <t>081208</t>
  </si>
  <si>
    <t>李東駿</t>
  </si>
  <si>
    <t>姚威丞</t>
  </si>
  <si>
    <t>084108</t>
  </si>
  <si>
    <t>李承彥</t>
  </si>
  <si>
    <t>李振嘉</t>
  </si>
  <si>
    <t>081209</t>
  </si>
  <si>
    <t>李柏宏</t>
  </si>
  <si>
    <t>林哲宇</t>
  </si>
  <si>
    <t>085210</t>
  </si>
  <si>
    <t>林品任</t>
  </si>
  <si>
    <t>088110</t>
  </si>
  <si>
    <t>李毅駒</t>
  </si>
  <si>
    <t>083111</t>
  </si>
  <si>
    <t>083211</t>
  </si>
  <si>
    <t>林家立</t>
  </si>
  <si>
    <t>084211</t>
  </si>
  <si>
    <t>林慶瑋</t>
  </si>
  <si>
    <t>085111</t>
  </si>
  <si>
    <t>林英竣</t>
  </si>
  <si>
    <t>085211</t>
  </si>
  <si>
    <t>林垣澍</t>
  </si>
  <si>
    <t>林儀和</t>
  </si>
  <si>
    <t>杜承恩</t>
  </si>
  <si>
    <t>林奕安</t>
  </si>
  <si>
    <t>083313</t>
  </si>
  <si>
    <t>084113</t>
  </si>
  <si>
    <t>林曹國廷</t>
  </si>
  <si>
    <t>083114</t>
  </si>
  <si>
    <t>085214</t>
  </si>
  <si>
    <t>林昶安</t>
  </si>
  <si>
    <t>082215</t>
  </si>
  <si>
    <t>徐維明</t>
  </si>
  <si>
    <t>陳廷恩</t>
  </si>
  <si>
    <t>洪睿謙</t>
  </si>
  <si>
    <t>081216</t>
  </si>
  <si>
    <t>082316</t>
  </si>
  <si>
    <t>083116</t>
  </si>
  <si>
    <t>張家豪</t>
  </si>
  <si>
    <t>084216</t>
  </si>
  <si>
    <t>*孫嘉君</t>
  </si>
  <si>
    <t>陳秉頎</t>
  </si>
  <si>
    <t>*秦于媃</t>
  </si>
  <si>
    <t>081418</t>
  </si>
  <si>
    <t>陳冠宇</t>
  </si>
  <si>
    <t>陳冠丞</t>
  </si>
  <si>
    <t>083319</t>
  </si>
  <si>
    <t>082320</t>
  </si>
  <si>
    <t>陳泓宇</t>
  </si>
  <si>
    <t>082321</t>
  </si>
  <si>
    <t>陳柏愷</t>
  </si>
  <si>
    <t>陳璽安</t>
  </si>
  <si>
    <t>083222</t>
  </si>
  <si>
    <t>*傅雨亭</t>
  </si>
  <si>
    <t>082223</t>
  </si>
  <si>
    <t>陳致翰</t>
  </si>
  <si>
    <t>083223</t>
  </si>
  <si>
    <t>游博任</t>
  </si>
  <si>
    <t>081224</t>
  </si>
  <si>
    <t>陳銘論</t>
  </si>
  <si>
    <t>*黃詩涵</t>
  </si>
  <si>
    <t>082125</t>
  </si>
  <si>
    <t>彭鼎傑</t>
  </si>
  <si>
    <t>082225</t>
  </si>
  <si>
    <t>曾柏仁</t>
  </si>
  <si>
    <t>085125</t>
  </si>
  <si>
    <t>黃士承</t>
  </si>
  <si>
    <t>黃宇晨</t>
  </si>
  <si>
    <t>083226</t>
  </si>
  <si>
    <t>楊光翔</t>
  </si>
  <si>
    <t>084126</t>
  </si>
  <si>
    <t>黃靖崴</t>
  </si>
  <si>
    <t>黃俊欽</t>
  </si>
  <si>
    <t>088226</t>
  </si>
  <si>
    <t>*黃郁珊</t>
  </si>
  <si>
    <t>083227</t>
  </si>
  <si>
    <t>楊凱翔</t>
  </si>
  <si>
    <t>088127</t>
  </si>
  <si>
    <t>*詹佳盈</t>
  </si>
  <si>
    <t>蔡承軒</t>
  </si>
  <si>
    <t>083229</t>
  </si>
  <si>
    <t>蔡易澂</t>
  </si>
  <si>
    <t>085229</t>
  </si>
  <si>
    <t>084230</t>
  </si>
  <si>
    <t>*謝侑珊</t>
  </si>
  <si>
    <t>085130</t>
  </si>
  <si>
    <t>081331</t>
  </si>
  <si>
    <t>鄭璟鍇</t>
  </si>
  <si>
    <t>083231</t>
  </si>
  <si>
    <t>*蔡薰誼</t>
  </si>
  <si>
    <t>*詹亞璇</t>
  </si>
  <si>
    <t>081232</t>
  </si>
  <si>
    <t>蕭聖可</t>
  </si>
  <si>
    <t>簡呈育</t>
  </si>
  <si>
    <t>082433</t>
  </si>
  <si>
    <t>賴威志</t>
  </si>
  <si>
    <t>084233</t>
  </si>
  <si>
    <t>084134</t>
  </si>
  <si>
    <t>簡嘉亨</t>
  </si>
  <si>
    <t>085234</t>
  </si>
  <si>
    <t>趙傑壹</t>
  </si>
  <si>
    <t>085235</t>
  </si>
  <si>
    <t>劉少龍</t>
  </si>
  <si>
    <t>083336</t>
  </si>
  <si>
    <t>鍾世荃</t>
  </si>
  <si>
    <t>083137</t>
  </si>
  <si>
    <t>蘇聖祐</t>
  </si>
  <si>
    <t>085137</t>
  </si>
  <si>
    <t>*鍾宜廷</t>
  </si>
  <si>
    <t>085238</t>
  </si>
  <si>
    <t>鄭舒懷</t>
  </si>
  <si>
    <t>年級</t>
    <phoneticPr fontId="2" type="noConversion"/>
  </si>
  <si>
    <t>061318</t>
  </si>
  <si>
    <t>073119</t>
  </si>
  <si>
    <t>許書維</t>
  </si>
  <si>
    <r>
      <t>班</t>
    </r>
    <r>
      <rPr>
        <sz val="14"/>
        <rFont val="Times New Roman"/>
        <family val="1"/>
      </rPr>
      <t xml:space="preserve">    </t>
    </r>
    <r>
      <rPr>
        <sz val="14"/>
        <rFont val="標楷體"/>
        <family val="4"/>
        <charset val="136"/>
      </rPr>
      <t>級</t>
    </r>
  </si>
  <si>
    <r>
      <t xml:space="preserve">  </t>
    </r>
    <r>
      <rPr>
        <sz val="14"/>
        <rFont val="標楷體"/>
        <family val="4"/>
        <charset val="136"/>
      </rPr>
      <t>導</t>
    </r>
    <r>
      <rPr>
        <sz val="14"/>
        <rFont val="Times New Roman"/>
        <family val="1"/>
      </rPr>
      <t xml:space="preserve">  </t>
    </r>
    <r>
      <rPr>
        <sz val="14"/>
        <rFont val="標楷體"/>
        <family val="4"/>
        <charset val="136"/>
      </rPr>
      <t>師</t>
    </r>
    <r>
      <rPr>
        <sz val="14"/>
        <rFont val="Times New Roman"/>
        <family val="1"/>
      </rPr>
      <t xml:space="preserve">  </t>
    </r>
  </si>
  <si>
    <r>
      <t xml:space="preserve"> </t>
    </r>
    <r>
      <rPr>
        <sz val="14"/>
        <rFont val="標楷體"/>
        <family val="4"/>
        <charset val="136"/>
      </rPr>
      <t>男</t>
    </r>
    <r>
      <rPr>
        <sz val="14"/>
        <rFont val="Times New Roman"/>
        <family val="1"/>
      </rPr>
      <t xml:space="preserve"> </t>
    </r>
  </si>
  <si>
    <r>
      <t xml:space="preserve">  </t>
    </r>
    <r>
      <rPr>
        <sz val="14"/>
        <rFont val="標楷體"/>
        <family val="4"/>
        <charset val="136"/>
      </rPr>
      <t>女</t>
    </r>
  </si>
  <si>
    <r>
      <t xml:space="preserve"> </t>
    </r>
    <r>
      <rPr>
        <sz val="14"/>
        <rFont val="標楷體"/>
        <family val="4"/>
        <charset val="136"/>
      </rPr>
      <t>合計</t>
    </r>
  </si>
  <si>
    <r>
      <t xml:space="preserve">  </t>
    </r>
    <r>
      <rPr>
        <sz val="14"/>
        <rFont val="標楷體"/>
        <family val="4"/>
        <charset val="136"/>
      </rPr>
      <t>男</t>
    </r>
    <r>
      <rPr>
        <sz val="14"/>
        <rFont val="Times New Roman"/>
        <family val="1"/>
      </rPr>
      <t xml:space="preserve"> </t>
    </r>
  </si>
  <si>
    <t>何敏豪</t>
  </si>
  <si>
    <t>江庭暉</t>
  </si>
  <si>
    <t>邱明峯</t>
  </si>
  <si>
    <t>編班結果</t>
    <phoneticPr fontId="2" type="noConversion"/>
  </si>
  <si>
    <t>備註</t>
    <phoneticPr fontId="2" type="noConversion"/>
  </si>
  <si>
    <t>備註</t>
    <phoneticPr fontId="2" type="noConversion"/>
  </si>
  <si>
    <t>休學</t>
    <phoneticPr fontId="2" type="noConversion"/>
  </si>
  <si>
    <t>1081移除</t>
    <phoneticPr fontId="2" type="noConversion"/>
  </si>
  <si>
    <t>休學(志趣不合)</t>
    <phoneticPr fontId="2" type="noConversion"/>
  </si>
  <si>
    <t>電子三忠</t>
    <phoneticPr fontId="2" type="noConversion"/>
  </si>
  <si>
    <t>陳信愷</t>
  </si>
  <si>
    <t>076211</t>
  </si>
  <si>
    <t>應英一忠</t>
  </si>
  <si>
    <t>應英一忠</t>
    <phoneticPr fontId="4" type="noConversion"/>
  </si>
  <si>
    <t>應英一孝</t>
  </si>
  <si>
    <t>應英一孝</t>
    <phoneticPr fontId="4" type="noConversion"/>
  </si>
  <si>
    <t>應英一忠</t>
    <phoneticPr fontId="2" type="noConversion"/>
  </si>
  <si>
    <t>應英一孝</t>
    <phoneticPr fontId="2" type="noConversion"/>
  </si>
  <si>
    <t>應英一孝</t>
    <phoneticPr fontId="2" type="noConversion"/>
  </si>
  <si>
    <t>冷凍一孝</t>
    <phoneticPr fontId="2" type="noConversion"/>
  </si>
  <si>
    <t>陳明杰</t>
    <phoneticPr fontId="2" type="noConversion"/>
  </si>
  <si>
    <t>男</t>
    <phoneticPr fontId="2" type="noConversion"/>
  </si>
  <si>
    <t>轉出</t>
    <phoneticPr fontId="2" type="noConversion"/>
  </si>
  <si>
    <t>原已休學</t>
    <phoneticPr fontId="2" type="noConversion"/>
  </si>
  <si>
    <t>轉出(馬祖高中)</t>
    <phoneticPr fontId="2" type="noConversion"/>
  </si>
  <si>
    <t>1081移除</t>
    <phoneticPr fontId="2" type="noConversion"/>
  </si>
  <si>
    <t>轉出(私立大同高中)</t>
    <phoneticPr fontId="2" type="noConversion"/>
  </si>
  <si>
    <t>重讀</t>
    <phoneticPr fontId="2" type="noConversion"/>
  </si>
  <si>
    <t>1081移2年級</t>
    <phoneticPr fontId="2" type="noConversion"/>
  </si>
  <si>
    <t>移除2年級</t>
    <phoneticPr fontId="2" type="noConversion"/>
  </si>
  <si>
    <t>ok</t>
    <phoneticPr fontId="2" type="noConversion"/>
  </si>
  <si>
    <t>ok</t>
    <phoneticPr fontId="2" type="noConversion"/>
  </si>
  <si>
    <t>控制二忠</t>
    <phoneticPr fontId="2" type="noConversion"/>
  </si>
  <si>
    <t>公告版時間0829</t>
    <phoneticPr fontId="2" type="noConversion"/>
  </si>
  <si>
    <t>休學</t>
    <phoneticPr fontId="2" type="noConversion"/>
  </si>
  <si>
    <t>休學(出國美國)</t>
    <phoneticPr fontId="2" type="noConversion"/>
  </si>
  <si>
    <t>電機一孝</t>
    <phoneticPr fontId="2" type="noConversion"/>
  </si>
  <si>
    <t>控制二孝</t>
    <phoneticPr fontId="2" type="noConversion"/>
  </si>
  <si>
    <t>轉出</t>
    <phoneticPr fontId="2" type="noConversion"/>
  </si>
  <si>
    <t>轉出(學學)</t>
    <phoneticPr fontId="2" type="noConversion"/>
  </si>
  <si>
    <t>冷凍一忠</t>
    <phoneticPr fontId="2" type="noConversion"/>
  </si>
  <si>
    <t>休學</t>
    <phoneticPr fontId="2" type="noConversion"/>
  </si>
  <si>
    <t>休學</t>
    <phoneticPr fontId="2" type="noConversion"/>
  </si>
  <si>
    <t>*吳汶玲</t>
    <phoneticPr fontId="2" type="noConversion"/>
  </si>
  <si>
    <t>電子一忠</t>
    <phoneticPr fontId="2" type="noConversion"/>
  </si>
  <si>
    <t>*朱芷葳</t>
    <phoneticPr fontId="2" type="noConversion"/>
  </si>
  <si>
    <t>冷凍一孝</t>
    <phoneticPr fontId="2" type="noConversion"/>
  </si>
  <si>
    <t>自棄學籍</t>
    <phoneticPr fontId="2" type="noConversion"/>
  </si>
  <si>
    <t>自棄學籍</t>
    <phoneticPr fontId="2" type="noConversion"/>
  </si>
  <si>
    <t>控制二孝</t>
    <phoneticPr fontId="2" type="noConversion"/>
  </si>
  <si>
    <t>休學</t>
    <phoneticPr fontId="2" type="noConversion"/>
  </si>
  <si>
    <t>休學(志趣不合)</t>
    <phoneticPr fontId="2" type="noConversion"/>
  </si>
  <si>
    <t>資訊一孝</t>
    <phoneticPr fontId="2" type="noConversion"/>
  </si>
  <si>
    <t>073233</t>
    <phoneticPr fontId="2" type="noConversion"/>
  </si>
  <si>
    <t>劉正勤</t>
    <phoneticPr fontId="2" type="noConversion"/>
  </si>
  <si>
    <t>男</t>
    <phoneticPr fontId="2" type="noConversion"/>
  </si>
  <si>
    <t>轉出</t>
    <phoneticPr fontId="2" type="noConversion"/>
  </si>
  <si>
    <t>原已休學</t>
    <phoneticPr fontId="2" type="noConversion"/>
  </si>
  <si>
    <t>轉出(市立復興高中)</t>
    <phoneticPr fontId="2" type="noConversion"/>
  </si>
  <si>
    <t>電機二忠</t>
    <phoneticPr fontId="2" type="noConversion"/>
  </si>
  <si>
    <t>休學</t>
    <phoneticPr fontId="2" type="noConversion"/>
  </si>
  <si>
    <t>1081移除</t>
    <phoneticPr fontId="2" type="noConversion"/>
  </si>
  <si>
    <t>資訊三孝</t>
    <phoneticPr fontId="2" type="noConversion"/>
  </si>
  <si>
    <t>063231</t>
    <phoneticPr fontId="2" type="noConversion"/>
  </si>
  <si>
    <t>劉智可</t>
    <phoneticPr fontId="2" type="noConversion"/>
  </si>
  <si>
    <t>男</t>
    <phoneticPr fontId="2" type="noConversion"/>
  </si>
  <si>
    <t>轉出</t>
    <phoneticPr fontId="2" type="noConversion"/>
  </si>
  <si>
    <t>原已休學</t>
    <phoneticPr fontId="2" type="noConversion"/>
  </si>
  <si>
    <t>轉出(育達高職)</t>
    <phoneticPr fontId="2" type="noConversion"/>
  </si>
  <si>
    <t>男</t>
    <phoneticPr fontId="2" type="noConversion"/>
  </si>
  <si>
    <t>轉出</t>
    <phoneticPr fontId="2" type="noConversion"/>
  </si>
  <si>
    <t>原已休學</t>
    <phoneticPr fontId="2" type="noConversion"/>
  </si>
  <si>
    <t>陳啓恩</t>
    <phoneticPr fontId="2" type="noConversion"/>
  </si>
  <si>
    <t>轉出(教育局自學)</t>
    <phoneticPr fontId="2" type="noConversion"/>
  </si>
  <si>
    <t>電子二愛</t>
    <phoneticPr fontId="2" type="noConversion"/>
  </si>
  <si>
    <t>休學</t>
    <phoneticPr fontId="2" type="noConversion"/>
  </si>
  <si>
    <t>休學(志趣不合)</t>
    <phoneticPr fontId="2" type="noConversion"/>
  </si>
  <si>
    <t>綜職一忠</t>
    <phoneticPr fontId="2" type="noConversion"/>
  </si>
  <si>
    <t>休學</t>
    <phoneticPr fontId="2" type="noConversion"/>
  </si>
  <si>
    <t>休學(健康狀況)</t>
    <phoneticPr fontId="2" type="noConversion"/>
  </si>
  <si>
    <t>1081移除</t>
    <phoneticPr fontId="2" type="noConversion"/>
  </si>
  <si>
    <t>控制一忠</t>
    <phoneticPr fontId="2" type="noConversion"/>
  </si>
  <si>
    <t>休學</t>
    <phoneticPr fontId="2" type="noConversion"/>
  </si>
  <si>
    <t>冷凍一忠</t>
    <phoneticPr fontId="2" type="noConversion"/>
  </si>
  <si>
    <t>電子一仁</t>
    <phoneticPr fontId="2" type="noConversion"/>
  </si>
  <si>
    <t>冷凍二孝</t>
    <phoneticPr fontId="2" type="noConversion"/>
  </si>
  <si>
    <t>休學</t>
    <phoneticPr fontId="2" type="noConversion"/>
  </si>
  <si>
    <t>1081移除</t>
    <phoneticPr fontId="2" type="noConversion"/>
  </si>
  <si>
    <t>資訊三仁</t>
    <phoneticPr fontId="2" type="noConversion"/>
  </si>
  <si>
    <t>休學</t>
    <phoneticPr fontId="2" type="noConversion"/>
  </si>
  <si>
    <t>休學(作息不規律)</t>
    <phoneticPr fontId="2" type="noConversion"/>
  </si>
  <si>
    <t>ok</t>
    <phoneticPr fontId="2" type="noConversion"/>
  </si>
  <si>
    <t>控制二孝</t>
    <phoneticPr fontId="2" type="noConversion"/>
  </si>
  <si>
    <t>男</t>
    <phoneticPr fontId="2" type="noConversion"/>
  </si>
  <si>
    <t>休學</t>
    <phoneticPr fontId="2" type="noConversion"/>
  </si>
  <si>
    <t>1081移除</t>
    <phoneticPr fontId="2" type="noConversion"/>
  </si>
  <si>
    <t>電子二仁</t>
    <phoneticPr fontId="2" type="noConversion"/>
  </si>
  <si>
    <t>休學</t>
    <phoneticPr fontId="2" type="noConversion"/>
  </si>
  <si>
    <t>電子三愛</t>
    <phoneticPr fontId="2" type="noConversion"/>
  </si>
  <si>
    <t>休學</t>
    <phoneticPr fontId="2" type="noConversion"/>
  </si>
  <si>
    <t>休學(拒學)上簽休學</t>
    <phoneticPr fontId="2" type="noConversion"/>
  </si>
  <si>
    <t>休學(因病)</t>
    <phoneticPr fontId="2" type="noConversion"/>
  </si>
  <si>
    <t>電機二忠</t>
    <phoneticPr fontId="2" type="noConversion"/>
  </si>
  <si>
    <t>資訊一忠</t>
    <phoneticPr fontId="2" type="noConversion"/>
  </si>
  <si>
    <t>休學(就業)</t>
    <phoneticPr fontId="2" type="noConversion"/>
  </si>
  <si>
    <t>冷凍一孝</t>
    <phoneticPr fontId="2" type="noConversion"/>
  </si>
  <si>
    <t>資訊一仁</t>
    <phoneticPr fontId="2" type="noConversion"/>
  </si>
  <si>
    <t>休學</t>
    <phoneticPr fontId="2" type="noConversion"/>
  </si>
  <si>
    <t>資訊二孝</t>
    <phoneticPr fontId="2" type="noConversion"/>
  </si>
  <si>
    <t>休學(生活作息不正常)</t>
    <phoneticPr fontId="2" type="noConversion"/>
  </si>
  <si>
    <t>電機一孝</t>
    <phoneticPr fontId="2" type="noConversion"/>
  </si>
  <si>
    <t>冷凍三忠</t>
    <phoneticPr fontId="2" type="noConversion"/>
  </si>
  <si>
    <t>應外一忠</t>
    <phoneticPr fontId="2" type="noConversion"/>
  </si>
  <si>
    <t>休學(缺曠課過多)</t>
    <phoneticPr fontId="2" type="noConversion"/>
  </si>
  <si>
    <t>資訊一忠</t>
    <phoneticPr fontId="2" type="noConversion"/>
  </si>
  <si>
    <t>休學</t>
    <phoneticPr fontId="2" type="noConversion"/>
  </si>
  <si>
    <t>電子一孝</t>
    <phoneticPr fontId="2" type="noConversion"/>
  </si>
  <si>
    <t>冷凍三忠</t>
    <phoneticPr fontId="2" type="noConversion"/>
  </si>
  <si>
    <t>何卷哲</t>
    <phoneticPr fontId="2" type="noConversion"/>
  </si>
  <si>
    <t>男</t>
    <phoneticPr fontId="2" type="noConversion"/>
  </si>
  <si>
    <t>資訊一孝</t>
    <phoneticPr fontId="2" type="noConversion"/>
  </si>
  <si>
    <t>1081移除</t>
  </si>
  <si>
    <t>門服一忠</t>
  </si>
  <si>
    <t>門服一忠</t>
    <phoneticPr fontId="2" type="noConversion"/>
  </si>
  <si>
    <t>門服一忠</t>
    <phoneticPr fontId="4" type="noConversion"/>
  </si>
  <si>
    <t>休學(出國:美國)</t>
    <phoneticPr fontId="2" type="noConversion"/>
  </si>
  <si>
    <t>資訊一孝</t>
    <phoneticPr fontId="2" type="noConversion"/>
  </si>
  <si>
    <t>轉出</t>
    <phoneticPr fontId="2" type="noConversion"/>
  </si>
  <si>
    <t>1082移除</t>
    <phoneticPr fontId="2" type="noConversion"/>
  </si>
  <si>
    <t>資訊一忠</t>
    <phoneticPr fontId="2" type="noConversion"/>
  </si>
  <si>
    <t>轉出(華夏五專)</t>
    <phoneticPr fontId="2" type="noConversion"/>
  </si>
  <si>
    <t>電機一愛</t>
    <phoneticPr fontId="2" type="noConversion"/>
  </si>
  <si>
    <t>1082移除</t>
    <phoneticPr fontId="2" type="noConversion"/>
  </si>
  <si>
    <t>轉出(志仁多媒體設計)</t>
    <phoneticPr fontId="2" type="noConversion"/>
  </si>
  <si>
    <t>轉出(幼華高中電子競技)</t>
    <phoneticPr fontId="2" type="noConversion"/>
  </si>
  <si>
    <t>控制一孝</t>
    <phoneticPr fontId="2" type="noConversion"/>
  </si>
  <si>
    <t>轉出(志仁餐飲)</t>
    <phoneticPr fontId="2" type="noConversion"/>
  </si>
  <si>
    <t>轉出(康寧五專企管)</t>
    <phoneticPr fontId="2" type="noConversion"/>
  </si>
  <si>
    <t>轉出(影視音實驗教育機構)</t>
    <phoneticPr fontId="2" type="noConversion"/>
  </si>
  <si>
    <t>謝朋霖</t>
  </si>
  <si>
    <t>083233</t>
    <phoneticPr fontId="2" type="noConversion"/>
  </si>
  <si>
    <t>資訊一孝</t>
    <phoneticPr fontId="2" type="noConversion"/>
  </si>
  <si>
    <t>應外二孝</t>
    <phoneticPr fontId="2" type="noConversion"/>
  </si>
  <si>
    <t>控制一忠</t>
    <phoneticPr fontId="2" type="noConversion"/>
  </si>
  <si>
    <t>轉出(光華商職)</t>
    <phoneticPr fontId="2" type="noConversion"/>
  </si>
  <si>
    <t>綜職二孝</t>
    <phoneticPr fontId="2" type="noConversion"/>
  </si>
  <si>
    <t>轉出(市立啟智學校)</t>
    <phoneticPr fontId="2" type="noConversion"/>
  </si>
  <si>
    <t>資訊一忠</t>
    <phoneticPr fontId="2" type="noConversion"/>
  </si>
  <si>
    <t>丁律倫</t>
    <phoneticPr fontId="2" type="noConversion"/>
  </si>
  <si>
    <t>男</t>
    <phoneticPr fontId="2" type="noConversion"/>
  </si>
  <si>
    <t>原1062休學</t>
    <phoneticPr fontId="2" type="noConversion"/>
  </si>
  <si>
    <t>轉出(稻江工商)</t>
    <phoneticPr fontId="2" type="noConversion"/>
  </si>
  <si>
    <t>冷凍一孝</t>
    <phoneticPr fontId="2" type="noConversion"/>
  </si>
  <si>
    <t>轉出(協和汽車)</t>
    <phoneticPr fontId="2" type="noConversion"/>
  </si>
  <si>
    <t>轉出</t>
    <phoneticPr fontId="2" type="noConversion"/>
  </si>
  <si>
    <t>轉出(基隆光隆家商)</t>
    <phoneticPr fontId="2" type="noConversion"/>
  </si>
  <si>
    <t>冷凍二忠</t>
    <phoneticPr fontId="2" type="noConversion"/>
  </si>
  <si>
    <t>轉出(南強高職)</t>
    <phoneticPr fontId="2" type="noConversion"/>
  </si>
  <si>
    <t>冷凍二孝</t>
    <phoneticPr fontId="2" type="noConversion"/>
  </si>
  <si>
    <t>1082移除</t>
  </si>
  <si>
    <t>轉出(喬治工商餐飲)</t>
    <phoneticPr fontId="2" type="noConversion"/>
  </si>
  <si>
    <t>控制一忠</t>
    <phoneticPr fontId="2" type="noConversion"/>
  </si>
  <si>
    <t>0224公告1877人</t>
    <phoneticPr fontId="2" type="noConversion"/>
  </si>
  <si>
    <t>休學</t>
    <phoneticPr fontId="2" type="noConversion"/>
  </si>
  <si>
    <t>電子二仁</t>
    <phoneticPr fontId="2" type="noConversion"/>
  </si>
  <si>
    <t>控制二孝</t>
    <phoneticPr fontId="2" type="noConversion"/>
  </si>
  <si>
    <t>轉出</t>
    <phoneticPr fontId="2" type="noConversion"/>
  </si>
  <si>
    <t>ok</t>
    <phoneticPr fontId="2" type="noConversion"/>
  </si>
  <si>
    <t>轉出(康寧五專)</t>
    <phoneticPr fontId="2" type="noConversion"/>
  </si>
  <si>
    <t>電機一忠</t>
    <phoneticPr fontId="2" type="noConversion"/>
  </si>
  <si>
    <t>休學(重考)</t>
    <phoneticPr fontId="2" type="noConversion"/>
  </si>
  <si>
    <t>休學(其他)</t>
    <phoneticPr fontId="2" type="noConversion"/>
  </si>
  <si>
    <t>資訊二忠</t>
    <phoneticPr fontId="2" type="noConversion"/>
  </si>
  <si>
    <t>電機一仁</t>
    <phoneticPr fontId="2" type="noConversion"/>
  </si>
  <si>
    <t>應英一忠</t>
    <phoneticPr fontId="2" type="noConversion"/>
  </si>
  <si>
    <t>電機二仁</t>
    <phoneticPr fontId="2" type="noConversion"/>
  </si>
  <si>
    <t>電子一愛</t>
    <phoneticPr fontId="2" type="noConversion"/>
  </si>
  <si>
    <t>應外三孝</t>
    <phoneticPr fontId="2" type="noConversion"/>
  </si>
  <si>
    <t>休學(志趣不合)7日未到校</t>
    <phoneticPr fontId="2" type="noConversion"/>
  </si>
  <si>
    <t>控制二忠</t>
    <phoneticPr fontId="2" type="noConversion"/>
  </si>
  <si>
    <t>轉出</t>
    <phoneticPr fontId="2" type="noConversion"/>
  </si>
  <si>
    <t>電機一孝</t>
    <phoneticPr fontId="2" type="noConversion"/>
  </si>
  <si>
    <t>休學(健康狀況)</t>
    <phoneticPr fontId="2" type="noConversion"/>
  </si>
  <si>
    <t>電子一孝</t>
    <phoneticPr fontId="2" type="noConversion"/>
  </si>
  <si>
    <t>原已休學</t>
    <phoneticPr fontId="2" type="noConversion"/>
  </si>
  <si>
    <t>轉出(志仁高中餐飲)</t>
    <phoneticPr fontId="2" type="noConversion"/>
  </si>
  <si>
    <t>冷凍一忠</t>
    <phoneticPr fontId="2" type="noConversion"/>
  </si>
  <si>
    <t>轉出(嘉義私立興華觀光)</t>
    <phoneticPr fontId="2" type="noConversion"/>
  </si>
  <si>
    <t>控制一孝</t>
    <phoneticPr fontId="2" type="noConversion"/>
  </si>
  <si>
    <t>轉出</t>
    <phoneticPr fontId="2" type="noConversion"/>
  </si>
  <si>
    <t>轉出(自學)</t>
    <phoneticPr fontId="2" type="noConversion"/>
  </si>
  <si>
    <t>電子二仁</t>
    <phoneticPr fontId="2" type="noConversion"/>
  </si>
  <si>
    <t>轉出</t>
    <phoneticPr fontId="2" type="noConversion"/>
  </si>
  <si>
    <t>ok</t>
    <phoneticPr fontId="2" type="noConversion"/>
  </si>
  <si>
    <t>轉出(育達觀光)</t>
    <phoneticPr fontId="2" type="noConversion"/>
  </si>
  <si>
    <t>資訊一孝</t>
    <phoneticPr fontId="2" type="noConversion"/>
  </si>
  <si>
    <t>轉出</t>
    <phoneticPr fontId="2" type="noConversion"/>
  </si>
  <si>
    <t>轉出(重考未分發)</t>
    <phoneticPr fontId="2" type="noConversion"/>
  </si>
  <si>
    <t>電子一孝</t>
    <phoneticPr fontId="2" type="noConversion"/>
  </si>
  <si>
    <t>電機一仁</t>
    <phoneticPr fontId="2" type="noConversion"/>
  </si>
  <si>
    <t>轉出(祐華電競)</t>
    <phoneticPr fontId="2" type="noConversion"/>
  </si>
  <si>
    <t>電子一忠</t>
    <phoneticPr fontId="2" type="noConversion"/>
  </si>
  <si>
    <t>1082移除</t>
    <phoneticPr fontId="2" type="noConversion"/>
  </si>
  <si>
    <t>ok</t>
    <phoneticPr fontId="2" type="noConversion"/>
  </si>
  <si>
    <t>轉出(惇敘汽修)</t>
    <phoneticPr fontId="2" type="noConversion"/>
  </si>
  <si>
    <t>冷凍一忠</t>
    <phoneticPr fontId="2" type="noConversion"/>
  </si>
  <si>
    <t>休學(缺曠過多)</t>
    <phoneticPr fontId="2" type="noConversion"/>
  </si>
  <si>
    <t>轉出</t>
    <phoneticPr fontId="2" type="noConversion"/>
  </si>
  <si>
    <t>原休學1081</t>
    <phoneticPr fontId="2" type="noConversion"/>
  </si>
  <si>
    <t>轉出</t>
    <phoneticPr fontId="2" type="noConversion"/>
  </si>
  <si>
    <t>轉出(松農園藝)</t>
    <phoneticPr fontId="2" type="noConversion"/>
  </si>
  <si>
    <t>原休學1082</t>
    <phoneticPr fontId="2" type="noConversion"/>
  </si>
  <si>
    <t>放棄學籍</t>
    <phoneticPr fontId="2" type="noConversion"/>
  </si>
  <si>
    <t>休二為復學，廢止學籍</t>
    <phoneticPr fontId="2" type="noConversion"/>
  </si>
  <si>
    <t>原休學1071</t>
    <phoneticPr fontId="2" type="noConversion"/>
  </si>
  <si>
    <t>冷凍一忠</t>
    <phoneticPr fontId="2" type="noConversion"/>
  </si>
  <si>
    <t>1091移除</t>
    <phoneticPr fontId="2" type="noConversion"/>
  </si>
  <si>
    <t>轉出</t>
    <phoneticPr fontId="2" type="noConversion"/>
  </si>
  <si>
    <t>吳汶玲</t>
  </si>
  <si>
    <t>轉出</t>
    <phoneticPr fontId="2" type="noConversion"/>
  </si>
  <si>
    <t>1091移除</t>
    <phoneticPr fontId="2" type="noConversion"/>
  </si>
  <si>
    <t>ok</t>
    <phoneticPr fontId="2" type="noConversion"/>
  </si>
  <si>
    <t>轉出(南港高中)</t>
    <phoneticPr fontId="2" type="noConversion"/>
  </si>
  <si>
    <t>控制一孝</t>
    <phoneticPr fontId="2" type="noConversion"/>
  </si>
  <si>
    <t>控制二忠</t>
    <phoneticPr fontId="2" type="noConversion"/>
  </si>
  <si>
    <t>轉出</t>
    <phoneticPr fontId="2" type="noConversion"/>
  </si>
  <si>
    <t>原休學1082</t>
    <phoneticPr fontId="2" type="noConversion"/>
  </si>
  <si>
    <t>原休學1081</t>
    <phoneticPr fontId="2" type="noConversion"/>
  </si>
  <si>
    <t>應英二忠</t>
  </si>
  <si>
    <t>應英二孝</t>
  </si>
  <si>
    <t>門服二忠</t>
  </si>
  <si>
    <t>應英二忠</t>
    <phoneticPr fontId="4" type="noConversion"/>
  </si>
  <si>
    <t>應英二孝</t>
    <phoneticPr fontId="4" type="noConversion"/>
  </si>
  <si>
    <t>門服二忠</t>
    <phoneticPr fontId="4" type="noConversion"/>
  </si>
  <si>
    <t>門服二忠</t>
    <phoneticPr fontId="2" type="noConversion"/>
  </si>
  <si>
    <t>應英二忠</t>
    <phoneticPr fontId="2" type="noConversion"/>
  </si>
  <si>
    <t>應英二孝</t>
    <phoneticPr fontId="2" type="noConversion"/>
  </si>
  <si>
    <t>091101</t>
  </si>
  <si>
    <t>王皓鼎</t>
  </si>
  <si>
    <t>091201</t>
  </si>
  <si>
    <t>丁竑懿</t>
  </si>
  <si>
    <t>091301</t>
  </si>
  <si>
    <t>王子豪</t>
  </si>
  <si>
    <t>091401</t>
  </si>
  <si>
    <t>白有順</t>
  </si>
  <si>
    <t>092101</t>
  </si>
  <si>
    <t>王彥翔</t>
  </si>
  <si>
    <t>092201</t>
  </si>
  <si>
    <t>王博玄</t>
  </si>
  <si>
    <t>092301</t>
  </si>
  <si>
    <t>王士保</t>
  </si>
  <si>
    <t>092401</t>
  </si>
  <si>
    <t>王聖凱</t>
  </si>
  <si>
    <t>093101</t>
  </si>
  <si>
    <t>丁璽元</t>
  </si>
  <si>
    <t>093201</t>
  </si>
  <si>
    <t>方建翔</t>
  </si>
  <si>
    <t>093301</t>
  </si>
  <si>
    <t>王柏文</t>
  </si>
  <si>
    <t>094101</t>
  </si>
  <si>
    <t>*江舒妮</t>
  </si>
  <si>
    <t>094201</t>
  </si>
  <si>
    <t>王柏諭</t>
  </si>
  <si>
    <t>095101</t>
  </si>
  <si>
    <t>王宇豪</t>
  </si>
  <si>
    <t>095201</t>
  </si>
  <si>
    <t>王凱泰</t>
  </si>
  <si>
    <t>098101</t>
  </si>
  <si>
    <t>*于文慈</t>
  </si>
  <si>
    <t>098201</t>
  </si>
  <si>
    <t>*王淨儀</t>
  </si>
  <si>
    <t>096101</t>
  </si>
  <si>
    <t>尹念行</t>
  </si>
  <si>
    <t>097101</t>
  </si>
  <si>
    <t>*王芝㚬</t>
  </si>
  <si>
    <t>091102</t>
  </si>
  <si>
    <t>丘家宇</t>
  </si>
  <si>
    <t>091202</t>
  </si>
  <si>
    <t>丁肇佑</t>
  </si>
  <si>
    <t>091302</t>
  </si>
  <si>
    <t>091402</t>
  </si>
  <si>
    <t>余佳泓</t>
  </si>
  <si>
    <t>092102</t>
  </si>
  <si>
    <t>王偉宸</t>
  </si>
  <si>
    <t>092202</t>
  </si>
  <si>
    <t>吳柏翰</t>
  </si>
  <si>
    <t>092302</t>
  </si>
  <si>
    <t>王逢緒</t>
  </si>
  <si>
    <t>092402</t>
  </si>
  <si>
    <t>朱原樂</t>
  </si>
  <si>
    <t>093102</t>
  </si>
  <si>
    <t>白詠翔</t>
  </si>
  <si>
    <t>093202</t>
  </si>
  <si>
    <t>093302</t>
  </si>
  <si>
    <t>王毓壕</t>
  </si>
  <si>
    <t>094102</t>
  </si>
  <si>
    <t>吳育安</t>
  </si>
  <si>
    <t>094202</t>
  </si>
  <si>
    <t>王若宇</t>
  </si>
  <si>
    <t>095102</t>
  </si>
  <si>
    <t>*何承澄</t>
  </si>
  <si>
    <t>095202</t>
  </si>
  <si>
    <t>江信霆</t>
  </si>
  <si>
    <t>098102</t>
  </si>
  <si>
    <t>王翼崴</t>
  </si>
  <si>
    <t>098202</t>
  </si>
  <si>
    <t>*何昕庭</t>
  </si>
  <si>
    <t>096102</t>
  </si>
  <si>
    <t>*任耘逸</t>
  </si>
  <si>
    <t>097102</t>
  </si>
  <si>
    <t>吳秉澄</t>
  </si>
  <si>
    <t>091103</t>
  </si>
  <si>
    <t>石皓仁</t>
  </si>
  <si>
    <t>091203</t>
  </si>
  <si>
    <t>王俊翔</t>
  </si>
  <si>
    <t>091303</t>
  </si>
  <si>
    <t>石耕維</t>
  </si>
  <si>
    <t>091403</t>
  </si>
  <si>
    <t>吳卓恩</t>
  </si>
  <si>
    <t>092103</t>
  </si>
  <si>
    <t>王揚程</t>
  </si>
  <si>
    <t>092203</t>
  </si>
  <si>
    <t>周冠宏</t>
  </si>
  <si>
    <t>092303</t>
  </si>
  <si>
    <t>王煜皓</t>
  </si>
  <si>
    <t>092403</t>
  </si>
  <si>
    <t>江浚泓</t>
  </si>
  <si>
    <t>093103</t>
  </si>
  <si>
    <t>江冠毅</t>
  </si>
  <si>
    <t>093203</t>
  </si>
  <si>
    <t>呂承洋</t>
  </si>
  <si>
    <t>093303</t>
  </si>
  <si>
    <t>094103</t>
  </si>
  <si>
    <t>吳承恩</t>
  </si>
  <si>
    <t>094203</t>
  </si>
  <si>
    <t>石軒宇</t>
  </si>
  <si>
    <t>095103</t>
  </si>
  <si>
    <t>吳昕陽</t>
  </si>
  <si>
    <t>095203</t>
  </si>
  <si>
    <t>江柏霖</t>
  </si>
  <si>
    <t>098103</t>
  </si>
  <si>
    <t>*李亭誼</t>
  </si>
  <si>
    <t>098203</t>
  </si>
  <si>
    <t>余詹焯</t>
  </si>
  <si>
    <t>096103</t>
  </si>
  <si>
    <t>*吳沛璇</t>
  </si>
  <si>
    <t>097103</t>
  </si>
  <si>
    <t>李柏羲</t>
  </si>
  <si>
    <t>091104</t>
  </si>
  <si>
    <t>李昆翰</t>
  </si>
  <si>
    <t>091204</t>
  </si>
  <si>
    <t>王建融</t>
  </si>
  <si>
    <t>091304</t>
  </si>
  <si>
    <t>吳威辰</t>
  </si>
  <si>
    <t>091404</t>
  </si>
  <si>
    <t>呂博文</t>
  </si>
  <si>
    <t>092104</t>
  </si>
  <si>
    <t>*王湘毓</t>
  </si>
  <si>
    <t>092204</t>
  </si>
  <si>
    <t>周睿瑀</t>
  </si>
  <si>
    <t>092304</t>
  </si>
  <si>
    <t>石浩佑</t>
  </si>
  <si>
    <t>092404</t>
  </si>
  <si>
    <t>余佾倫</t>
  </si>
  <si>
    <t>093104</t>
  </si>
  <si>
    <t>吳祐丞</t>
  </si>
  <si>
    <t>093204</t>
  </si>
  <si>
    <t>宋建緯</t>
  </si>
  <si>
    <t>093304</t>
  </si>
  <si>
    <t>王賦桀</t>
  </si>
  <si>
    <t>094104</t>
  </si>
  <si>
    <t>呂子安</t>
  </si>
  <si>
    <t>094204</t>
  </si>
  <si>
    <t>朱彥宇</t>
  </si>
  <si>
    <t>095104</t>
  </si>
  <si>
    <t>095204</t>
  </si>
  <si>
    <t>余俊毅</t>
  </si>
  <si>
    <t>098104</t>
  </si>
  <si>
    <t>官宗德</t>
  </si>
  <si>
    <t>098204</t>
  </si>
  <si>
    <t>李冠宏</t>
  </si>
  <si>
    <t>096104</t>
  </si>
  <si>
    <t>吳瑋勳</t>
  </si>
  <si>
    <t>097104</t>
  </si>
  <si>
    <t>周書丞</t>
  </si>
  <si>
    <t>091105</t>
  </si>
  <si>
    <t>李哲維</t>
  </si>
  <si>
    <t>091205</t>
  </si>
  <si>
    <t>王柏鈞</t>
  </si>
  <si>
    <t>091305</t>
  </si>
  <si>
    <t>吳睿祥</t>
  </si>
  <si>
    <t>091405</t>
  </si>
  <si>
    <t>宋承翰</t>
  </si>
  <si>
    <t>092105</t>
  </si>
  <si>
    <t>吳柏諺</t>
  </si>
  <si>
    <t>092205</t>
  </si>
  <si>
    <t>林子宸</t>
  </si>
  <si>
    <t>092305</t>
  </si>
  <si>
    <t>何晉德</t>
  </si>
  <si>
    <t>092405</t>
  </si>
  <si>
    <t>余長霖</t>
  </si>
  <si>
    <t>093105</t>
  </si>
  <si>
    <t>吳智愷</t>
  </si>
  <si>
    <t>093205</t>
  </si>
  <si>
    <t>李俊憲</t>
  </si>
  <si>
    <t>093305</t>
  </si>
  <si>
    <t>古晨佑</t>
  </si>
  <si>
    <t>094105</t>
  </si>
  <si>
    <t>呂宗峻</t>
  </si>
  <si>
    <t>094205</t>
  </si>
  <si>
    <t>095105</t>
  </si>
  <si>
    <t>李宥德</t>
  </si>
  <si>
    <t>095205</t>
  </si>
  <si>
    <t>吳冠毅</t>
  </si>
  <si>
    <t>098105</t>
  </si>
  <si>
    <t>林耘</t>
  </si>
  <si>
    <t>098205</t>
  </si>
  <si>
    <t>*李家秀</t>
  </si>
  <si>
    <t>096105</t>
  </si>
  <si>
    <t>沈威誠</t>
  </si>
  <si>
    <t>097105</t>
  </si>
  <si>
    <t>侯天勤</t>
  </si>
  <si>
    <t>091106</t>
  </si>
  <si>
    <t>阮郁棠</t>
  </si>
  <si>
    <t>091206</t>
  </si>
  <si>
    <t>王睿緯</t>
  </si>
  <si>
    <t>091306</t>
  </si>
  <si>
    <t>呂易宸</t>
  </si>
  <si>
    <t>091406</t>
  </si>
  <si>
    <t>林士軒</t>
  </si>
  <si>
    <t>092106</t>
  </si>
  <si>
    <t>092206</t>
  </si>
  <si>
    <t>林政安</t>
  </si>
  <si>
    <t>092306</t>
  </si>
  <si>
    <t>別同恩</t>
  </si>
  <si>
    <t>092406</t>
  </si>
  <si>
    <t>吳尚宇</t>
  </si>
  <si>
    <t>093106</t>
  </si>
  <si>
    <t>李承勳</t>
  </si>
  <si>
    <t>093206</t>
  </si>
  <si>
    <t>李政翰</t>
  </si>
  <si>
    <t>093306</t>
  </si>
  <si>
    <t>江勁杰</t>
  </si>
  <si>
    <t>094106</t>
  </si>
  <si>
    <t>*李怡瑩</t>
  </si>
  <si>
    <t>094206</t>
  </si>
  <si>
    <t>吳彥霖</t>
  </si>
  <si>
    <t>095106</t>
  </si>
  <si>
    <t>李凱智</t>
  </si>
  <si>
    <t>095206</t>
  </si>
  <si>
    <t>吳柏叡</t>
  </si>
  <si>
    <t>098106</t>
  </si>
  <si>
    <t>*林熙恩</t>
  </si>
  <si>
    <t>098206</t>
  </si>
  <si>
    <t>李銘洋</t>
  </si>
  <si>
    <t>096106</t>
  </si>
  <si>
    <t>*林姿伶</t>
  </si>
  <si>
    <t>097106</t>
  </si>
  <si>
    <t>張育綸</t>
  </si>
  <si>
    <t>091107</t>
  </si>
  <si>
    <t>周宸緯</t>
  </si>
  <si>
    <t>091207</t>
  </si>
  <si>
    <t>李杰祐</t>
  </si>
  <si>
    <t>091307</t>
  </si>
  <si>
    <t>林政宏</t>
  </si>
  <si>
    <t>091407</t>
  </si>
  <si>
    <t>林子耀</t>
  </si>
  <si>
    <t>092107</t>
  </si>
  <si>
    <t>*李芊葇</t>
  </si>
  <si>
    <t>092207</t>
  </si>
  <si>
    <t>林嵩霖</t>
  </si>
  <si>
    <t>092307</t>
  </si>
  <si>
    <t>吳秉謙</t>
  </si>
  <si>
    <t>092407</t>
  </si>
  <si>
    <t>093107</t>
  </si>
  <si>
    <t>李冠龍</t>
  </si>
  <si>
    <t>093207</t>
  </si>
  <si>
    <t>阮致瀚</t>
  </si>
  <si>
    <t>093307</t>
  </si>
  <si>
    <t>吳李謙</t>
  </si>
  <si>
    <t>094107</t>
  </si>
  <si>
    <t>094207</t>
  </si>
  <si>
    <t>吳道生</t>
  </si>
  <si>
    <t>095107</t>
  </si>
  <si>
    <t>周冠維</t>
  </si>
  <si>
    <t>095207</t>
  </si>
  <si>
    <t>吳晉翔</t>
  </si>
  <si>
    <t>098107</t>
  </si>
  <si>
    <t>*林誼臻</t>
  </si>
  <si>
    <t>098207</t>
  </si>
  <si>
    <t>*林心宜</t>
  </si>
  <si>
    <t>096107</t>
  </si>
  <si>
    <t>林哲瑋</t>
  </si>
  <si>
    <t>097107</t>
  </si>
  <si>
    <t>張奐奇</t>
  </si>
  <si>
    <t>091108</t>
  </si>
  <si>
    <t>房偉宸</t>
  </si>
  <si>
    <t>091208</t>
  </si>
  <si>
    <t>林子皓</t>
  </si>
  <si>
    <t>091308</t>
  </si>
  <si>
    <t>林政廷</t>
  </si>
  <si>
    <t>091408</t>
  </si>
  <si>
    <t>林洋本</t>
  </si>
  <si>
    <t>092108</t>
  </si>
  <si>
    <t>李彥霆</t>
  </si>
  <si>
    <t>092208</t>
  </si>
  <si>
    <t>施宇哲</t>
  </si>
  <si>
    <t>092308</t>
  </si>
  <si>
    <t>呂明陽</t>
  </si>
  <si>
    <t>092408</t>
  </si>
  <si>
    <t>吳禹呈</t>
  </si>
  <si>
    <t>093108</t>
  </si>
  <si>
    <t>*李思嫻</t>
  </si>
  <si>
    <t>093208</t>
  </si>
  <si>
    <t>林奕辰</t>
  </si>
  <si>
    <t>093308</t>
  </si>
  <si>
    <t>卓奕碩</t>
  </si>
  <si>
    <t>094108</t>
  </si>
  <si>
    <t>周仕勛</t>
  </si>
  <si>
    <t>094208</t>
  </si>
  <si>
    <t>吳睿哲</t>
  </si>
  <si>
    <t>095108</t>
  </si>
  <si>
    <t>周莛軒</t>
  </si>
  <si>
    <t>095208</t>
  </si>
  <si>
    <t>沈泓宇</t>
  </si>
  <si>
    <t>098108</t>
  </si>
  <si>
    <t>洪法</t>
  </si>
  <si>
    <t>098208</t>
  </si>
  <si>
    <t>林立宏</t>
  </si>
  <si>
    <t>096108</t>
  </si>
  <si>
    <t>林常閎</t>
  </si>
  <si>
    <t>097108</t>
  </si>
  <si>
    <t>*許滋玹</t>
  </si>
  <si>
    <t>091109</t>
  </si>
  <si>
    <t>林峻任</t>
  </si>
  <si>
    <t>091209</t>
  </si>
  <si>
    <t>林群燁</t>
  </si>
  <si>
    <t>091309</t>
  </si>
  <si>
    <t>*林嫚萱</t>
  </si>
  <si>
    <t>091409</t>
  </si>
  <si>
    <t>林韋誠</t>
  </si>
  <si>
    <t>092109</t>
  </si>
  <si>
    <t>周宥翔</t>
  </si>
  <si>
    <t>092209</t>
  </si>
  <si>
    <t>孫振傑</t>
  </si>
  <si>
    <t>092309</t>
  </si>
  <si>
    <t>李伯維</t>
  </si>
  <si>
    <t>092409</t>
  </si>
  <si>
    <t>宋昱達</t>
  </si>
  <si>
    <t>093109</t>
  </si>
  <si>
    <t>李庭安</t>
  </si>
  <si>
    <t>093209</t>
  </si>
  <si>
    <t>林琮皓</t>
  </si>
  <si>
    <t>093309</t>
  </si>
  <si>
    <t>明士軒</t>
  </si>
  <si>
    <t>094109</t>
  </si>
  <si>
    <t>林士恩</t>
  </si>
  <si>
    <t>094209</t>
  </si>
  <si>
    <t>杜丞翔</t>
  </si>
  <si>
    <t>095109</t>
  </si>
  <si>
    <t>林均豐</t>
  </si>
  <si>
    <t>095209</t>
  </si>
  <si>
    <t>周玹德</t>
  </si>
  <si>
    <t>098109</t>
  </si>
  <si>
    <t>徐立恩</t>
  </si>
  <si>
    <t>098209</t>
  </si>
  <si>
    <t>*凌聿力</t>
  </si>
  <si>
    <t>096109</t>
  </si>
  <si>
    <t>施棠議</t>
  </si>
  <si>
    <t>097109</t>
  </si>
  <si>
    <t>陳佑誠</t>
  </si>
  <si>
    <t>091110</t>
  </si>
  <si>
    <t>林慶沅</t>
  </si>
  <si>
    <t>091210</t>
  </si>
  <si>
    <t>胡書豪</t>
  </si>
  <si>
    <t>091310</t>
  </si>
  <si>
    <t>孫紹齊</t>
  </si>
  <si>
    <t>091410</t>
  </si>
  <si>
    <t>林峻葳</t>
  </si>
  <si>
    <t>092110</t>
  </si>
  <si>
    <t>周羿廷</t>
  </si>
  <si>
    <t>092210</t>
  </si>
  <si>
    <t>高廷瑋</t>
  </si>
  <si>
    <t>092310</t>
  </si>
  <si>
    <t>李昇峰</t>
  </si>
  <si>
    <t>092410</t>
  </si>
  <si>
    <t>李昱輝</t>
  </si>
  <si>
    <t>093110</t>
  </si>
  <si>
    <t>*李珞寧</t>
  </si>
  <si>
    <t>093210</t>
  </si>
  <si>
    <t>*金慧娟</t>
  </si>
  <si>
    <t>093310</t>
  </si>
  <si>
    <t>林瑋智</t>
  </si>
  <si>
    <t>094110</t>
  </si>
  <si>
    <t>林庭緯</t>
  </si>
  <si>
    <t>094210</t>
  </si>
  <si>
    <t>林展逸</t>
  </si>
  <si>
    <t>095110</t>
  </si>
  <si>
    <t>*林宜潔</t>
  </si>
  <si>
    <t>095210</t>
  </si>
  <si>
    <t>周義訓</t>
  </si>
  <si>
    <t>098110</t>
  </si>
  <si>
    <t>秦得善</t>
  </si>
  <si>
    <t>098210</t>
  </si>
  <si>
    <t>*徐妤華</t>
  </si>
  <si>
    <t>096110</t>
  </si>
  <si>
    <t>張睿豐</t>
  </si>
  <si>
    <t>097110</t>
  </si>
  <si>
    <t>陳凱威</t>
  </si>
  <si>
    <t>091111</t>
  </si>
  <si>
    <t>*唐頤庭</t>
  </si>
  <si>
    <t>091211</t>
  </si>
  <si>
    <t>高昕陽</t>
  </si>
  <si>
    <t>091311</t>
  </si>
  <si>
    <t>康祐翔</t>
  </si>
  <si>
    <t>091411</t>
  </si>
  <si>
    <t>林耘佑</t>
  </si>
  <si>
    <t>092111</t>
  </si>
  <si>
    <t>林宥儒</t>
  </si>
  <si>
    <t>092211</t>
  </si>
  <si>
    <t>高偉哲</t>
  </si>
  <si>
    <t>092311</t>
  </si>
  <si>
    <t>林柏瀚</t>
  </si>
  <si>
    <t>092411</t>
  </si>
  <si>
    <t>李皇霆</t>
  </si>
  <si>
    <t>093111</t>
  </si>
  <si>
    <t>林孟軒</t>
  </si>
  <si>
    <t>093211</t>
  </si>
  <si>
    <t>姜皓文</t>
  </si>
  <si>
    <t>093311</t>
  </si>
  <si>
    <t>洪糠翔</t>
  </si>
  <si>
    <t>094111</t>
  </si>
  <si>
    <t>徐紹睿</t>
  </si>
  <si>
    <t>094211</t>
  </si>
  <si>
    <t>施智文</t>
  </si>
  <si>
    <t>095111</t>
  </si>
  <si>
    <t>林晉丞</t>
  </si>
  <si>
    <t>095211</t>
  </si>
  <si>
    <t>易加恩</t>
  </si>
  <si>
    <t>098111</t>
  </si>
  <si>
    <t>*高渝棻</t>
  </si>
  <si>
    <t>098211</t>
  </si>
  <si>
    <t>*翁郁捷</t>
  </si>
  <si>
    <t>096111</t>
  </si>
  <si>
    <t>鄭晉傑</t>
  </si>
  <si>
    <t>097111</t>
  </si>
  <si>
    <t>黃巳祐</t>
  </si>
  <si>
    <t>091112</t>
  </si>
  <si>
    <t>郝齡雲</t>
  </si>
  <si>
    <t>091212</t>
  </si>
  <si>
    <t>張力仁</t>
  </si>
  <si>
    <t>091312</t>
  </si>
  <si>
    <t>張立璿</t>
  </si>
  <si>
    <t>091412</t>
  </si>
  <si>
    <t>洪緒康</t>
  </si>
  <si>
    <t>092112</t>
  </si>
  <si>
    <t>侯酉翰</t>
  </si>
  <si>
    <t>092212</t>
  </si>
  <si>
    <t>康閔崙</t>
  </si>
  <si>
    <t>092312</t>
  </si>
  <si>
    <t>092412</t>
  </si>
  <si>
    <t>李晉豪</t>
  </si>
  <si>
    <t>093112</t>
  </si>
  <si>
    <t>林冠勳</t>
  </si>
  <si>
    <t>093212</t>
  </si>
  <si>
    <t>徐敏皓</t>
  </si>
  <si>
    <t>093312</t>
  </si>
  <si>
    <t>胡永勝</t>
  </si>
  <si>
    <t>094112</t>
  </si>
  <si>
    <t>留延翰</t>
  </si>
  <si>
    <t>094212</t>
  </si>
  <si>
    <t>洪丞志</t>
  </si>
  <si>
    <t>095112</t>
  </si>
  <si>
    <t>林鴻元</t>
  </si>
  <si>
    <t>095212</t>
  </si>
  <si>
    <t>林宇風</t>
  </si>
  <si>
    <t>098112</t>
  </si>
  <si>
    <t>*高雅萍</t>
  </si>
  <si>
    <t>098212</t>
  </si>
  <si>
    <t>*馬采云</t>
  </si>
  <si>
    <t>096112</t>
  </si>
  <si>
    <t>鄭維德</t>
  </si>
  <si>
    <t>097112</t>
  </si>
  <si>
    <t>黃致盛</t>
  </si>
  <si>
    <t>091113</t>
  </si>
  <si>
    <t>*張馨勻</t>
  </si>
  <si>
    <t>091213</t>
  </si>
  <si>
    <t>張宇辰</t>
  </si>
  <si>
    <t>091313</t>
  </si>
  <si>
    <t>張祐豪</t>
  </si>
  <si>
    <t>091413</t>
  </si>
  <si>
    <t>范純理</t>
  </si>
  <si>
    <t>092113</t>
  </si>
  <si>
    <t>柯志翰</t>
  </si>
  <si>
    <t>092213</t>
  </si>
  <si>
    <t>張旭晨</t>
  </si>
  <si>
    <t>092313</t>
  </si>
  <si>
    <t>林軒安</t>
  </si>
  <si>
    <t>092413</t>
  </si>
  <si>
    <t>林冠緯</t>
  </si>
  <si>
    <t>093113</t>
  </si>
  <si>
    <t>093213</t>
  </si>
  <si>
    <t>殷勤文</t>
  </si>
  <si>
    <t>093313</t>
  </si>
  <si>
    <t>徐梓傑</t>
  </si>
  <si>
    <t>094113</t>
  </si>
  <si>
    <t>馬琯鈞</t>
  </si>
  <si>
    <t>094213</t>
  </si>
  <si>
    <t>范少齊</t>
  </si>
  <si>
    <t>095113</t>
  </si>
  <si>
    <t>康清颺</t>
  </si>
  <si>
    <t>095213</t>
  </si>
  <si>
    <t>林穎昊</t>
  </si>
  <si>
    <t>098113</t>
  </si>
  <si>
    <t>張冠霖</t>
  </si>
  <si>
    <t>098213</t>
  </si>
  <si>
    <t>馬瑋浩</t>
  </si>
  <si>
    <t>096113</t>
  </si>
  <si>
    <t>戴文麒</t>
  </si>
  <si>
    <t>097113</t>
  </si>
  <si>
    <t>*蔡佳汝</t>
  </si>
  <si>
    <t>091114</t>
  </si>
  <si>
    <t>莊淇淯</t>
  </si>
  <si>
    <t>091214</t>
  </si>
  <si>
    <t>張柏崴</t>
  </si>
  <si>
    <t>091314</t>
  </si>
  <si>
    <t>張歐子易</t>
  </si>
  <si>
    <t>091414</t>
  </si>
  <si>
    <t>張巧億</t>
  </si>
  <si>
    <t>092114</t>
  </si>
  <si>
    <t>洪麒杰</t>
  </si>
  <si>
    <t>092214</t>
  </si>
  <si>
    <t>許瀚文</t>
  </si>
  <si>
    <t>092314</t>
  </si>
  <si>
    <t>林偉銘</t>
  </si>
  <si>
    <t>092414</t>
  </si>
  <si>
    <t>093114</t>
  </si>
  <si>
    <t>093214</t>
  </si>
  <si>
    <t>高子翔</t>
  </si>
  <si>
    <t>093314</t>
  </si>
  <si>
    <t>秦梓晏</t>
  </si>
  <si>
    <t>094114</t>
  </si>
  <si>
    <t>高暐喆</t>
  </si>
  <si>
    <t>094214</t>
  </si>
  <si>
    <t>唐秉鈞</t>
  </si>
  <si>
    <t>095114</t>
  </si>
  <si>
    <t>郭又豪</t>
  </si>
  <si>
    <t>095214</t>
  </si>
  <si>
    <t>邱柏翔</t>
  </si>
  <si>
    <t>098114</t>
  </si>
  <si>
    <t>*張珈瑄</t>
  </si>
  <si>
    <t>098214</t>
  </si>
  <si>
    <t>高崇耀</t>
  </si>
  <si>
    <t>097114</t>
  </si>
  <si>
    <t>蔡銘杰</t>
  </si>
  <si>
    <t>091115</t>
  </si>
  <si>
    <t>莊道鈞</t>
  </si>
  <si>
    <t>091215</t>
  </si>
  <si>
    <t>張哲睿</t>
  </si>
  <si>
    <t>091315</t>
  </si>
  <si>
    <t>091415</t>
  </si>
  <si>
    <t>張博恩</t>
  </si>
  <si>
    <t>092115</t>
  </si>
  <si>
    <t>郎昱翔</t>
  </si>
  <si>
    <t>092215</t>
  </si>
  <si>
    <t>郭子賢</t>
  </si>
  <si>
    <t>092315</t>
  </si>
  <si>
    <t>林翊鈞</t>
  </si>
  <si>
    <t>092415</t>
  </si>
  <si>
    <t>林政全</t>
  </si>
  <si>
    <t>093115</t>
  </si>
  <si>
    <t>梁毅揚</t>
  </si>
  <si>
    <t>093215</t>
  </si>
  <si>
    <t>*高鈴舒</t>
  </si>
  <si>
    <t>093315</t>
  </si>
  <si>
    <t>*高涵畇</t>
  </si>
  <si>
    <t>094115</t>
  </si>
  <si>
    <t>張育愷</t>
  </si>
  <si>
    <t>094215</t>
  </si>
  <si>
    <t>*章椀雁</t>
  </si>
  <si>
    <t>095115</t>
  </si>
  <si>
    <t>陳元珏</t>
  </si>
  <si>
    <t>095215</t>
  </si>
  <si>
    <t>徐士宸</t>
  </si>
  <si>
    <t>098115</t>
  </si>
  <si>
    <t>莊韋哲</t>
  </si>
  <si>
    <t>098215</t>
  </si>
  <si>
    <t>張宏諺</t>
  </si>
  <si>
    <t>097115</t>
  </si>
  <si>
    <t>*賴誼軒</t>
  </si>
  <si>
    <t>091116</t>
  </si>
  <si>
    <t>許宇成</t>
  </si>
  <si>
    <t>091216</t>
  </si>
  <si>
    <t>張翔</t>
  </si>
  <si>
    <t>091316</t>
  </si>
  <si>
    <t>091416</t>
  </si>
  <si>
    <t>張翰文</t>
  </si>
  <si>
    <t>092116</t>
  </si>
  <si>
    <t>張有容</t>
  </si>
  <si>
    <t>092216</t>
  </si>
  <si>
    <t>郭秉龍</t>
  </si>
  <si>
    <t>092316</t>
  </si>
  <si>
    <t>林鉅程</t>
  </si>
  <si>
    <t>092416</t>
  </si>
  <si>
    <t>林宸宇</t>
  </si>
  <si>
    <t>093116</t>
  </si>
  <si>
    <t>莊旻錡</t>
  </si>
  <si>
    <t>093216</t>
  </si>
  <si>
    <t>093316</t>
  </si>
  <si>
    <t>張世楷</t>
  </si>
  <si>
    <t>094116</t>
  </si>
  <si>
    <t>張詠博</t>
  </si>
  <si>
    <t>094216</t>
  </si>
  <si>
    <t>陳立軒</t>
  </si>
  <si>
    <t>095116</t>
  </si>
  <si>
    <t>陳彥綸</t>
  </si>
  <si>
    <t>095216</t>
  </si>
  <si>
    <t>張元溢</t>
  </si>
  <si>
    <t>098116</t>
  </si>
  <si>
    <t>許璿麟</t>
  </si>
  <si>
    <t>098216</t>
  </si>
  <si>
    <t>*張詠絜</t>
  </si>
  <si>
    <t>097116</t>
  </si>
  <si>
    <t>*簡羽伶</t>
  </si>
  <si>
    <t>091117</t>
  </si>
  <si>
    <t>許博喻</t>
  </si>
  <si>
    <t>091217</t>
  </si>
  <si>
    <t>郭士銓</t>
  </si>
  <si>
    <t>091317</t>
  </si>
  <si>
    <t>陳宥伯</t>
  </si>
  <si>
    <t>091417</t>
  </si>
  <si>
    <t>陳沅瑾</t>
  </si>
  <si>
    <t>092117</t>
  </si>
  <si>
    <t>郭竑劭</t>
  </si>
  <si>
    <t>092217</t>
  </si>
  <si>
    <t>陳孟楷</t>
  </si>
  <si>
    <t>092317</t>
  </si>
  <si>
    <t>徐國翔</t>
  </si>
  <si>
    <t>092417</t>
  </si>
  <si>
    <t>金宸語</t>
  </si>
  <si>
    <t>093117</t>
  </si>
  <si>
    <t>許翼麟</t>
  </si>
  <si>
    <t>093217</t>
  </si>
  <si>
    <t>張凱勛</t>
  </si>
  <si>
    <t>093317</t>
  </si>
  <si>
    <t>張哲綸</t>
  </si>
  <si>
    <t>094117</t>
  </si>
  <si>
    <t>郭宗穎</t>
  </si>
  <si>
    <t>094217</t>
  </si>
  <si>
    <t>095117</t>
  </si>
  <si>
    <t>陳崇硯</t>
  </si>
  <si>
    <t>095217</t>
  </si>
  <si>
    <t>陳廷珧</t>
  </si>
  <si>
    <t>098117</t>
  </si>
  <si>
    <t>*郭又瑄</t>
  </si>
  <si>
    <t>098217</t>
  </si>
  <si>
    <t>*張瑀庭</t>
  </si>
  <si>
    <t>097117</t>
  </si>
  <si>
    <t>簡宏儒</t>
  </si>
  <si>
    <t>091118</t>
  </si>
  <si>
    <t>*連怡瑄</t>
  </si>
  <si>
    <t>091218</t>
  </si>
  <si>
    <t>郭宇樺</t>
  </si>
  <si>
    <t>091318</t>
  </si>
  <si>
    <t>陳彥安</t>
  </si>
  <si>
    <t>091418</t>
  </si>
  <si>
    <t>*陳玟晶</t>
  </si>
  <si>
    <t>092118</t>
  </si>
  <si>
    <t>陳悌</t>
  </si>
  <si>
    <t>092218</t>
  </si>
  <si>
    <t>092318</t>
  </si>
  <si>
    <t>翁岳均</t>
  </si>
  <si>
    <t>092418</t>
  </si>
  <si>
    <t>胡允豪</t>
  </si>
  <si>
    <t>093118</t>
  </si>
  <si>
    <t>郭伸霆</t>
  </si>
  <si>
    <t>093218</t>
  </si>
  <si>
    <t>張瑞亨</t>
  </si>
  <si>
    <t>093318</t>
  </si>
  <si>
    <t>張晁銜</t>
  </si>
  <si>
    <t>094118</t>
  </si>
  <si>
    <t>郭昊宸</t>
  </si>
  <si>
    <t>094218</t>
  </si>
  <si>
    <t>陳冠昀</t>
  </si>
  <si>
    <t>095118</t>
  </si>
  <si>
    <t>陳翊宸</t>
  </si>
  <si>
    <t>095218</t>
  </si>
  <si>
    <t>陳昊晨</t>
  </si>
  <si>
    <t>098118</t>
  </si>
  <si>
    <t>*陳俞彤</t>
  </si>
  <si>
    <t>098218</t>
  </si>
  <si>
    <t>莊恩明</t>
  </si>
  <si>
    <t>097118</t>
  </si>
  <si>
    <t>魏廷翰</t>
  </si>
  <si>
    <t>091119</t>
  </si>
  <si>
    <t>陳昱均</t>
  </si>
  <si>
    <t>091219</t>
  </si>
  <si>
    <t>陳奕翰</t>
  </si>
  <si>
    <t>091319</t>
  </si>
  <si>
    <t>陳韋修</t>
  </si>
  <si>
    <t>091419</t>
  </si>
  <si>
    <t>092119</t>
  </si>
  <si>
    <t>陳靖東</t>
  </si>
  <si>
    <t>092219</t>
  </si>
  <si>
    <t>092319</t>
  </si>
  <si>
    <t>張昕瀚</t>
  </si>
  <si>
    <t>092419</t>
  </si>
  <si>
    <t>秦續昊</t>
  </si>
  <si>
    <t>093119</t>
  </si>
  <si>
    <t>郭宗祐</t>
  </si>
  <si>
    <t>093219</t>
  </si>
  <si>
    <t>陳伯展</t>
  </si>
  <si>
    <t>093319</t>
  </si>
  <si>
    <t>許晨維</t>
  </si>
  <si>
    <t>094119</t>
  </si>
  <si>
    <t>陳武宸</t>
  </si>
  <si>
    <t>094219</t>
  </si>
  <si>
    <t>*陳昱秦</t>
  </si>
  <si>
    <t>095119</t>
  </si>
  <si>
    <t>陳贊森</t>
  </si>
  <si>
    <t>095219</t>
  </si>
  <si>
    <t>陳奎延</t>
  </si>
  <si>
    <t>098119</t>
  </si>
  <si>
    <t>*陳品妤</t>
  </si>
  <si>
    <t>098219</t>
  </si>
  <si>
    <t>莊凱翔</t>
  </si>
  <si>
    <t>097119</t>
  </si>
  <si>
    <t>蘇昱綸</t>
  </si>
  <si>
    <t>091120</t>
  </si>
  <si>
    <t>091220</t>
  </si>
  <si>
    <t>陳浩銘</t>
  </si>
  <si>
    <t>091320</t>
  </si>
  <si>
    <t>曾信凱</t>
  </si>
  <si>
    <t>091420</t>
  </si>
  <si>
    <t>092120</t>
  </si>
  <si>
    <t>陳璿宇</t>
  </si>
  <si>
    <t>092220</t>
  </si>
  <si>
    <t>陳禹睿</t>
  </si>
  <si>
    <t>092320</t>
  </si>
  <si>
    <t>張容齊</t>
  </si>
  <si>
    <t>092420</t>
  </si>
  <si>
    <t>張紹杰</t>
  </si>
  <si>
    <t>093120</t>
  </si>
  <si>
    <t>*郭芷伶</t>
  </si>
  <si>
    <t>093220</t>
  </si>
  <si>
    <t>093320</t>
  </si>
  <si>
    <t>*陳易玎</t>
  </si>
  <si>
    <t>094120</t>
  </si>
  <si>
    <t>陳炯維</t>
  </si>
  <si>
    <t>094220</t>
  </si>
  <si>
    <t>*陳筠宣</t>
  </si>
  <si>
    <t>095120</t>
  </si>
  <si>
    <t>黃宇維</t>
  </si>
  <si>
    <t>095220</t>
  </si>
  <si>
    <t>陳政曄</t>
  </si>
  <si>
    <t>098120</t>
  </si>
  <si>
    <t>*陳宥婕</t>
  </si>
  <si>
    <t>098220</t>
  </si>
  <si>
    <t>許祐禕</t>
  </si>
  <si>
    <t>091121</t>
  </si>
  <si>
    <t>091221</t>
  </si>
  <si>
    <t>黄照昇</t>
  </si>
  <si>
    <t>091321</t>
  </si>
  <si>
    <t>*曾品蓉</t>
  </si>
  <si>
    <t>091421</t>
  </si>
  <si>
    <t>陳羿睿</t>
  </si>
  <si>
    <t>092121</t>
  </si>
  <si>
    <t>曾俊庭</t>
  </si>
  <si>
    <t>092221</t>
  </si>
  <si>
    <t>曾定煌</t>
  </si>
  <si>
    <t>092321</t>
  </si>
  <si>
    <t>張詠祥</t>
  </si>
  <si>
    <t>092421</t>
  </si>
  <si>
    <t>梁宜峰</t>
  </si>
  <si>
    <t>093121</t>
  </si>
  <si>
    <t>陳垣皓</t>
  </si>
  <si>
    <t>093221</t>
  </si>
  <si>
    <t>陳書帆</t>
  </si>
  <si>
    <t>093321</t>
  </si>
  <si>
    <t>094121</t>
  </si>
  <si>
    <t>彭培緯</t>
  </si>
  <si>
    <t>094221</t>
  </si>
  <si>
    <t>黄泰鈞</t>
  </si>
  <si>
    <t>095121</t>
  </si>
  <si>
    <t>黃旻陞</t>
  </si>
  <si>
    <t>095221</t>
  </si>
  <si>
    <t>陳軒緯</t>
  </si>
  <si>
    <t>098121</t>
  </si>
  <si>
    <t>陳竑宇</t>
  </si>
  <si>
    <t>098221</t>
  </si>
  <si>
    <t>*陳妍彤</t>
  </si>
  <si>
    <t>091122</t>
  </si>
  <si>
    <t>陳泰宏</t>
  </si>
  <si>
    <t>091222</t>
  </si>
  <si>
    <t>傅建晟</t>
  </si>
  <si>
    <t>091322</t>
  </si>
  <si>
    <t>游翊宏</t>
  </si>
  <si>
    <t>091422</t>
  </si>
  <si>
    <t>陳致維</t>
  </si>
  <si>
    <t>092122</t>
  </si>
  <si>
    <t>曾振瑋</t>
  </si>
  <si>
    <t>092222</t>
  </si>
  <si>
    <t>黃子超</t>
  </si>
  <si>
    <t>092322</t>
  </si>
  <si>
    <t>莊東樹</t>
  </si>
  <si>
    <t>092422</t>
  </si>
  <si>
    <t>曾守弘</t>
  </si>
  <si>
    <t>093122</t>
  </si>
  <si>
    <t>陳彥廷</t>
  </si>
  <si>
    <t>093222</t>
  </si>
  <si>
    <t>陳勝昭</t>
  </si>
  <si>
    <t>093322</t>
  </si>
  <si>
    <t>陳益宏</t>
  </si>
  <si>
    <t>094122</t>
  </si>
  <si>
    <t>曾子軒</t>
  </si>
  <si>
    <t>094222</t>
  </si>
  <si>
    <t>黃宥翔</t>
  </si>
  <si>
    <t>095122</t>
  </si>
  <si>
    <t>*黃品寧</t>
  </si>
  <si>
    <t>095222</t>
  </si>
  <si>
    <t>彭聖軒</t>
  </si>
  <si>
    <t>098122</t>
  </si>
  <si>
    <t>*游采諠</t>
  </si>
  <si>
    <t>098222</t>
  </si>
  <si>
    <t>*陳柏璇</t>
  </si>
  <si>
    <t>091123</t>
  </si>
  <si>
    <t>傅世帆</t>
  </si>
  <si>
    <t>091223</t>
  </si>
  <si>
    <t>曾仕鑫</t>
  </si>
  <si>
    <t>091323</t>
  </si>
  <si>
    <t>091423</t>
  </si>
  <si>
    <t>*陳韋羚</t>
  </si>
  <si>
    <t>092123</t>
  </si>
  <si>
    <t>黃永雲</t>
  </si>
  <si>
    <t>092223</t>
  </si>
  <si>
    <t>黃則雋</t>
  </si>
  <si>
    <t>092323</t>
  </si>
  <si>
    <t>陳信原</t>
  </si>
  <si>
    <t>092423</t>
  </si>
  <si>
    <t>童立得</t>
  </si>
  <si>
    <t>093123</t>
  </si>
  <si>
    <t>陳柏樺</t>
  </si>
  <si>
    <t>093223</t>
  </si>
  <si>
    <t>陳暐丞</t>
  </si>
  <si>
    <t>093323</t>
  </si>
  <si>
    <t>陳駿逸</t>
  </si>
  <si>
    <t>094123</t>
  </si>
  <si>
    <t>094223</t>
  </si>
  <si>
    <t>黃晨祐</t>
  </si>
  <si>
    <t>095123</t>
  </si>
  <si>
    <t>黃洺仲</t>
  </si>
  <si>
    <t>095223</t>
  </si>
  <si>
    <t>黃彥祥</t>
  </si>
  <si>
    <t>098123</t>
  </si>
  <si>
    <t>*黃郁庭</t>
  </si>
  <si>
    <t>098223</t>
  </si>
  <si>
    <t>*彭苙淇</t>
  </si>
  <si>
    <t>091124</t>
  </si>
  <si>
    <t>黃柏凱</t>
  </si>
  <si>
    <t>091224</t>
  </si>
  <si>
    <t>游耀程</t>
  </si>
  <si>
    <t>091324</t>
  </si>
  <si>
    <t>黃暐宸</t>
  </si>
  <si>
    <t>091424</t>
  </si>
  <si>
    <t>曾冠喆</t>
  </si>
  <si>
    <t>092124</t>
  </si>
  <si>
    <t>黃宇祥</t>
  </si>
  <si>
    <t>092224</t>
  </si>
  <si>
    <t>黃昱嘉</t>
  </si>
  <si>
    <t>092324</t>
  </si>
  <si>
    <t>温啟翔</t>
  </si>
  <si>
    <t>092424</t>
  </si>
  <si>
    <t>楊丁諺</t>
  </si>
  <si>
    <t>093124</t>
  </si>
  <si>
    <t>陳啟恩</t>
  </si>
  <si>
    <t>093224</t>
  </si>
  <si>
    <t>陳煜昇</t>
  </si>
  <si>
    <t>093324</t>
  </si>
  <si>
    <t>陶榮蓁</t>
  </si>
  <si>
    <t>094124</t>
  </si>
  <si>
    <t>楊可晨</t>
  </si>
  <si>
    <t>094224</t>
  </si>
  <si>
    <t>黃凱群</t>
  </si>
  <si>
    <t>095124</t>
  </si>
  <si>
    <t>黃詠傑</t>
  </si>
  <si>
    <t>095224</t>
  </si>
  <si>
    <t>黃維宏</t>
  </si>
  <si>
    <t>098124</t>
  </si>
  <si>
    <t>*葉亞諭</t>
  </si>
  <si>
    <t>098224</t>
  </si>
  <si>
    <t>*黃佳婷</t>
  </si>
  <si>
    <t>091125</t>
  </si>
  <si>
    <t>廖紹凱</t>
  </si>
  <si>
    <t>091225</t>
  </si>
  <si>
    <t>黃奕傑</t>
  </si>
  <si>
    <t>091325</t>
  </si>
  <si>
    <t>鄒詮熠</t>
  </si>
  <si>
    <t>091425</t>
  </si>
  <si>
    <t>曾紹恩</t>
  </si>
  <si>
    <t>092125</t>
  </si>
  <si>
    <t>黃志誠</t>
  </si>
  <si>
    <t>092225</t>
  </si>
  <si>
    <t>黃楷恩</t>
  </si>
  <si>
    <t>092325</t>
  </si>
  <si>
    <t>黃紃崋</t>
  </si>
  <si>
    <t>092425</t>
  </si>
  <si>
    <t>楊俊羿</t>
  </si>
  <si>
    <t>093125</t>
  </si>
  <si>
    <t>陳龍月</t>
  </si>
  <si>
    <t>093225</t>
  </si>
  <si>
    <t>陳潤新</t>
  </si>
  <si>
    <t>093325</t>
  </si>
  <si>
    <t>湯御賢</t>
  </si>
  <si>
    <t>094125</t>
  </si>
  <si>
    <t>楊立承</t>
  </si>
  <si>
    <t>094225</t>
  </si>
  <si>
    <t>楊杰恩</t>
  </si>
  <si>
    <t>095125</t>
  </si>
  <si>
    <t>廖丙富</t>
  </si>
  <si>
    <t>095225</t>
  </si>
  <si>
    <t>楊賀丞</t>
  </si>
  <si>
    <t>098125</t>
  </si>
  <si>
    <t>*葉晴</t>
  </si>
  <si>
    <t>098225</t>
  </si>
  <si>
    <t>*黃敏瑄</t>
  </si>
  <si>
    <t>091126</t>
  </si>
  <si>
    <t>*廖筠珊</t>
  </si>
  <si>
    <t>091226</t>
  </si>
  <si>
    <t>*黃郁芬</t>
  </si>
  <si>
    <t>091326</t>
  </si>
  <si>
    <t>廖傳聖</t>
  </si>
  <si>
    <t>091426</t>
  </si>
  <si>
    <t>*馮若瑄</t>
  </si>
  <si>
    <t>092126</t>
  </si>
  <si>
    <t>黃彥湐</t>
  </si>
  <si>
    <t>092226</t>
  </si>
  <si>
    <t>楊博崴</t>
  </si>
  <si>
    <t>092326</t>
  </si>
  <si>
    <t>黃偉哲</t>
  </si>
  <si>
    <t>092426</t>
  </si>
  <si>
    <t>楊凱丞</t>
  </si>
  <si>
    <t>093126</t>
  </si>
  <si>
    <t>傅積韞</t>
  </si>
  <si>
    <t>093226</t>
  </si>
  <si>
    <t>游立齊</t>
  </si>
  <si>
    <t>093326</t>
  </si>
  <si>
    <t>閔子豪</t>
  </si>
  <si>
    <t>094126</t>
  </si>
  <si>
    <t>楊易霖</t>
  </si>
  <si>
    <t>094226</t>
  </si>
  <si>
    <t>楊秉宸</t>
  </si>
  <si>
    <t>095126</t>
  </si>
  <si>
    <t>廖佑恩</t>
  </si>
  <si>
    <t>095226</t>
  </si>
  <si>
    <t>詹奇維</t>
  </si>
  <si>
    <t>098126</t>
  </si>
  <si>
    <t>*劉思妤</t>
  </si>
  <si>
    <t>098226</t>
  </si>
  <si>
    <t>091127</t>
  </si>
  <si>
    <t>劉厚義</t>
  </si>
  <si>
    <t>091227</t>
  </si>
  <si>
    <t>葉家宏</t>
  </si>
  <si>
    <t>091327</t>
  </si>
  <si>
    <t>劉鴻緯</t>
  </si>
  <si>
    <t>091427</t>
  </si>
  <si>
    <t>*葉晏寧</t>
  </si>
  <si>
    <t>092127</t>
  </si>
  <si>
    <t>黃韋皓</t>
  </si>
  <si>
    <t>092227</t>
  </si>
  <si>
    <t>楊睿閎</t>
  </si>
  <si>
    <t>092327</t>
  </si>
  <si>
    <t>黃業諳</t>
  </si>
  <si>
    <t>092427</t>
  </si>
  <si>
    <t>劉其桁</t>
  </si>
  <si>
    <t>093127</t>
  </si>
  <si>
    <t>黃子晏</t>
  </si>
  <si>
    <t>093227</t>
  </si>
  <si>
    <t>黃上銘</t>
  </si>
  <si>
    <t>093327</t>
  </si>
  <si>
    <t>黃詳閔</t>
  </si>
  <si>
    <t>094127</t>
  </si>
  <si>
    <t>趙邑軒</t>
  </si>
  <si>
    <t>094227</t>
  </si>
  <si>
    <t>潘思佑</t>
  </si>
  <si>
    <t>095127</t>
  </si>
  <si>
    <t>劉育劭</t>
  </si>
  <si>
    <t>095227</t>
  </si>
  <si>
    <t>廖秉睿</t>
  </si>
  <si>
    <t>098127</t>
  </si>
  <si>
    <t>*蔡雨蒨</t>
  </si>
  <si>
    <t>098227</t>
  </si>
  <si>
    <t>黃瑞祥</t>
  </si>
  <si>
    <t>091128</t>
  </si>
  <si>
    <t>劉軒宇</t>
  </si>
  <si>
    <t>091228</t>
  </si>
  <si>
    <t>潘冠宏</t>
  </si>
  <si>
    <t>091328</t>
  </si>
  <si>
    <t>歐永寰</t>
  </si>
  <si>
    <t>091428</t>
  </si>
  <si>
    <t>趙哲賢</t>
  </si>
  <si>
    <t>092128</t>
  </si>
  <si>
    <t>黃翊凱</t>
  </si>
  <si>
    <t>092228</t>
  </si>
  <si>
    <t>廖信富</t>
  </si>
  <si>
    <t>092328</t>
  </si>
  <si>
    <t>楊晴睿</t>
  </si>
  <si>
    <t>092428</t>
  </si>
  <si>
    <t>劉睿上</t>
  </si>
  <si>
    <t>093128</t>
  </si>
  <si>
    <t>黃譯緯</t>
  </si>
  <si>
    <t>093228</t>
  </si>
  <si>
    <t>黃靖軒</t>
  </si>
  <si>
    <t>093328</t>
  </si>
  <si>
    <t>黃霆宇</t>
  </si>
  <si>
    <t>094128</t>
  </si>
  <si>
    <t>劉沛勳</t>
  </si>
  <si>
    <t>094228</t>
  </si>
  <si>
    <t>蔡毅</t>
  </si>
  <si>
    <t>095128</t>
  </si>
  <si>
    <t>劉信緯</t>
  </si>
  <si>
    <t>095228</t>
  </si>
  <si>
    <t>劉宥慶</t>
  </si>
  <si>
    <t>098128</t>
  </si>
  <si>
    <t>*蔡譯徵</t>
  </si>
  <si>
    <t>098228</t>
  </si>
  <si>
    <t>*黃稚蓁</t>
  </si>
  <si>
    <t>091129</t>
  </si>
  <si>
    <t>蔡慶宇</t>
  </si>
  <si>
    <t>091229</t>
  </si>
  <si>
    <t>蔡承廷</t>
  </si>
  <si>
    <t>091329</t>
  </si>
  <si>
    <t>蔡鈞旭</t>
  </si>
  <si>
    <t>091429</t>
  </si>
  <si>
    <t>歐維樺</t>
  </si>
  <si>
    <t>092129</t>
  </si>
  <si>
    <t>092229</t>
  </si>
  <si>
    <t>劉辰佑</t>
  </si>
  <si>
    <t>092329</t>
  </si>
  <si>
    <t>葉庭宏</t>
  </si>
  <si>
    <t>092429</t>
  </si>
  <si>
    <t>潘信志</t>
  </si>
  <si>
    <t>093129</t>
  </si>
  <si>
    <t>楊博惟</t>
  </si>
  <si>
    <t>093229</t>
  </si>
  <si>
    <t>楊森皓</t>
  </si>
  <si>
    <t>093329</t>
  </si>
  <si>
    <t>楊家碩</t>
  </si>
  <si>
    <t>094129</t>
  </si>
  <si>
    <t>賴冠成</t>
  </si>
  <si>
    <t>094229</t>
  </si>
  <si>
    <t>蔣昌哲</t>
  </si>
  <si>
    <t>095129</t>
  </si>
  <si>
    <t>慕全翔</t>
  </si>
  <si>
    <t>095229</t>
  </si>
  <si>
    <t>劉晉愷</t>
  </si>
  <si>
    <t>098129</t>
  </si>
  <si>
    <t>鄭楓吾</t>
  </si>
  <si>
    <t>098229</t>
  </si>
  <si>
    <t>091130</t>
  </si>
  <si>
    <t>盧昱宏</t>
  </si>
  <si>
    <t>091230</t>
  </si>
  <si>
    <t>*賴羿均</t>
  </si>
  <si>
    <t>091330</t>
  </si>
  <si>
    <t>鄭鈞陽</t>
  </si>
  <si>
    <t>091430</t>
  </si>
  <si>
    <t>蔡元豪</t>
  </si>
  <si>
    <t>092130</t>
  </si>
  <si>
    <t>葉軒棠</t>
  </si>
  <si>
    <t>092230</t>
  </si>
  <si>
    <t>樊培璋</t>
  </si>
  <si>
    <t>092330</t>
  </si>
  <si>
    <t>廖翊翔</t>
  </si>
  <si>
    <t>092430</t>
  </si>
  <si>
    <t>蔡承瑋</t>
  </si>
  <si>
    <t>093130</t>
  </si>
  <si>
    <t>綦振中</t>
  </si>
  <si>
    <t>093230</t>
  </si>
  <si>
    <t>詹鈞瑋</t>
  </si>
  <si>
    <t>093330</t>
  </si>
  <si>
    <t>廖泓博</t>
  </si>
  <si>
    <t>094130</t>
  </si>
  <si>
    <t>謝啓楊</t>
  </si>
  <si>
    <t>094230</t>
  </si>
  <si>
    <t>鄭超榮</t>
  </si>
  <si>
    <t>095130</t>
  </si>
  <si>
    <t>練建輝</t>
  </si>
  <si>
    <t>095230</t>
  </si>
  <si>
    <t>蔡宇盛</t>
  </si>
  <si>
    <t>098130</t>
  </si>
  <si>
    <t>*謝昕佑</t>
  </si>
  <si>
    <t>098230</t>
  </si>
  <si>
    <t>楊景任</t>
  </si>
  <si>
    <t>091131</t>
  </si>
  <si>
    <t>盧繹翔</t>
  </si>
  <si>
    <t>091231</t>
  </si>
  <si>
    <t>戴宇樟</t>
  </si>
  <si>
    <t>091331</t>
  </si>
  <si>
    <t>*蕭映竹</t>
  </si>
  <si>
    <t>091431</t>
  </si>
  <si>
    <t>蔡竣名</t>
  </si>
  <si>
    <t>092131</t>
  </si>
  <si>
    <t>廖茂清</t>
  </si>
  <si>
    <t>092231</t>
  </si>
  <si>
    <t>潘豐</t>
  </si>
  <si>
    <t>092331</t>
  </si>
  <si>
    <t>劉名文</t>
  </si>
  <si>
    <t>092431</t>
  </si>
  <si>
    <t>盧宇翔</t>
  </si>
  <si>
    <t>093131</t>
  </si>
  <si>
    <t>劉仲恩</t>
  </si>
  <si>
    <t>093231</t>
  </si>
  <si>
    <t>趙宇傑</t>
  </si>
  <si>
    <t>093331</t>
  </si>
  <si>
    <t>廖昱勝</t>
  </si>
  <si>
    <t>094131</t>
  </si>
  <si>
    <t>鍾濠丞</t>
  </si>
  <si>
    <t>094231</t>
  </si>
  <si>
    <t>*蕭昱糖</t>
  </si>
  <si>
    <t>095131</t>
  </si>
  <si>
    <t>蔡沛辰</t>
  </si>
  <si>
    <t>095231</t>
  </si>
  <si>
    <t>蔡閔翔</t>
  </si>
  <si>
    <t>098131</t>
  </si>
  <si>
    <t>*謝陳緣</t>
  </si>
  <si>
    <t>098231</t>
  </si>
  <si>
    <t>葉柏廷</t>
  </si>
  <si>
    <t>091132</t>
  </si>
  <si>
    <t>謝秉儒</t>
  </si>
  <si>
    <t>091232</t>
  </si>
  <si>
    <t>*謝又云</t>
  </si>
  <si>
    <t>091332</t>
  </si>
  <si>
    <t>蕭偉辰</t>
  </si>
  <si>
    <t>091432</t>
  </si>
  <si>
    <t>鄭明易</t>
  </si>
  <si>
    <t>092132</t>
  </si>
  <si>
    <t>劉泉</t>
  </si>
  <si>
    <t>092232</t>
  </si>
  <si>
    <t>鄧景鴻</t>
  </si>
  <si>
    <t>092332</t>
  </si>
  <si>
    <t>092432</t>
  </si>
  <si>
    <t>簡子翔</t>
  </si>
  <si>
    <t>093132</t>
  </si>
  <si>
    <t>蔡智凱</t>
  </si>
  <si>
    <t>093232</t>
  </si>
  <si>
    <t>劉宣圻</t>
  </si>
  <si>
    <t>093332</t>
  </si>
  <si>
    <t>劉叡霖</t>
  </si>
  <si>
    <t>094132</t>
  </si>
  <si>
    <t>*蘇恩柔</t>
  </si>
  <si>
    <t>094232</t>
  </si>
  <si>
    <t>*闕妤容</t>
  </si>
  <si>
    <t>095132</t>
  </si>
  <si>
    <t>蔡宗霖</t>
  </si>
  <si>
    <t>095232</t>
  </si>
  <si>
    <t>蔡瑋丞</t>
  </si>
  <si>
    <t>098132</t>
  </si>
  <si>
    <t>098232</t>
  </si>
  <si>
    <t>*鄒惟昕</t>
  </si>
  <si>
    <t>091133</t>
  </si>
  <si>
    <t>簡鴻森</t>
  </si>
  <si>
    <t>091233</t>
  </si>
  <si>
    <t>謝承樺</t>
  </si>
  <si>
    <t>091333</t>
  </si>
  <si>
    <t>蕭晴文</t>
  </si>
  <si>
    <t>091433</t>
  </si>
  <si>
    <t>簡均諺</t>
  </si>
  <si>
    <t>092133</t>
  </si>
  <si>
    <t>蕭又綸</t>
  </si>
  <si>
    <t>092233</t>
  </si>
  <si>
    <t>賴禾昱</t>
  </si>
  <si>
    <t>092333</t>
  </si>
  <si>
    <t>鄧帛彤</t>
  </si>
  <si>
    <t>092433</t>
  </si>
  <si>
    <t>簡元浩</t>
  </si>
  <si>
    <t>093133</t>
  </si>
  <si>
    <t>駱詰</t>
  </si>
  <si>
    <t>093233</t>
  </si>
  <si>
    <t>蔡泓霖</t>
  </si>
  <si>
    <t>093333</t>
  </si>
  <si>
    <t>蔡智丞</t>
  </si>
  <si>
    <t>蔡譽綸</t>
  </si>
  <si>
    <t>095233</t>
  </si>
  <si>
    <t>蕭宇哲</t>
  </si>
  <si>
    <t>098133</t>
  </si>
  <si>
    <t>*顧采妮</t>
  </si>
  <si>
    <t>098233</t>
  </si>
  <si>
    <t>*鍾佩珊</t>
  </si>
  <si>
    <t>091134</t>
  </si>
  <si>
    <t>羅元良</t>
  </si>
  <si>
    <t>091234</t>
  </si>
  <si>
    <t>謝欣翰</t>
  </si>
  <si>
    <t>091334</t>
  </si>
  <si>
    <t>*謝月昕</t>
  </si>
  <si>
    <t>091434</t>
  </si>
  <si>
    <t>蘇聖閔</t>
  </si>
  <si>
    <t>092134</t>
  </si>
  <si>
    <t>賴冠崴</t>
  </si>
  <si>
    <t>092234</t>
  </si>
  <si>
    <t>賴志翔</t>
  </si>
  <si>
    <t>092334</t>
  </si>
  <si>
    <t>鍾承恩</t>
  </si>
  <si>
    <t>092434</t>
  </si>
  <si>
    <t>羅文</t>
  </si>
  <si>
    <t>093134</t>
  </si>
  <si>
    <t>鍾坤光</t>
  </si>
  <si>
    <t>093234</t>
  </si>
  <si>
    <t>鄭兆甫</t>
  </si>
  <si>
    <t>093334</t>
  </si>
  <si>
    <t>鄭宇哲</t>
  </si>
  <si>
    <t>095134</t>
  </si>
  <si>
    <t>鄧永廷</t>
  </si>
  <si>
    <t>095234</t>
  </si>
  <si>
    <t>謝承翰</t>
  </si>
  <si>
    <t>092135</t>
  </si>
  <si>
    <t>賴冠硯</t>
  </si>
  <si>
    <t>092235</t>
  </si>
  <si>
    <t>賴長賢</t>
  </si>
  <si>
    <t>092335</t>
  </si>
  <si>
    <t>闕子宸</t>
  </si>
  <si>
    <t>092435</t>
  </si>
  <si>
    <t>羅鴻宇</t>
  </si>
  <si>
    <t>093135</t>
  </si>
  <si>
    <t>顏郁昇</t>
  </si>
  <si>
    <t>093235</t>
  </si>
  <si>
    <t>簡捷</t>
  </si>
  <si>
    <t>093335</t>
  </si>
  <si>
    <t>藍浩庭</t>
  </si>
  <si>
    <t>095135</t>
  </si>
  <si>
    <t>盧冠智</t>
  </si>
  <si>
    <t>095235</t>
  </si>
  <si>
    <t>羅元柏</t>
  </si>
  <si>
    <t>092136</t>
  </si>
  <si>
    <t>賴威定</t>
  </si>
  <si>
    <t>092236</t>
  </si>
  <si>
    <t>謝羿寬</t>
  </si>
  <si>
    <t>092336</t>
  </si>
  <si>
    <t>顧恩帆</t>
  </si>
  <si>
    <t>092436</t>
  </si>
  <si>
    <t>蘇宏達</t>
  </si>
  <si>
    <t>093136</t>
  </si>
  <si>
    <t>羅立翔</t>
  </si>
  <si>
    <t>093236</t>
  </si>
  <si>
    <t>*魏愛妮</t>
  </si>
  <si>
    <t>093336</t>
  </si>
  <si>
    <t>*顏詠婕</t>
  </si>
  <si>
    <t>092137</t>
  </si>
  <si>
    <t>戴梓庭</t>
  </si>
  <si>
    <t>092237</t>
  </si>
  <si>
    <t>鍾予珵</t>
  </si>
  <si>
    <t>093137</t>
  </si>
  <si>
    <t>譚恩丞</t>
  </si>
  <si>
    <t>093237</t>
  </si>
  <si>
    <t>羅睿宏</t>
  </si>
  <si>
    <t>093337</t>
  </si>
  <si>
    <t>蘇冠丞</t>
  </si>
  <si>
    <t>*黃紫薇</t>
  </si>
  <si>
    <t>轉出(城市科大五專行銷管理)</t>
    <phoneticPr fontId="2" type="noConversion"/>
  </si>
  <si>
    <t>轉出(龍華科大五專電子科)</t>
    <phoneticPr fontId="2" type="noConversion"/>
  </si>
  <si>
    <t>轉出(開平餐飲)</t>
    <phoneticPr fontId="2" type="noConversion"/>
  </si>
  <si>
    <t>轉出(私立大同高中)</t>
    <phoneticPr fontId="2" type="noConversion"/>
  </si>
  <si>
    <t>電機三仁</t>
    <phoneticPr fontId="2" type="noConversion"/>
  </si>
  <si>
    <t>休學</t>
    <phoneticPr fontId="2" type="noConversion"/>
  </si>
  <si>
    <t>1091移除</t>
    <phoneticPr fontId="2" type="noConversion"/>
  </si>
  <si>
    <t>資訊二孝</t>
    <phoneticPr fontId="2" type="noConversion"/>
  </si>
  <si>
    <t>電子一孝</t>
    <phoneticPr fontId="2" type="noConversion"/>
  </si>
  <si>
    <t>控制一忠</t>
    <phoneticPr fontId="2" type="noConversion"/>
  </si>
  <si>
    <t>轉出(馬偕觀光)</t>
    <phoneticPr fontId="2" type="noConversion"/>
  </si>
  <si>
    <t>1091移除</t>
  </si>
  <si>
    <t>轉出(滬江高中)</t>
  </si>
  <si>
    <t>一</t>
  </si>
  <si>
    <t>091135</t>
  </si>
  <si>
    <t>轉出(城市科大五專資工)</t>
  </si>
  <si>
    <t>083226</t>
    <phoneticPr fontId="2" type="noConversion"/>
  </si>
  <si>
    <t>楊光翔</t>
    <phoneticPr fontId="2" type="noConversion"/>
  </si>
  <si>
    <t>男</t>
    <phoneticPr fontId="2" type="noConversion"/>
  </si>
  <si>
    <t>轉出</t>
    <phoneticPr fontId="2" type="noConversion"/>
  </si>
  <si>
    <t>原休學1081</t>
    <phoneticPr fontId="2" type="noConversion"/>
  </si>
  <si>
    <t>轉出(國際學校)</t>
    <phoneticPr fontId="2" type="noConversion"/>
  </si>
  <si>
    <t>控制二孝</t>
    <phoneticPr fontId="2" type="noConversion"/>
  </si>
  <si>
    <t>1092移除</t>
    <phoneticPr fontId="2" type="noConversion"/>
  </si>
  <si>
    <t>轉出(台北商專會計)</t>
    <phoneticPr fontId="2" type="noConversion"/>
  </si>
  <si>
    <t>公告版v2-1891</t>
    <phoneticPr fontId="2" type="noConversion"/>
  </si>
  <si>
    <t>1092移除</t>
    <phoneticPr fontId="2" type="noConversion"/>
  </si>
  <si>
    <t>072312</t>
    <phoneticPr fontId="2" type="noConversion"/>
  </si>
  <si>
    <t>林為暉</t>
    <phoneticPr fontId="2" type="noConversion"/>
  </si>
  <si>
    <t>原休學1082</t>
    <phoneticPr fontId="2" type="noConversion"/>
  </si>
  <si>
    <t>轉出(尚未確定)</t>
    <phoneticPr fontId="2" type="noConversion"/>
  </si>
  <si>
    <t>休學</t>
    <phoneticPr fontId="2" type="noConversion"/>
  </si>
  <si>
    <t>1092移除</t>
    <phoneticPr fontId="2" type="noConversion"/>
  </si>
  <si>
    <t>休學(出國-紐西蘭)</t>
    <phoneticPr fontId="2" type="noConversion"/>
  </si>
  <si>
    <t>資訊二仁</t>
    <phoneticPr fontId="2" type="noConversion"/>
  </si>
  <si>
    <t>電子一孝</t>
    <phoneticPr fontId="2" type="noConversion"/>
  </si>
  <si>
    <t>控制三孝</t>
    <phoneticPr fontId="2" type="noConversion"/>
  </si>
  <si>
    <t>轉出</t>
    <phoneticPr fontId="2" type="noConversion"/>
  </si>
  <si>
    <t>轉出(康寧五專-應外)</t>
    <phoneticPr fontId="2" type="noConversion"/>
  </si>
  <si>
    <t>資訊二孝</t>
    <phoneticPr fontId="2" type="noConversion"/>
  </si>
  <si>
    <t>應英一忠</t>
    <phoneticPr fontId="2" type="noConversion"/>
  </si>
  <si>
    <t>資訊一孝</t>
    <phoneticPr fontId="2" type="noConversion"/>
  </si>
  <si>
    <t>轉出</t>
    <phoneticPr fontId="2" type="noConversion"/>
  </si>
  <si>
    <t>轉出(育達普通科)</t>
    <phoneticPr fontId="2" type="noConversion"/>
  </si>
  <si>
    <t>自棄學籍</t>
  </si>
  <si>
    <t>1092移除</t>
  </si>
  <si>
    <t>黃翊銓</t>
  </si>
  <si>
    <t>資訊一孝</t>
    <phoneticPr fontId="2" type="noConversion"/>
  </si>
  <si>
    <t>083233</t>
  </si>
  <si>
    <t>原休學1081</t>
  </si>
  <si>
    <t>轉出(稻江餐飲)</t>
    <phoneticPr fontId="2" type="noConversion"/>
  </si>
  <si>
    <t>電子一孝</t>
    <phoneticPr fontId="2" type="noConversion"/>
  </si>
  <si>
    <t>轉出(惇敘汽車)</t>
    <phoneticPr fontId="2" type="noConversion"/>
  </si>
  <si>
    <t>電子一忠</t>
    <phoneticPr fontId="2" type="noConversion"/>
  </si>
  <si>
    <t>休學(重考)</t>
    <phoneticPr fontId="2" type="noConversion"/>
  </si>
  <si>
    <t>1092移除</t>
    <phoneticPr fontId="2" type="noConversion"/>
  </si>
  <si>
    <t>控制二孝</t>
    <phoneticPr fontId="2" type="noConversion"/>
  </si>
  <si>
    <t>074201</t>
    <phoneticPr fontId="2" type="noConversion"/>
  </si>
  <si>
    <t>王柏翔</t>
    <phoneticPr fontId="2" type="noConversion"/>
  </si>
  <si>
    <t>男</t>
    <phoneticPr fontId="2" type="noConversion"/>
  </si>
  <si>
    <t>轉出</t>
    <phoneticPr fontId="2" type="noConversion"/>
  </si>
  <si>
    <t>原休學1081</t>
    <phoneticPr fontId="2" type="noConversion"/>
  </si>
  <si>
    <t>轉出(稻江觀光)</t>
    <phoneticPr fontId="2" type="noConversion"/>
  </si>
  <si>
    <t>休學二</t>
    <phoneticPr fontId="2" type="noConversion"/>
  </si>
  <si>
    <t>休學(健康狀況)</t>
    <phoneticPr fontId="2" type="noConversion"/>
  </si>
  <si>
    <t>轉出(私立大同普通科)</t>
    <phoneticPr fontId="2" type="noConversion"/>
  </si>
  <si>
    <t>電機一仁</t>
    <phoneticPr fontId="2" type="noConversion"/>
  </si>
  <si>
    <t>key</t>
    <phoneticPr fontId="2" type="noConversion"/>
  </si>
  <si>
    <t>082321</t>
    <phoneticPr fontId="2" type="noConversion"/>
  </si>
  <si>
    <t>男</t>
    <phoneticPr fontId="2" type="noConversion"/>
  </si>
  <si>
    <t>原休學1082</t>
    <phoneticPr fontId="2" type="noConversion"/>
  </si>
  <si>
    <t>轉出(莊敬表演藝術)</t>
    <phoneticPr fontId="2" type="noConversion"/>
  </si>
  <si>
    <t>轉出(健康)</t>
    <phoneticPr fontId="2" type="noConversion"/>
  </si>
  <si>
    <t>082105</t>
    <phoneticPr fontId="2" type="noConversion"/>
  </si>
  <si>
    <t>082105</t>
    <phoneticPr fontId="2" type="noConversion"/>
  </si>
  <si>
    <t>電機一忠</t>
    <phoneticPr fontId="2" type="noConversion"/>
  </si>
  <si>
    <t>男</t>
    <phoneticPr fontId="2" type="noConversion"/>
  </si>
  <si>
    <t>原休學1082</t>
    <phoneticPr fontId="2" type="noConversion"/>
  </si>
  <si>
    <t>轉出(新店高中)</t>
    <phoneticPr fontId="2" type="noConversion"/>
  </si>
  <si>
    <t>ok</t>
    <phoneticPr fontId="2" type="noConversion"/>
  </si>
  <si>
    <t>電子一愛</t>
    <phoneticPr fontId="2" type="noConversion"/>
  </si>
  <si>
    <t>休學</t>
    <phoneticPr fontId="2" type="noConversion"/>
  </si>
  <si>
    <t>1092移除</t>
    <phoneticPr fontId="2" type="noConversion"/>
  </si>
  <si>
    <t>ok</t>
    <phoneticPr fontId="2" type="noConversion"/>
  </si>
  <si>
    <t>資訊三仁</t>
    <phoneticPr fontId="2" type="noConversion"/>
  </si>
  <si>
    <t>電機一愛</t>
    <phoneticPr fontId="2" type="noConversion"/>
  </si>
  <si>
    <t>資訊二仁</t>
    <phoneticPr fontId="2" type="noConversion"/>
  </si>
  <si>
    <t>電機二仁</t>
    <phoneticPr fontId="2" type="noConversion"/>
  </si>
  <si>
    <t>電機二愛</t>
    <phoneticPr fontId="2" type="noConversion"/>
  </si>
  <si>
    <t>資訊三孝</t>
    <phoneticPr fontId="2" type="noConversion"/>
  </si>
  <si>
    <t>休學(經濟因素)</t>
    <phoneticPr fontId="2" type="noConversion"/>
  </si>
  <si>
    <t>控制三孝</t>
    <phoneticPr fontId="2" type="noConversion"/>
  </si>
  <si>
    <t>休學(缺曠7日)</t>
    <phoneticPr fontId="2" type="noConversion"/>
  </si>
  <si>
    <t>門服一忠</t>
    <phoneticPr fontId="2" type="noConversion"/>
  </si>
  <si>
    <t>門服二忠</t>
    <phoneticPr fontId="2" type="noConversion"/>
  </si>
  <si>
    <t>電子二忠</t>
    <phoneticPr fontId="2" type="noConversion"/>
  </si>
  <si>
    <t>資訊三忠</t>
    <phoneticPr fontId="2" type="noConversion"/>
  </si>
  <si>
    <t>應外一孝</t>
    <phoneticPr fontId="2" type="noConversion"/>
  </si>
  <si>
    <t>電機一仁</t>
    <phoneticPr fontId="2" type="noConversion"/>
  </si>
  <si>
    <t>休學(健康因素)</t>
    <phoneticPr fontId="2" type="noConversion"/>
  </si>
  <si>
    <t>098234</t>
  </si>
  <si>
    <t>電子二愛</t>
    <phoneticPr fontId="2" type="noConversion"/>
  </si>
  <si>
    <t>1092移除</t>
    <phoneticPr fontId="2" type="noConversion"/>
  </si>
  <si>
    <t>轉出(誠正中學)</t>
    <phoneticPr fontId="2" type="noConversion"/>
  </si>
  <si>
    <t>冷凍二孝</t>
    <phoneticPr fontId="2" type="noConversion"/>
  </si>
  <si>
    <t>065228</t>
    <phoneticPr fontId="2" type="noConversion"/>
  </si>
  <si>
    <t>陳翔恩</t>
    <phoneticPr fontId="2" type="noConversion"/>
  </si>
  <si>
    <t>轉出</t>
    <phoneticPr fontId="2" type="noConversion"/>
  </si>
  <si>
    <t>原休學</t>
    <phoneticPr fontId="2" type="noConversion"/>
  </si>
  <si>
    <t>ok</t>
    <phoneticPr fontId="2" type="noConversion"/>
  </si>
  <si>
    <t>轉出(志仁多媒體)</t>
    <phoneticPr fontId="2" type="noConversion"/>
  </si>
  <si>
    <t>冷凍一孝</t>
    <phoneticPr fontId="2" type="noConversion"/>
  </si>
  <si>
    <t>1092移除</t>
    <phoneticPr fontId="2" type="noConversion"/>
  </si>
  <si>
    <t>ok</t>
    <phoneticPr fontId="2" type="noConversion"/>
  </si>
  <si>
    <t>休學</t>
    <phoneticPr fontId="2" type="noConversion"/>
  </si>
  <si>
    <t>1092移除</t>
    <phoneticPr fontId="2" type="noConversion"/>
  </si>
  <si>
    <t>休學(家庭因素)</t>
    <phoneticPr fontId="2" type="noConversion"/>
  </si>
  <si>
    <t>冷凍二孝</t>
    <phoneticPr fontId="2" type="noConversion"/>
  </si>
  <si>
    <t>休學</t>
    <phoneticPr fontId="2" type="noConversion"/>
  </si>
  <si>
    <t>冷凍二孝</t>
    <phoneticPr fontId="2" type="noConversion"/>
  </si>
  <si>
    <t>085224</t>
    <phoneticPr fontId="2" type="noConversion"/>
  </si>
  <si>
    <t>陳柏佑</t>
    <phoneticPr fontId="2" type="noConversion"/>
  </si>
  <si>
    <t>男</t>
    <phoneticPr fontId="2" type="noConversion"/>
  </si>
  <si>
    <t>電子二孝</t>
    <phoneticPr fontId="2" type="noConversion"/>
  </si>
  <si>
    <t>休學(擬二上重讀)</t>
    <phoneticPr fontId="2" type="noConversion"/>
  </si>
  <si>
    <t>控制一孝</t>
    <phoneticPr fontId="2" type="noConversion"/>
  </si>
  <si>
    <t>轉出(復興美工)</t>
    <phoneticPr fontId="2" type="noConversion"/>
  </si>
  <si>
    <t>電機一愛</t>
    <phoneticPr fontId="2" type="noConversion"/>
  </si>
  <si>
    <t>轉出(志仁餐飲)</t>
    <phoneticPr fontId="2" type="noConversion"/>
  </si>
  <si>
    <t>冷凍一忠</t>
    <phoneticPr fontId="2" type="noConversion"/>
  </si>
  <si>
    <t>應外二孝</t>
    <phoneticPr fontId="2" type="noConversion"/>
  </si>
  <si>
    <t>應英二忠</t>
    <phoneticPr fontId="2" type="noConversion"/>
  </si>
  <si>
    <t>轉出(北商大應外)</t>
    <phoneticPr fontId="2" type="noConversion"/>
  </si>
  <si>
    <t>冷凍二孝</t>
    <phoneticPr fontId="2" type="noConversion"/>
  </si>
  <si>
    <t>轉出(能仁美髮)</t>
    <phoneticPr fontId="2" type="noConversion"/>
  </si>
  <si>
    <t>轉出(喬治高照)</t>
    <phoneticPr fontId="2" type="noConversion"/>
  </si>
  <si>
    <t>轉出(惇敘汽修)</t>
    <phoneticPr fontId="2" type="noConversion"/>
  </si>
  <si>
    <t>資訊一仁</t>
    <phoneticPr fontId="2" type="noConversion"/>
  </si>
  <si>
    <t>轉出(基隆高中)</t>
    <phoneticPr fontId="2" type="noConversion"/>
  </si>
  <si>
    <t>體育一忠</t>
    <phoneticPr fontId="2" type="noConversion"/>
  </si>
  <si>
    <t>轉出(大榮中學)</t>
    <phoneticPr fontId="2" type="noConversion"/>
  </si>
  <si>
    <t>莊楗幃</t>
  </si>
  <si>
    <t>彭毓升</t>
  </si>
  <si>
    <t>胡立禹</t>
  </si>
  <si>
    <t>田翔元</t>
  </si>
  <si>
    <t>陳明哲</t>
  </si>
  <si>
    <t>097120</t>
  </si>
  <si>
    <t>097121</t>
  </si>
  <si>
    <t>097122</t>
  </si>
  <si>
    <t>097123</t>
  </si>
  <si>
    <t>097124</t>
  </si>
  <si>
    <t>冷凍一忠</t>
    <phoneticPr fontId="2" type="noConversion"/>
  </si>
  <si>
    <t>轉出(莊敬演藝)</t>
    <phoneticPr fontId="2" type="noConversion"/>
  </si>
  <si>
    <t>冷凍二孝</t>
    <phoneticPr fontId="2" type="noConversion"/>
  </si>
  <si>
    <t>1101移除</t>
    <phoneticPr fontId="2" type="noConversion"/>
  </si>
  <si>
    <t>休學(因故)</t>
    <phoneticPr fontId="2" type="noConversion"/>
  </si>
  <si>
    <t>應英一孝</t>
    <phoneticPr fontId="2" type="noConversion"/>
  </si>
  <si>
    <t>1101移除</t>
    <phoneticPr fontId="2" type="noConversion"/>
  </si>
  <si>
    <t>1091公告版-1855</t>
    <phoneticPr fontId="2" type="noConversion"/>
  </si>
  <si>
    <t>冷凍一孝</t>
    <phoneticPr fontId="2" type="noConversion"/>
  </si>
  <si>
    <t>轉出</t>
    <phoneticPr fontId="2" type="noConversion"/>
  </si>
  <si>
    <t>1101移除</t>
    <phoneticPr fontId="2" type="noConversion"/>
  </si>
  <si>
    <t>轉出(基隆二信)</t>
    <phoneticPr fontId="2" type="noConversion"/>
  </si>
  <si>
    <t>冷凍一孝</t>
    <phoneticPr fontId="2" type="noConversion"/>
  </si>
  <si>
    <t>宋李永信</t>
    <phoneticPr fontId="2" type="noConversion"/>
  </si>
  <si>
    <t>控制一孝</t>
    <phoneticPr fontId="2" type="noConversion"/>
  </si>
  <si>
    <t>資訊一孝</t>
    <phoneticPr fontId="2" type="noConversion"/>
  </si>
  <si>
    <t>體育一忠</t>
    <phoneticPr fontId="2" type="noConversion"/>
  </si>
  <si>
    <t>轉出</t>
    <phoneticPr fontId="2" type="noConversion"/>
  </si>
  <si>
    <t>轉出(回桃園)</t>
    <phoneticPr fontId="2" type="noConversion"/>
  </si>
  <si>
    <t>宋李永信</t>
  </si>
  <si>
    <t>ok</t>
    <phoneticPr fontId="2" type="noConversion"/>
  </si>
  <si>
    <t>ok</t>
    <phoneticPr fontId="2" type="noConversion"/>
  </si>
  <si>
    <t>ok</t>
    <phoneticPr fontId="2" type="noConversion"/>
  </si>
  <si>
    <t>電子一愛</t>
    <phoneticPr fontId="2" type="noConversion"/>
  </si>
  <si>
    <t>休學</t>
    <phoneticPr fontId="2" type="noConversion"/>
  </si>
  <si>
    <t>1101移除</t>
    <phoneticPr fontId="2" type="noConversion"/>
  </si>
  <si>
    <t>休學(無法跟上)</t>
    <phoneticPr fontId="2" type="noConversion"/>
  </si>
  <si>
    <t>資訊一忠</t>
    <phoneticPr fontId="2" type="noConversion"/>
  </si>
  <si>
    <t>1101移除</t>
    <phoneticPr fontId="2" type="noConversion"/>
  </si>
  <si>
    <t>休學(七日未到)</t>
    <phoneticPr fontId="2" type="noConversion"/>
  </si>
  <si>
    <t>電子二忠</t>
    <phoneticPr fontId="2" type="noConversion"/>
  </si>
  <si>
    <t>女</t>
    <phoneticPr fontId="2" type="noConversion"/>
  </si>
  <si>
    <t>原1091休</t>
    <phoneticPr fontId="2" type="noConversion"/>
  </si>
  <si>
    <t>ok</t>
    <phoneticPr fontId="2" type="noConversion"/>
  </si>
  <si>
    <t>轉出(復興高中)</t>
    <phoneticPr fontId="2" type="noConversion"/>
  </si>
  <si>
    <t>轉出</t>
    <phoneticPr fontId="2" type="noConversion"/>
  </si>
  <si>
    <t>原1092休</t>
    <phoneticPr fontId="2" type="noConversion"/>
  </si>
  <si>
    <t>轉出(大安汽修)</t>
    <phoneticPr fontId="2" type="noConversion"/>
  </si>
  <si>
    <t>ok</t>
    <phoneticPr fontId="2" type="noConversion"/>
  </si>
  <si>
    <t>電子一愛</t>
    <phoneticPr fontId="2" type="noConversion"/>
  </si>
  <si>
    <t>091401</t>
    <phoneticPr fontId="2" type="noConversion"/>
  </si>
  <si>
    <t>白有順</t>
    <phoneticPr fontId="2" type="noConversion"/>
  </si>
  <si>
    <t>男</t>
    <phoneticPr fontId="2" type="noConversion"/>
  </si>
  <si>
    <t>轉出</t>
    <phoneticPr fontId="2" type="noConversion"/>
  </si>
  <si>
    <t>轉出(新店高中)</t>
    <phoneticPr fontId="2" type="noConversion"/>
  </si>
  <si>
    <t>電子一忠</t>
    <phoneticPr fontId="2" type="noConversion"/>
  </si>
  <si>
    <t>原1091休</t>
    <phoneticPr fontId="2" type="noConversion"/>
  </si>
  <si>
    <t>轉出(石碇高中)</t>
    <phoneticPr fontId="2" type="noConversion"/>
  </si>
  <si>
    <t>電子一孝</t>
    <phoneticPr fontId="2" type="noConversion"/>
  </si>
  <si>
    <t>ok</t>
    <phoneticPr fontId="2" type="noConversion"/>
  </si>
  <si>
    <t>休學(移民美國)</t>
    <phoneticPr fontId="2" type="noConversion"/>
  </si>
  <si>
    <t>門服一忠</t>
    <phoneticPr fontId="2" type="noConversion"/>
  </si>
  <si>
    <t>轉出</t>
    <phoneticPr fontId="2" type="noConversion"/>
  </si>
  <si>
    <t>1101移除</t>
    <phoneticPr fontId="2" type="noConversion"/>
  </si>
  <si>
    <t>轉出(新北高工)</t>
    <phoneticPr fontId="2" type="noConversion"/>
  </si>
  <si>
    <t>轉出</t>
    <phoneticPr fontId="2" type="noConversion"/>
  </si>
  <si>
    <t>原1092休</t>
    <phoneticPr fontId="2" type="noConversion"/>
  </si>
  <si>
    <t>ok</t>
    <phoneticPr fontId="2" type="noConversion"/>
  </si>
  <si>
    <t>轉出(志仁高中)</t>
    <phoneticPr fontId="2" type="noConversion"/>
  </si>
  <si>
    <t>冷凍一忠</t>
    <phoneticPr fontId="2" type="noConversion"/>
  </si>
  <si>
    <t>轉出</t>
    <phoneticPr fontId="2" type="noConversion"/>
  </si>
  <si>
    <t>轉出(大安進修電機)</t>
    <phoneticPr fontId="2" type="noConversion"/>
  </si>
  <si>
    <t>應英三忠</t>
  </si>
  <si>
    <t>應英三孝</t>
  </si>
  <si>
    <t>門服三忠</t>
  </si>
  <si>
    <t>應英三忠</t>
    <phoneticPr fontId="2" type="noConversion"/>
  </si>
  <si>
    <t>應英三孝</t>
    <phoneticPr fontId="2" type="noConversion"/>
  </si>
  <si>
    <t>門服三忠</t>
    <phoneticPr fontId="2" type="noConversion"/>
  </si>
  <si>
    <t>劉國興</t>
  </si>
  <si>
    <t>蔡宗育</t>
  </si>
  <si>
    <t>陳志榮</t>
  </si>
  <si>
    <t>吳承倫</t>
  </si>
  <si>
    <t>伍建安</t>
  </si>
  <si>
    <t>張善婷</t>
  </si>
  <si>
    <t>蔡韶珊</t>
  </si>
  <si>
    <t>蘇之凡</t>
  </si>
  <si>
    <t>葉慧玲</t>
  </si>
  <si>
    <t>蕭振昌</t>
  </si>
  <si>
    <t>范如蘋</t>
  </si>
  <si>
    <t>陳培基</t>
  </si>
  <si>
    <t>黃芳翊</t>
  </si>
  <si>
    <t>任祥誌</t>
  </si>
  <si>
    <t>王立言</t>
  </si>
  <si>
    <t>毛宥賢</t>
  </si>
  <si>
    <t>王秉緯</t>
  </si>
  <si>
    <t>何冠鋐</t>
  </si>
  <si>
    <t>王力爲</t>
  </si>
  <si>
    <t>王子傑</t>
  </si>
  <si>
    <t>方淮弘</t>
  </si>
  <si>
    <t>朱子翰</t>
  </si>
  <si>
    <t>曲浩誠</t>
  </si>
  <si>
    <t>江君翰</t>
  </si>
  <si>
    <t>方利丞</t>
  </si>
  <si>
    <t>王翊湋</t>
  </si>
  <si>
    <t>于欣恩</t>
  </si>
  <si>
    <t>干為安</t>
  </si>
  <si>
    <t>*王睿妍</t>
  </si>
  <si>
    <t>佟高丞</t>
  </si>
  <si>
    <t>何梓豪</t>
  </si>
  <si>
    <t>王子境</t>
  </si>
  <si>
    <t>朱諺信</t>
  </si>
  <si>
    <t>王歆皓</t>
  </si>
  <si>
    <t>王晨愷</t>
  </si>
  <si>
    <t>王鼎鈞</t>
  </si>
  <si>
    <t>何冠霖</t>
  </si>
  <si>
    <t>王祥瑋</t>
  </si>
  <si>
    <t>王以源</t>
  </si>
  <si>
    <t>王浩銓</t>
  </si>
  <si>
    <t>何李駿</t>
  </si>
  <si>
    <t>呂宸逸</t>
  </si>
  <si>
    <t>余茂杰</t>
  </si>
  <si>
    <t>王柏傑</t>
  </si>
  <si>
    <t>白晨峻</t>
  </si>
  <si>
    <t>王泓閔</t>
  </si>
  <si>
    <t>*古媛元</t>
  </si>
  <si>
    <t>余尚恩</t>
  </si>
  <si>
    <t>吳承安</t>
  </si>
  <si>
    <t>呂紹祈</t>
  </si>
  <si>
    <t>*王小昕</t>
  </si>
  <si>
    <t>何瑋哲</t>
  </si>
  <si>
    <t>*江欣諭</t>
  </si>
  <si>
    <t>江政祐</t>
  </si>
  <si>
    <t>*古沛渝</t>
  </si>
  <si>
    <t>何品毅</t>
  </si>
  <si>
    <t>古俊德</t>
  </si>
  <si>
    <t>王瀚璘</t>
  </si>
  <si>
    <t>王鵬程</t>
  </si>
  <si>
    <t>余祚昌</t>
  </si>
  <si>
    <t>李柏樺</t>
  </si>
  <si>
    <t>*王閔琪</t>
  </si>
  <si>
    <t>朱昱齊</t>
  </si>
  <si>
    <t>王睿群</t>
  </si>
  <si>
    <t>*吳妍蓁</t>
  </si>
  <si>
    <t>*吳昀珊</t>
  </si>
  <si>
    <t>高勛恩</t>
  </si>
  <si>
    <t>*周沛臻</t>
  </si>
  <si>
    <t>王莘鎧</t>
  </si>
  <si>
    <t>余宥慶</t>
  </si>
  <si>
    <t>何勁廷</t>
  </si>
  <si>
    <t>*何芸瑋</t>
  </si>
  <si>
    <t>申翔崴</t>
  </si>
  <si>
    <t>何遠杰</t>
  </si>
  <si>
    <t>朱哲漢</t>
  </si>
  <si>
    <t>何愷文</t>
  </si>
  <si>
    <t>朱羿勳</t>
  </si>
  <si>
    <t>吳火獅</t>
  </si>
  <si>
    <t>李元祺</t>
  </si>
  <si>
    <t>汪冠昀</t>
  </si>
  <si>
    <t>李品毅</t>
  </si>
  <si>
    <t>朱繹恩</t>
  </si>
  <si>
    <t>呂翊安</t>
  </si>
  <si>
    <t>史沛杰</t>
  </si>
  <si>
    <t>*李侑芸</t>
  </si>
  <si>
    <t>*吳思妍</t>
  </si>
  <si>
    <t>陳柏任</t>
  </si>
  <si>
    <t>周事恆</t>
  </si>
  <si>
    <t>王顗端</t>
  </si>
  <si>
    <t>吳彥陞</t>
  </si>
  <si>
    <t>何俊陞</t>
  </si>
  <si>
    <t>*朱珮萱</t>
  </si>
  <si>
    <t>吳俊毅</t>
  </si>
  <si>
    <t>李宇晨</t>
  </si>
  <si>
    <t>江哲言</t>
  </si>
  <si>
    <t>李佳駿</t>
  </si>
  <si>
    <t>李鈞諺</t>
  </si>
  <si>
    <t>林弘宇</t>
  </si>
  <si>
    <t>李思賢</t>
  </si>
  <si>
    <t>呂睿哲</t>
  </si>
  <si>
    <t>*李君窈</t>
  </si>
  <si>
    <t>江睿軒</t>
  </si>
  <si>
    <t>李延雨</t>
  </si>
  <si>
    <t>*吳秝嫻</t>
  </si>
  <si>
    <t>陳禹儒</t>
  </si>
  <si>
    <t>孫晨譯</t>
  </si>
  <si>
    <t>余秉宸</t>
  </si>
  <si>
    <t>吳柏毅</t>
  </si>
  <si>
    <t>吳迪</t>
  </si>
  <si>
    <t>*吳晏萁</t>
  </si>
  <si>
    <t>吳育昇</t>
  </si>
  <si>
    <t>宋秉曄</t>
  </si>
  <si>
    <t>李承晏</t>
  </si>
  <si>
    <t>李秉鴻</t>
  </si>
  <si>
    <t>吳侑奕</t>
  </si>
  <si>
    <t>李浩宇</t>
  </si>
  <si>
    <t>李雙成</t>
  </si>
  <si>
    <t>林劭恩</t>
  </si>
  <si>
    <t>汪彥廷</t>
  </si>
  <si>
    <t>李泊陞</t>
  </si>
  <si>
    <t>何錦翰</t>
  </si>
  <si>
    <t>李朋翰</t>
  </si>
  <si>
    <t>宋翊維</t>
  </si>
  <si>
    <t>陳家緒</t>
  </si>
  <si>
    <t>許盛傑</t>
  </si>
  <si>
    <t>*吳育寧</t>
  </si>
  <si>
    <t>吳玴綱</t>
  </si>
  <si>
    <t>宋偉豪</t>
  </si>
  <si>
    <t>呂旻諺</t>
  </si>
  <si>
    <t>吳佳豪</t>
  </si>
  <si>
    <t>*李嘉怡</t>
  </si>
  <si>
    <t>李庭緯</t>
  </si>
  <si>
    <t>李冠志</t>
  </si>
  <si>
    <t>吳澤鍇</t>
  </si>
  <si>
    <t>*林軒綺</t>
  </si>
  <si>
    <t>周哲維</t>
  </si>
  <si>
    <t>*林欣儒</t>
  </si>
  <si>
    <t>卓尚緯</t>
  </si>
  <si>
    <t>沈易諄</t>
  </si>
  <si>
    <t>孟禹安</t>
  </si>
  <si>
    <t>李威呈</t>
  </si>
  <si>
    <t>*李芸瑄</t>
  </si>
  <si>
    <t>*李宣妮</t>
  </si>
  <si>
    <t>陳家興</t>
  </si>
  <si>
    <t>郭榛</t>
  </si>
  <si>
    <t>李日耀</t>
  </si>
  <si>
    <t>宋致宇</t>
  </si>
  <si>
    <t>李承壕</t>
  </si>
  <si>
    <t>李承冠</t>
  </si>
  <si>
    <t>吳長韵</t>
  </si>
  <si>
    <t>*汪廷蓁</t>
  </si>
  <si>
    <t>李懿庭</t>
  </si>
  <si>
    <t>李威志</t>
  </si>
  <si>
    <t>吳駿朋</t>
  </si>
  <si>
    <t>侯昕佑</t>
  </si>
  <si>
    <t>周聖翔</t>
  </si>
  <si>
    <t>林倫德</t>
  </si>
  <si>
    <t>林思翰</t>
  </si>
  <si>
    <t>周俊安</t>
  </si>
  <si>
    <t>林士鈞</t>
  </si>
  <si>
    <t>李祥睿</t>
  </si>
  <si>
    <t>*李宥萱</t>
  </si>
  <si>
    <t>黃日昇</t>
  </si>
  <si>
    <t>陳楷升</t>
  </si>
  <si>
    <t>李宏勝</t>
  </si>
  <si>
    <t>李穎憲</t>
  </si>
  <si>
    <t>李彥暉</t>
  </si>
  <si>
    <t>沈俊言</t>
  </si>
  <si>
    <t>李則昊</t>
  </si>
  <si>
    <t>汪東俊</t>
  </si>
  <si>
    <t>周宜弘</t>
  </si>
  <si>
    <t>卓聖淵</t>
  </si>
  <si>
    <t>張仁澈</t>
  </si>
  <si>
    <t>孟朝軍</t>
  </si>
  <si>
    <t>林峪安</t>
  </si>
  <si>
    <t>林政穎</t>
  </si>
  <si>
    <t>林伯育</t>
  </si>
  <si>
    <t>林哲立</t>
  </si>
  <si>
    <t>林岑昕</t>
  </si>
  <si>
    <t>李謹華</t>
  </si>
  <si>
    <t>李建均</t>
  </si>
  <si>
    <t>黃孝賢</t>
  </si>
  <si>
    <t>陳慶宗</t>
  </si>
  <si>
    <t>李振碩</t>
  </si>
  <si>
    <t>周凡喆</t>
  </si>
  <si>
    <t>林祐增</t>
  </si>
  <si>
    <t>李柏文</t>
  </si>
  <si>
    <t>周柏瑋</t>
  </si>
  <si>
    <t>周承叡</t>
  </si>
  <si>
    <t>李濬丞</t>
  </si>
  <si>
    <t>張仕勳</t>
  </si>
  <si>
    <t>林均翰</t>
  </si>
  <si>
    <t>侯昱愷</t>
  </si>
  <si>
    <t>林振緯</t>
  </si>
  <si>
    <t>林宗慶</t>
  </si>
  <si>
    <t>洪聖傑</t>
  </si>
  <si>
    <t>林煜軒</t>
  </si>
  <si>
    <t>*周丞雅</t>
  </si>
  <si>
    <t>杜德信</t>
  </si>
  <si>
    <t>黃勝杰</t>
  </si>
  <si>
    <t>曾柏惟</t>
  </si>
  <si>
    <t>林若珺</t>
  </si>
  <si>
    <t>姚昱呈</t>
  </si>
  <si>
    <t>林宣呈</t>
  </si>
  <si>
    <t>柳彥丞</t>
  </si>
  <si>
    <t>李得源</t>
  </si>
  <si>
    <t>林奕丞</t>
  </si>
  <si>
    <t>林柏劭</t>
  </si>
  <si>
    <t>林允希</t>
  </si>
  <si>
    <t>張昀翰</t>
  </si>
  <si>
    <t>洪鉦堯</t>
  </si>
  <si>
    <t>柳詠昇</t>
  </si>
  <si>
    <t>林暉恩</t>
  </si>
  <si>
    <t>林品翰</t>
  </si>
  <si>
    <t>秦劭祈</t>
  </si>
  <si>
    <t>邱彥程</t>
  </si>
  <si>
    <t>*周婕儀</t>
  </si>
  <si>
    <t>*周昀瑾</t>
  </si>
  <si>
    <t>*葉芊彤</t>
  </si>
  <si>
    <t>黃發微</t>
  </si>
  <si>
    <t>林恩丞</t>
  </si>
  <si>
    <t>張宇承</t>
  </si>
  <si>
    <t>林開予</t>
  </si>
  <si>
    <t>高宗玄</t>
  </si>
  <si>
    <t>李瑞誠</t>
  </si>
  <si>
    <t>林韋呈</t>
  </si>
  <si>
    <t>林軒詠</t>
  </si>
  <si>
    <t>林岑恩</t>
  </si>
  <si>
    <t>張竣程</t>
  </si>
  <si>
    <t>徐晟崴</t>
  </si>
  <si>
    <t>柳傳厚</t>
  </si>
  <si>
    <t>林鈺澤</t>
  </si>
  <si>
    <t>林宥綸</t>
  </si>
  <si>
    <t>高愷辰</t>
  </si>
  <si>
    <t>秦唯寧</t>
  </si>
  <si>
    <t>孟廷凱</t>
  </si>
  <si>
    <t>林邑桐</t>
  </si>
  <si>
    <t>鄭安紘</t>
  </si>
  <si>
    <t>邱煒皓</t>
  </si>
  <si>
    <t>張冠維</t>
  </si>
  <si>
    <t>邱以理</t>
  </si>
  <si>
    <t>*張采恩</t>
  </si>
  <si>
    <t>汪正洋</t>
  </si>
  <si>
    <t>*林蔚彤</t>
  </si>
  <si>
    <t>林凱翔</t>
  </si>
  <si>
    <t>林聖哲</t>
  </si>
  <si>
    <t>林庚翰</t>
  </si>
  <si>
    <t>梁如豪</t>
  </si>
  <si>
    <t>張中睿</t>
  </si>
  <si>
    <t>洪銘汛</t>
  </si>
  <si>
    <t>林靖家</t>
  </si>
  <si>
    <t>花廷皓</t>
  </si>
  <si>
    <t>張任佑</t>
  </si>
  <si>
    <t>翁以爵</t>
  </si>
  <si>
    <t>*林子琦</t>
  </si>
  <si>
    <t>林峻安</t>
  </si>
  <si>
    <t>賴睿楚</t>
  </si>
  <si>
    <t>金家悅</t>
  </si>
  <si>
    <t>莊政翰</t>
  </si>
  <si>
    <t>*徐彩雲</t>
  </si>
  <si>
    <t>*張翊庭</t>
  </si>
  <si>
    <t>林易頡</t>
  </si>
  <si>
    <t>紀柏丞</t>
  </si>
  <si>
    <t>林敬庭</t>
  </si>
  <si>
    <t>邱冠哲</t>
  </si>
  <si>
    <t>林承逸</t>
  </si>
  <si>
    <t>許杰宇</t>
  </si>
  <si>
    <t>張哲豪</t>
  </si>
  <si>
    <t>胡智翔</t>
  </si>
  <si>
    <t>林融宏</t>
  </si>
  <si>
    <t>洪銨遠</t>
  </si>
  <si>
    <t>張育勲</t>
  </si>
  <si>
    <t>高碩延</t>
  </si>
  <si>
    <t>*林亞若</t>
  </si>
  <si>
    <t>*林筱彤</t>
  </si>
  <si>
    <t>魏士軒</t>
  </si>
  <si>
    <t>張廷宇</t>
  </si>
  <si>
    <t>許澤曦</t>
  </si>
  <si>
    <t>高丞逸</t>
  </si>
  <si>
    <t>莊勝宇</t>
  </si>
  <si>
    <t>洪晟峯</t>
  </si>
  <si>
    <t>孫丞佐</t>
  </si>
  <si>
    <t>林駿傑</t>
  </si>
  <si>
    <t>施緯杰</t>
  </si>
  <si>
    <t>林柏廷</t>
  </si>
  <si>
    <t>陳志然</t>
  </si>
  <si>
    <t>符耀仁</t>
  </si>
  <si>
    <t>梁惟喆</t>
  </si>
  <si>
    <t>洪凱泰</t>
  </si>
  <si>
    <t>紀澤維</t>
  </si>
  <si>
    <t>張奕翔</t>
  </si>
  <si>
    <t>張晋瑋</t>
  </si>
  <si>
    <t>林騰祥</t>
  </si>
  <si>
    <t>林憲宏</t>
  </si>
  <si>
    <t>許安廷</t>
  </si>
  <si>
    <t>郭子祺</t>
  </si>
  <si>
    <t>張仲霆</t>
  </si>
  <si>
    <t>胡善文</t>
  </si>
  <si>
    <t>徐皓</t>
  </si>
  <si>
    <t>柯尼爾</t>
  </si>
  <si>
    <t>林澤濬</t>
  </si>
  <si>
    <t>陳冠勳</t>
  </si>
  <si>
    <t>許承愷</t>
  </si>
  <si>
    <t>許振桓</t>
  </si>
  <si>
    <t>*孫天悅</t>
  </si>
  <si>
    <t>*高一瑄</t>
  </si>
  <si>
    <t>張宸熏</t>
  </si>
  <si>
    <t>張越翔</t>
  </si>
  <si>
    <t>洪培喆</t>
  </si>
  <si>
    <t>*施宇恩</t>
  </si>
  <si>
    <t>陳廷元</t>
  </si>
  <si>
    <t>陳帛駿</t>
  </si>
  <si>
    <t>*郭子綺</t>
  </si>
  <si>
    <t>*陳怡安</t>
  </si>
  <si>
    <t>徐柏源</t>
  </si>
  <si>
    <t>徐竣齊</t>
  </si>
  <si>
    <t>徐睿謙</t>
  </si>
  <si>
    <t>倪子凡</t>
  </si>
  <si>
    <t>邱威明</t>
  </si>
  <si>
    <t>陳羿鈞</t>
  </si>
  <si>
    <t>許愷羅</t>
  </si>
  <si>
    <t>郭博哲</t>
  </si>
  <si>
    <t>張文驊</t>
  </si>
  <si>
    <t>*張芷寧</t>
  </si>
  <si>
    <t>莊紋堦</t>
  </si>
  <si>
    <t>曾慶彥</t>
  </si>
  <si>
    <t>*韋啟媜</t>
  </si>
  <si>
    <t>*柯宇宣</t>
  </si>
  <si>
    <t>陳喻安</t>
  </si>
  <si>
    <t>*陳品聿</t>
  </si>
  <si>
    <t>陳廷祐</t>
  </si>
  <si>
    <t>陳易佐</t>
  </si>
  <si>
    <t>秦子洋</t>
  </si>
  <si>
    <t>徐曉正</t>
  </si>
  <si>
    <t>張子旭</t>
  </si>
  <si>
    <t>徐唯祐</t>
  </si>
  <si>
    <t>洪秉昇</t>
  </si>
  <si>
    <t>*陳珮軒</t>
  </si>
  <si>
    <t>陳田祐</t>
  </si>
  <si>
    <t>陳文智</t>
  </si>
  <si>
    <t>張駿綸</t>
  </si>
  <si>
    <t>張肇倫</t>
  </si>
  <si>
    <t>陳冠穎</t>
  </si>
  <si>
    <t>游硯博</t>
  </si>
  <si>
    <t>倪子恆</t>
  </si>
  <si>
    <t>高晟恩</t>
  </si>
  <si>
    <t>曾志安</t>
  </si>
  <si>
    <t>陳柏羽</t>
  </si>
  <si>
    <t>陳俊宇</t>
  </si>
  <si>
    <t>陳奕廷</t>
  </si>
  <si>
    <t>高宇傳</t>
  </si>
  <si>
    <t>張庭毓</t>
  </si>
  <si>
    <t>張承恩</t>
  </si>
  <si>
    <t>張益綸</t>
  </si>
  <si>
    <t>陳源漢</t>
  </si>
  <si>
    <t>陳立修</t>
  </si>
  <si>
    <t>陳冠升</t>
  </si>
  <si>
    <t>曹儼</t>
  </si>
  <si>
    <t>黃柏勳</t>
  </si>
  <si>
    <t>*張婷喻</t>
  </si>
  <si>
    <t>*張宥芯</t>
  </si>
  <si>
    <t>*温佳葳</t>
  </si>
  <si>
    <t>陳柏聿</t>
  </si>
  <si>
    <t>陳品叡</t>
  </si>
  <si>
    <t>陳傑倫</t>
  </si>
  <si>
    <t>張家維</t>
  </si>
  <si>
    <t>張恩為</t>
  </si>
  <si>
    <t>張雋希</t>
  </si>
  <si>
    <t>曹峻議</t>
  </si>
  <si>
    <t>唐楚浚</t>
  </si>
  <si>
    <t>陳德安</t>
  </si>
  <si>
    <t>陳宇皓</t>
  </si>
  <si>
    <t>陳彥碩</t>
  </si>
  <si>
    <t>許耀仁</t>
  </si>
  <si>
    <t>黃郁浩</t>
  </si>
  <si>
    <t>張嘉佑</t>
  </si>
  <si>
    <t>曹承意</t>
  </si>
  <si>
    <t>蕭宇璿</t>
  </si>
  <si>
    <t>陳緯綸</t>
  </si>
  <si>
    <t>陳宥任</t>
  </si>
  <si>
    <t>黃呂凱</t>
  </si>
  <si>
    <t>*張舒羽</t>
  </si>
  <si>
    <t>張博清</t>
  </si>
  <si>
    <t>郭承祐</t>
  </si>
  <si>
    <t>梅睿文</t>
  </si>
  <si>
    <t>張澤勳</t>
  </si>
  <si>
    <t>曾俊豪</t>
  </si>
  <si>
    <t>陳金富</t>
  </si>
  <si>
    <t>陳威佑</t>
  </si>
  <si>
    <t>陳暐哲</t>
  </si>
  <si>
    <t>陳昶宏</t>
  </si>
  <si>
    <t>陳泰宇</t>
  </si>
  <si>
    <t>黃麒豪</t>
  </si>
  <si>
    <t>*梁采崴</t>
  </si>
  <si>
    <t>*陳又瑄</t>
  </si>
  <si>
    <t>戴伯翰</t>
  </si>
  <si>
    <t>傅郁惟</t>
  </si>
  <si>
    <t>陳瑋杰</t>
  </si>
  <si>
    <t>黃承佑</t>
  </si>
  <si>
    <t>許閔亦</t>
  </si>
  <si>
    <t>張皓睿</t>
  </si>
  <si>
    <t>陳宗賢</t>
  </si>
  <si>
    <t>莊林翰</t>
  </si>
  <si>
    <t>章佳揚</t>
  </si>
  <si>
    <t>游宇申</t>
  </si>
  <si>
    <t>陳冠銘</t>
  </si>
  <si>
    <t>陳彥宇</t>
  </si>
  <si>
    <t>陳鉅中</t>
  </si>
  <si>
    <t>陳聖傑</t>
  </si>
  <si>
    <t>黃啟揚</t>
  </si>
  <si>
    <t>楊雲翔</t>
  </si>
  <si>
    <t>陳兆南</t>
  </si>
  <si>
    <t>*陳亞葳</t>
  </si>
  <si>
    <t>*謝謹而</t>
  </si>
  <si>
    <t>彭海荃</t>
  </si>
  <si>
    <t>陳韶勛</t>
  </si>
  <si>
    <t>郭品佑</t>
  </si>
  <si>
    <t>許元睿</t>
  </si>
  <si>
    <t>陳泓安</t>
  </si>
  <si>
    <t>郭又誠</t>
  </si>
  <si>
    <t>陳威銘</t>
  </si>
  <si>
    <t>*黃子芸</t>
  </si>
  <si>
    <t>陳睿澤</t>
  </si>
  <si>
    <t>陸一帆</t>
  </si>
  <si>
    <t>黃聖傑</t>
  </si>
  <si>
    <t>萬錦霖</t>
  </si>
  <si>
    <t>陳侑聖</t>
  </si>
  <si>
    <t>*陳姸希</t>
  </si>
  <si>
    <t>羅文夆</t>
  </si>
  <si>
    <t>曾瑋庭</t>
  </si>
  <si>
    <t>黃敬恩</t>
  </si>
  <si>
    <t>黃聖丰</t>
  </si>
  <si>
    <t>陳律丞</t>
  </si>
  <si>
    <t>*許安綺</t>
  </si>
  <si>
    <t>陳佑恩</t>
  </si>
  <si>
    <t>陳潁謙</t>
  </si>
  <si>
    <t>黃宏育</t>
  </si>
  <si>
    <t>陳霆偉</t>
  </si>
  <si>
    <t>陳韋廷</t>
  </si>
  <si>
    <t>*黃玥慈</t>
  </si>
  <si>
    <t>楊承峰</t>
  </si>
  <si>
    <t>楊德立</t>
  </si>
  <si>
    <t>葉柏辰</t>
  </si>
  <si>
    <t>曾柏睿</t>
  </si>
  <si>
    <t>*陳苡庭</t>
  </si>
  <si>
    <t>蘇昶睿</t>
  </si>
  <si>
    <t>游日僑</t>
  </si>
  <si>
    <t>楊詠崴</t>
  </si>
  <si>
    <t>鄒宗憲</t>
  </si>
  <si>
    <t>陳韋生</t>
  </si>
  <si>
    <t>許祐誠</t>
  </si>
  <si>
    <t>陳柏亨</t>
  </si>
  <si>
    <t>陳俊恩</t>
  </si>
  <si>
    <t>曾愛修</t>
  </si>
  <si>
    <t>黃柏誌</t>
  </si>
  <si>
    <t>楊秉竑</t>
  </si>
  <si>
    <t>傅堂鈞</t>
  </si>
  <si>
    <t>黃翊誠</t>
  </si>
  <si>
    <t>葉霆君</t>
  </si>
  <si>
    <t>葉祖睿</t>
  </si>
  <si>
    <t>*游阡瑜</t>
  </si>
  <si>
    <t>陳融緯</t>
  </si>
  <si>
    <t>*黃郁涵</t>
  </si>
  <si>
    <t>葉銘埁</t>
  </si>
  <si>
    <t>劉李新</t>
  </si>
  <si>
    <t>陳暐杰</t>
  </si>
  <si>
    <t>陳宥辰</t>
  </si>
  <si>
    <t>黃冠頤</t>
  </si>
  <si>
    <t>楊凱程</t>
  </si>
  <si>
    <t>楊翊帆</t>
  </si>
  <si>
    <t>葉柏均</t>
  </si>
  <si>
    <t>*楊琬晴</t>
  </si>
  <si>
    <t>鄔宗祐</t>
  </si>
  <si>
    <t>*劉育芳</t>
  </si>
  <si>
    <t>劉少傑</t>
  </si>
  <si>
    <t>*黃若涵</t>
  </si>
  <si>
    <t>黃子霽</t>
  </si>
  <si>
    <t>*黃雅楨</t>
  </si>
  <si>
    <t>*廖子瑩</t>
  </si>
  <si>
    <t>劉俊希</t>
  </si>
  <si>
    <t>陳震崴</t>
  </si>
  <si>
    <t>*陳玟妤</t>
  </si>
  <si>
    <t>陳胤廷</t>
  </si>
  <si>
    <t>陳雋希</t>
  </si>
  <si>
    <t>黃昱睿</t>
  </si>
  <si>
    <t>*董佳瑜</t>
  </si>
  <si>
    <t>葉恩宇</t>
  </si>
  <si>
    <t>*劉柏妘</t>
  </si>
  <si>
    <t>楊竣喆</t>
  </si>
  <si>
    <t>趙昱銘</t>
  </si>
  <si>
    <t>劉耘成</t>
  </si>
  <si>
    <t>蔡一嘉</t>
  </si>
  <si>
    <t>*楊巧羽</t>
  </si>
  <si>
    <t>*黃岦筠</t>
  </si>
  <si>
    <t>楊易儒</t>
  </si>
  <si>
    <t>廖昱祥</t>
  </si>
  <si>
    <t>劉奕劭</t>
  </si>
  <si>
    <t>*黃玟芳</t>
  </si>
  <si>
    <t>黄偉晟</t>
  </si>
  <si>
    <t>楊聖澤</t>
  </si>
  <si>
    <t>黃崑祐</t>
  </si>
  <si>
    <t>楊雲雁</t>
  </si>
  <si>
    <t>董權漢</t>
  </si>
  <si>
    <t>*廖苡媃</t>
  </si>
  <si>
    <t>劉鰫鈁</t>
  </si>
  <si>
    <t>劉彥希</t>
  </si>
  <si>
    <t>潘宥丞</t>
  </si>
  <si>
    <t>蔡正瑋</t>
  </si>
  <si>
    <t>蔡昀劭</t>
  </si>
  <si>
    <t>*鄭宇桐</t>
  </si>
  <si>
    <t>劉立程</t>
  </si>
  <si>
    <t>楊竣伍</t>
  </si>
  <si>
    <t>劉昱圻</t>
  </si>
  <si>
    <t>潘世穎</t>
  </si>
  <si>
    <t>楊俊輝</t>
  </si>
  <si>
    <t>楊世研</t>
  </si>
  <si>
    <t>董定叡</t>
  </si>
  <si>
    <t>廖子豪</t>
  </si>
  <si>
    <t>葉柏誠</t>
  </si>
  <si>
    <t>詹竣森</t>
  </si>
  <si>
    <t>*廖宸珮</t>
  </si>
  <si>
    <t>*潘紀妍</t>
  </si>
  <si>
    <t>劉柯宏</t>
  </si>
  <si>
    <t>蕭宇傑</t>
  </si>
  <si>
    <t>蔡帛益</t>
  </si>
  <si>
    <t>蔡政翰</t>
  </si>
  <si>
    <t>鄭嘉漢</t>
  </si>
  <si>
    <t>蔡明穎</t>
  </si>
  <si>
    <t>楊翰柏</t>
  </si>
  <si>
    <t>劉偉仁</t>
  </si>
  <si>
    <t>蔡政宏</t>
  </si>
  <si>
    <t>葉治賢</t>
  </si>
  <si>
    <t>楊浚頡</t>
  </si>
  <si>
    <t>廖帛煒</t>
  </si>
  <si>
    <t>劉子豪</t>
  </si>
  <si>
    <t>詹易桓</t>
  </si>
  <si>
    <t>蔡佑昀</t>
  </si>
  <si>
    <t>劉昊穎</t>
  </si>
  <si>
    <t>鄭光宏</t>
  </si>
  <si>
    <t>衛佳安</t>
  </si>
  <si>
    <t>賴冠丞</t>
  </si>
  <si>
    <t>蕭越文</t>
  </si>
  <si>
    <t>蔡雋佾</t>
  </si>
  <si>
    <t>羅恩</t>
  </si>
  <si>
    <t>鄧智仁</t>
  </si>
  <si>
    <t>廖明皓</t>
  </si>
  <si>
    <t>盧志朋</t>
  </si>
  <si>
    <t>蔣繼元</t>
  </si>
  <si>
    <t>鄒秉哲</t>
  </si>
  <si>
    <t>詹曜宇</t>
  </si>
  <si>
    <t>劉宇恩</t>
  </si>
  <si>
    <t>劉日發</t>
  </si>
  <si>
    <t>趙翊丞</t>
  </si>
  <si>
    <t>蔡承諭</t>
  </si>
  <si>
    <t>*劉思彤</t>
  </si>
  <si>
    <t>鄭惟駿</t>
  </si>
  <si>
    <t>簡于翔</t>
  </si>
  <si>
    <t>鍾承均</t>
  </si>
  <si>
    <t>賴昱翰</t>
  </si>
  <si>
    <t>鄭雋瀚</t>
  </si>
  <si>
    <t>*謝宜珊</t>
  </si>
  <si>
    <t>駱威廷</t>
  </si>
  <si>
    <t>蕭凱正</t>
  </si>
  <si>
    <t>鄭宇辰</t>
  </si>
  <si>
    <t>蕭新原</t>
  </si>
  <si>
    <t>廖晨亦</t>
  </si>
  <si>
    <t>蔡承諺</t>
  </si>
  <si>
    <t>劉育睿</t>
  </si>
  <si>
    <t>劉威廷</t>
  </si>
  <si>
    <t>澹臺令程</t>
  </si>
  <si>
    <t>劉謹綸</t>
  </si>
  <si>
    <t>賴佳暐</t>
  </si>
  <si>
    <t>簡瑋廷</t>
  </si>
  <si>
    <t>羅威淳</t>
  </si>
  <si>
    <t>謝凱</t>
  </si>
  <si>
    <t>鄭鴻圻</t>
  </si>
  <si>
    <t>*謝佳芯</t>
  </si>
  <si>
    <t>謝中皓</t>
  </si>
  <si>
    <t>蕭翰欽</t>
  </si>
  <si>
    <t>*蘇瑋翎</t>
  </si>
  <si>
    <t>鄭丞翔</t>
  </si>
  <si>
    <t>蔡東霖</t>
  </si>
  <si>
    <t>鄭朝展</t>
  </si>
  <si>
    <t>潘勳緯</t>
  </si>
  <si>
    <t>蕭存凱</t>
  </si>
  <si>
    <t>*蔡佾芹</t>
  </si>
  <si>
    <t>賴曉澈</t>
  </si>
  <si>
    <t>顏心祿</t>
  </si>
  <si>
    <t>羅睿甫</t>
  </si>
  <si>
    <t>*鍾采倪</t>
  </si>
  <si>
    <t>蕭登愷</t>
  </si>
  <si>
    <t>顏杰綸</t>
  </si>
  <si>
    <t>羅健維</t>
  </si>
  <si>
    <t>鄭紹彥</t>
  </si>
  <si>
    <t>鄧亦佐</t>
  </si>
  <si>
    <t>賴伯霖</t>
  </si>
  <si>
    <t>鄭閎寅</t>
  </si>
  <si>
    <t>謝承峻</t>
  </si>
  <si>
    <t>蔡政彬</t>
  </si>
  <si>
    <t>*鍾馨宜</t>
  </si>
  <si>
    <t>羅泓瓅</t>
  </si>
  <si>
    <t>籃育琛</t>
  </si>
  <si>
    <t>魏健宇</t>
  </si>
  <si>
    <t>薛宇翔</t>
  </si>
  <si>
    <t>賴昱安</t>
  </si>
  <si>
    <t>龍羿辰</t>
  </si>
  <si>
    <t>賴柏銓</t>
  </si>
  <si>
    <t>簡希睿</t>
  </si>
  <si>
    <t>鄭任博</t>
  </si>
  <si>
    <t>羅尹恩</t>
  </si>
  <si>
    <t>羅康維</t>
  </si>
  <si>
    <t>羅元富</t>
  </si>
  <si>
    <t>謝承勳</t>
  </si>
  <si>
    <t>賴科諺</t>
  </si>
  <si>
    <t>藍天羽</t>
  </si>
  <si>
    <t>薛旭程</t>
  </si>
  <si>
    <t>鐘晨恩</t>
  </si>
  <si>
    <t>*魏千純</t>
  </si>
  <si>
    <t>*謝知熙</t>
  </si>
  <si>
    <t>*顧倚嫚</t>
  </si>
  <si>
    <t>蘇士瑋</t>
  </si>
  <si>
    <t>嚴靖宗</t>
  </si>
  <si>
    <t>羅楷喆</t>
  </si>
  <si>
    <t>顏睿廷</t>
  </si>
  <si>
    <t>鍾柏勳</t>
  </si>
  <si>
    <t>羅家閎</t>
  </si>
  <si>
    <t>續偲睿</t>
  </si>
  <si>
    <t>羅聿凱</t>
  </si>
  <si>
    <t>邱品睿</t>
  </si>
  <si>
    <t>097125</t>
  </si>
  <si>
    <t>097125</t>
    <phoneticPr fontId="2" type="noConversion"/>
  </si>
  <si>
    <t>097126</t>
  </si>
  <si>
    <t>097126</t>
    <phoneticPr fontId="2" type="noConversion"/>
  </si>
  <si>
    <t>電機一愛</t>
    <phoneticPr fontId="2" type="noConversion"/>
  </si>
  <si>
    <t>轉出</t>
    <phoneticPr fontId="2" type="noConversion"/>
  </si>
  <si>
    <t>原1091休</t>
    <phoneticPr fontId="2" type="noConversion"/>
  </si>
  <si>
    <t>ok</t>
    <phoneticPr fontId="2" type="noConversion"/>
  </si>
  <si>
    <t>轉出(方濟高中)</t>
    <phoneticPr fontId="2" type="noConversion"/>
  </si>
  <si>
    <t>門服三忠</t>
    <phoneticPr fontId="2" type="noConversion"/>
  </si>
  <si>
    <t>應英一忠</t>
    <phoneticPr fontId="2" type="noConversion"/>
  </si>
  <si>
    <t>應英一孝</t>
    <phoneticPr fontId="2" type="noConversion"/>
  </si>
  <si>
    <t>應英二忠</t>
    <phoneticPr fontId="2" type="noConversion"/>
  </si>
  <si>
    <t>應英二孝</t>
    <phoneticPr fontId="2" type="noConversion"/>
  </si>
  <si>
    <t>應英三忠</t>
    <phoneticPr fontId="2" type="noConversion"/>
  </si>
  <si>
    <t>應英三孝</t>
    <phoneticPr fontId="2" type="noConversion"/>
  </si>
  <si>
    <r>
      <t xml:space="preserve"> </t>
    </r>
    <r>
      <rPr>
        <sz val="12"/>
        <rFont val="標楷體"/>
        <family val="4"/>
        <charset val="136"/>
      </rPr>
      <t>應英科</t>
    </r>
    <r>
      <rPr>
        <sz val="12"/>
        <rFont val="Times New Roman"/>
        <family val="1"/>
      </rPr>
      <t xml:space="preserve">     </t>
    </r>
    <phoneticPr fontId="2" type="noConversion"/>
  </si>
  <si>
    <t xml:space="preserve">   全校學生數(含 門服、微電、體育班 )  </t>
    <phoneticPr fontId="2" type="noConversion"/>
  </si>
  <si>
    <t xml:space="preserve">   全校學生數(不含 門服、微電、體育班 )  </t>
    <phoneticPr fontId="2" type="noConversion"/>
  </si>
  <si>
    <t>陳禹綸</t>
  </si>
  <si>
    <t>門服三忠</t>
    <phoneticPr fontId="4" type="noConversion"/>
  </si>
  <si>
    <t>微電一忠</t>
    <phoneticPr fontId="4" type="noConversion"/>
  </si>
  <si>
    <t>電子一孝</t>
    <phoneticPr fontId="2" type="noConversion"/>
  </si>
  <si>
    <t>轉出</t>
    <phoneticPr fontId="2" type="noConversion"/>
  </si>
  <si>
    <t>1101移除</t>
    <phoneticPr fontId="2" type="noConversion"/>
  </si>
  <si>
    <t>ok</t>
    <phoneticPr fontId="2" type="noConversion"/>
  </si>
  <si>
    <t>轉出(馬偕護校)</t>
    <phoneticPr fontId="2" type="noConversion"/>
  </si>
  <si>
    <t>休學</t>
    <phoneticPr fontId="2" type="noConversion"/>
  </si>
  <si>
    <t>1101移除</t>
    <phoneticPr fontId="2" type="noConversion"/>
  </si>
  <si>
    <t>ok</t>
    <phoneticPr fontId="2" type="noConversion"/>
  </si>
  <si>
    <t>控制三忠</t>
    <phoneticPr fontId="2" type="noConversion"/>
  </si>
  <si>
    <t>休學(志趣不合)</t>
    <phoneticPr fontId="2" type="noConversion"/>
  </si>
  <si>
    <t>電機二愛</t>
    <phoneticPr fontId="2" type="noConversion"/>
  </si>
  <si>
    <t>轉出</t>
    <phoneticPr fontId="2" type="noConversion"/>
  </si>
  <si>
    <t>1102移除</t>
    <phoneticPr fontId="2" type="noConversion"/>
  </si>
  <si>
    <t>轉出(能仁家商)</t>
    <phoneticPr fontId="2" type="noConversion"/>
  </si>
  <si>
    <t>冷凍一忠</t>
    <phoneticPr fontId="2" type="noConversion"/>
  </si>
  <si>
    <t>轉出</t>
    <phoneticPr fontId="2" type="noConversion"/>
  </si>
  <si>
    <t>轉出(開平餐飲)</t>
    <phoneticPr fontId="2" type="noConversion"/>
  </si>
  <si>
    <t>ok</t>
    <phoneticPr fontId="2" type="noConversion"/>
  </si>
  <si>
    <t>電子二孝</t>
    <phoneticPr fontId="2" type="noConversion"/>
  </si>
  <si>
    <t>1102移除</t>
    <phoneticPr fontId="2" type="noConversion"/>
  </si>
  <si>
    <t>轉出(景文中學)</t>
    <phoneticPr fontId="2" type="noConversion"/>
  </si>
  <si>
    <t>張閔涵</t>
  </si>
  <si>
    <t>戴國卿</t>
  </si>
  <si>
    <t>陳彥俊</t>
  </si>
  <si>
    <t>葉燈超</t>
  </si>
  <si>
    <t>劉佩鑫</t>
  </si>
  <si>
    <t>陳俊樺</t>
  </si>
  <si>
    <t>蔡敏璿</t>
  </si>
  <si>
    <t>陳亭瑋</t>
  </si>
  <si>
    <t>陳永華</t>
  </si>
  <si>
    <t>蔡銘貴</t>
  </si>
  <si>
    <t>葛士瑋</t>
  </si>
  <si>
    <t>劉宜君</t>
  </si>
  <si>
    <t>鄭斌用</t>
  </si>
  <si>
    <t>趙德偉</t>
  </si>
  <si>
    <t>江昀蓉</t>
  </si>
  <si>
    <t>黃子維</t>
  </si>
  <si>
    <t>鄭翔仁</t>
  </si>
  <si>
    <t>涂家綸</t>
  </si>
  <si>
    <t>冷凍二孝</t>
    <phoneticPr fontId="2" type="noConversion"/>
  </si>
  <si>
    <t>原1091休</t>
    <phoneticPr fontId="2" type="noConversion"/>
  </si>
  <si>
    <t>轉出(私立大同)</t>
    <phoneticPr fontId="2" type="noConversion"/>
  </si>
  <si>
    <t>轉出</t>
    <phoneticPr fontId="2" type="noConversion"/>
  </si>
  <si>
    <t>資訊三孝</t>
    <phoneticPr fontId="2" type="noConversion"/>
  </si>
  <si>
    <t>轉出(松山家商)</t>
    <phoneticPr fontId="2" type="noConversion"/>
  </si>
  <si>
    <t>控制二孝</t>
    <phoneticPr fontId="2" type="noConversion"/>
  </si>
  <si>
    <t>轉出</t>
    <phoneticPr fontId="2" type="noConversion"/>
  </si>
  <si>
    <t>原1092休</t>
    <phoneticPr fontId="2" type="noConversion"/>
  </si>
  <si>
    <t>轉出(康寧應外)</t>
    <phoneticPr fontId="2" type="noConversion"/>
  </si>
  <si>
    <t>電機二忠</t>
    <phoneticPr fontId="2" type="noConversion"/>
  </si>
  <si>
    <t>轉出(徐匯中學)</t>
    <phoneticPr fontId="2" type="noConversion"/>
  </si>
  <si>
    <t>曾國揚</t>
  </si>
  <si>
    <t>張喻傑</t>
  </si>
  <si>
    <t>盧文聖</t>
  </si>
  <si>
    <t>094233</t>
  </si>
  <si>
    <t>095136</t>
  </si>
  <si>
    <t>098235</t>
  </si>
  <si>
    <t>0811-1857-設定</t>
    <phoneticPr fontId="2" type="noConversion"/>
  </si>
  <si>
    <t>0819-僅新增但不刪</t>
    <phoneticPr fontId="2" type="noConversion"/>
  </si>
  <si>
    <t xml:space="preserve">   </t>
    <phoneticPr fontId="2" type="noConversion"/>
  </si>
  <si>
    <t>傅信餘</t>
    <phoneticPr fontId="2" type="noConversion"/>
  </si>
  <si>
    <t>電機一忠</t>
    <phoneticPr fontId="2" type="noConversion"/>
  </si>
  <si>
    <t>自棄學籍</t>
    <phoneticPr fontId="2" type="noConversion"/>
  </si>
  <si>
    <t>1102移除</t>
    <phoneticPr fontId="2" type="noConversion"/>
  </si>
  <si>
    <t>控制一孝</t>
    <phoneticPr fontId="2" type="noConversion"/>
  </si>
  <si>
    <t>應英二孝</t>
    <phoneticPr fontId="2" type="noConversion"/>
  </si>
  <si>
    <t>轉出</t>
    <phoneticPr fontId="2" type="noConversion"/>
  </si>
  <si>
    <t>轉出(金甌應日)</t>
    <phoneticPr fontId="2" type="noConversion"/>
  </si>
  <si>
    <t>資訊三仁</t>
    <phoneticPr fontId="2" type="noConversion"/>
  </si>
  <si>
    <t>083304</t>
    <phoneticPr fontId="2" type="noConversion"/>
  </si>
  <si>
    <t>何敏豪</t>
    <phoneticPr fontId="2" type="noConversion"/>
  </si>
  <si>
    <t>男</t>
    <phoneticPr fontId="2" type="noConversion"/>
  </si>
  <si>
    <t>自棄學籍</t>
    <phoneticPr fontId="2" type="noConversion"/>
  </si>
  <si>
    <t>自棄(預計嘉義高工)</t>
    <phoneticPr fontId="2" type="noConversion"/>
  </si>
  <si>
    <t>控制二孝</t>
    <phoneticPr fontId="2" type="noConversion"/>
  </si>
  <si>
    <t>轉出</t>
    <phoneticPr fontId="2" type="noConversion"/>
  </si>
  <si>
    <t>轉出(淡江高中)</t>
    <phoneticPr fontId="2" type="noConversion"/>
  </si>
  <si>
    <t>資訊二孝</t>
    <phoneticPr fontId="2" type="noConversion"/>
  </si>
  <si>
    <t>085224</t>
  </si>
  <si>
    <t>陳柏佑</t>
  </si>
  <si>
    <t>轉出</t>
    <phoneticPr fontId="2" type="noConversion"/>
  </si>
  <si>
    <t>轉出(臺北城市科大五轉)</t>
    <phoneticPr fontId="2" type="noConversion"/>
  </si>
  <si>
    <t>張若谷</t>
  </si>
  <si>
    <t>096114</t>
  </si>
  <si>
    <t>096114</t>
    <phoneticPr fontId="2" type="noConversion"/>
  </si>
  <si>
    <t>張若谷</t>
    <phoneticPr fontId="2" type="noConversion"/>
  </si>
  <si>
    <t>男</t>
    <phoneticPr fontId="2" type="noConversion"/>
  </si>
  <si>
    <t>資訊三孝</t>
    <phoneticPr fontId="2" type="noConversion"/>
  </si>
  <si>
    <t>轉出</t>
    <phoneticPr fontId="2" type="noConversion"/>
  </si>
  <si>
    <t>轉出(志仁高中)</t>
    <phoneticPr fontId="2" type="noConversion"/>
  </si>
  <si>
    <t>*賴瓊杏</t>
    <phoneticPr fontId="2" type="noConversion"/>
  </si>
  <si>
    <t>冷凍一忠</t>
    <phoneticPr fontId="2" type="noConversion"/>
  </si>
  <si>
    <t>自棄(中正預校)</t>
    <phoneticPr fontId="2" type="noConversion"/>
  </si>
  <si>
    <t>自棄學籍</t>
    <phoneticPr fontId="2" type="noConversion"/>
  </si>
  <si>
    <t>自棄(出國念書)</t>
    <phoneticPr fontId="2" type="noConversion"/>
  </si>
  <si>
    <t>電機一孝</t>
    <phoneticPr fontId="2" type="noConversion"/>
  </si>
  <si>
    <t>門服一忠</t>
    <phoneticPr fontId="2" type="noConversion"/>
  </si>
  <si>
    <t>休學</t>
    <phoneticPr fontId="2" type="noConversion"/>
  </si>
  <si>
    <t>休學(加強自理)</t>
    <phoneticPr fontId="2" type="noConversion"/>
  </si>
  <si>
    <t>電機一孝</t>
    <phoneticPr fontId="2" type="noConversion"/>
  </si>
  <si>
    <t>休學(紐西蘭)</t>
    <phoneticPr fontId="2" type="noConversion"/>
  </si>
  <si>
    <t>微電一忠</t>
    <phoneticPr fontId="2" type="noConversion"/>
  </si>
  <si>
    <t>自棄學籍</t>
    <phoneticPr fontId="2" type="noConversion"/>
  </si>
  <si>
    <t>自棄</t>
    <phoneticPr fontId="2" type="noConversion"/>
  </si>
  <si>
    <t>控制一孝</t>
    <phoneticPr fontId="2" type="noConversion"/>
  </si>
  <si>
    <t>電機三仁</t>
    <phoneticPr fontId="2" type="noConversion"/>
  </si>
  <si>
    <t>轉出</t>
    <phoneticPr fontId="2" type="noConversion"/>
  </si>
  <si>
    <t>轉出(莊敬高職)</t>
    <phoneticPr fontId="2" type="noConversion"/>
  </si>
  <si>
    <t>冷凍三忠</t>
    <phoneticPr fontId="2" type="noConversion"/>
  </si>
  <si>
    <t>自棄學籍</t>
    <phoneticPr fontId="2" type="noConversion"/>
  </si>
  <si>
    <t>1102移除</t>
    <phoneticPr fontId="2" type="noConversion"/>
  </si>
  <si>
    <t>控制二孝</t>
    <phoneticPr fontId="2" type="noConversion"/>
  </si>
  <si>
    <t>休學</t>
    <phoneticPr fontId="2" type="noConversion"/>
  </si>
  <si>
    <t>1102移除</t>
    <phoneticPr fontId="2" type="noConversion"/>
  </si>
  <si>
    <t>休學(科系不合)</t>
    <phoneticPr fontId="2" type="noConversion"/>
  </si>
  <si>
    <t>休學</t>
    <phoneticPr fontId="2" type="noConversion"/>
  </si>
  <si>
    <t>休學(無法跟上)</t>
    <phoneticPr fontId="2" type="noConversion"/>
  </si>
  <si>
    <t>電機三忠</t>
    <phoneticPr fontId="2" type="noConversion"/>
  </si>
  <si>
    <t>淡江大學</t>
    <phoneticPr fontId="2" type="noConversion"/>
  </si>
  <si>
    <t>控制一忠</t>
    <phoneticPr fontId="2" type="noConversion"/>
  </si>
  <si>
    <t>自棄學籍</t>
    <phoneticPr fontId="2" type="noConversion"/>
  </si>
  <si>
    <t>冷凍三孝</t>
    <phoneticPr fontId="2" type="noConversion"/>
  </si>
  <si>
    <t>吳長韵</t>
    <phoneticPr fontId="2" type="noConversion"/>
  </si>
  <si>
    <t>王力爲</t>
    <phoneticPr fontId="2" type="noConversion"/>
  </si>
  <si>
    <t>洪培喆</t>
    <phoneticPr fontId="2" type="noConversion"/>
  </si>
  <si>
    <t>*温佳葳</t>
    <phoneticPr fontId="2" type="noConversion"/>
  </si>
  <si>
    <t>盧文聖</t>
    <phoneticPr fontId="2" type="noConversion"/>
  </si>
  <si>
    <t>羅聿凱</t>
    <phoneticPr fontId="2" type="noConversion"/>
  </si>
  <si>
    <t>紀騰㨗</t>
    <phoneticPr fontId="2" type="noConversion"/>
  </si>
  <si>
    <t>冷凍三忠</t>
    <phoneticPr fontId="2" type="noConversion"/>
  </si>
  <si>
    <t>原1091休</t>
    <phoneticPr fontId="2" type="noConversion"/>
  </si>
  <si>
    <t>轉出(開平餐飲)</t>
    <phoneticPr fontId="2" type="noConversion"/>
  </si>
  <si>
    <t>電子二孝</t>
    <phoneticPr fontId="2" type="noConversion"/>
  </si>
  <si>
    <t>陳湘淇</t>
    <phoneticPr fontId="2" type="noConversion"/>
  </si>
  <si>
    <t>081125</t>
    <phoneticPr fontId="2" type="noConversion"/>
  </si>
  <si>
    <t>紀騰㨗</t>
  </si>
  <si>
    <t>電子二孝</t>
    <phoneticPr fontId="2" type="noConversion"/>
  </si>
  <si>
    <t>休學(經濟因素)</t>
    <phoneticPr fontId="2" type="noConversion"/>
  </si>
  <si>
    <t>電機二仁</t>
    <phoneticPr fontId="2" type="noConversion"/>
  </si>
  <si>
    <t>休學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</si>
  <si>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</si>
  <si>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</si>
  <si>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</si>
  <si>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</si>
  <si>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</si>
  <si>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</si>
  <si>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</si>
  <si>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</si>
  <si>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</si>
  <si>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</si>
  <si>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</si>
  <si>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</si>
  <si>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ok</t>
    <phoneticPr fontId="2" type="noConversion"/>
  </si>
  <si>
    <t>資訊二孝</t>
    <phoneticPr fontId="2" type="noConversion"/>
  </si>
  <si>
    <t>轉出</t>
    <phoneticPr fontId="2" type="noConversion"/>
  </si>
  <si>
    <t>1102移除</t>
    <phoneticPr fontId="2" type="noConversion"/>
  </si>
  <si>
    <t>ok</t>
    <phoneticPr fontId="2" type="noConversion"/>
  </si>
  <si>
    <t>轉出</t>
    <phoneticPr fontId="2" type="noConversion"/>
  </si>
  <si>
    <t>控制一孝</t>
    <phoneticPr fontId="2" type="noConversion"/>
  </si>
  <si>
    <t>休學</t>
    <phoneticPr fontId="2" type="noConversion"/>
  </si>
  <si>
    <t>1102移除</t>
    <phoneticPr fontId="2" type="noConversion"/>
  </si>
  <si>
    <t>ok</t>
    <phoneticPr fontId="2" type="noConversion"/>
  </si>
  <si>
    <t>控制二忠</t>
    <phoneticPr fontId="2" type="noConversion"/>
  </si>
  <si>
    <t>1102移除</t>
    <phoneticPr fontId="2" type="noConversion"/>
  </si>
  <si>
    <t>ok</t>
    <phoneticPr fontId="2" type="noConversion"/>
  </si>
  <si>
    <t>電子一愛</t>
    <phoneticPr fontId="2" type="noConversion"/>
  </si>
  <si>
    <t>冷凍一孝</t>
    <phoneticPr fontId="2" type="noConversion"/>
  </si>
  <si>
    <t>電子一愛</t>
    <phoneticPr fontId="2" type="noConversion"/>
  </si>
  <si>
    <t>1102移除</t>
  </si>
  <si>
    <t>休學(生病)</t>
    <phoneticPr fontId="2" type="noConversion"/>
  </si>
  <si>
    <t>電子二愛</t>
    <phoneticPr fontId="2" type="noConversion"/>
  </si>
  <si>
    <t>休學(缺曠過多)</t>
    <phoneticPr fontId="2" type="noConversion"/>
  </si>
  <si>
    <t>冷凍一孝</t>
    <phoneticPr fontId="2" type="noConversion"/>
  </si>
  <si>
    <t>108232</t>
  </si>
  <si>
    <t>108233</t>
  </si>
  <si>
    <t>新增</t>
    <phoneticPr fontId="2" type="noConversion"/>
  </si>
  <si>
    <t>電機一仁</t>
    <phoneticPr fontId="2" type="noConversion"/>
  </si>
  <si>
    <t>江紹愷</t>
  </si>
  <si>
    <t>江紹愷</t>
    <phoneticPr fontId="2" type="noConversion"/>
  </si>
  <si>
    <t>應英二忠</t>
    <phoneticPr fontId="2" type="noConversion"/>
  </si>
  <si>
    <t>轉出(復興商工)</t>
    <phoneticPr fontId="2" type="noConversion"/>
  </si>
  <si>
    <t>謝德禮</t>
    <phoneticPr fontId="2" type="noConversion"/>
  </si>
  <si>
    <t>冷凍一忠</t>
    <phoneticPr fontId="2" type="noConversion"/>
  </si>
  <si>
    <t>應英一孝</t>
    <phoneticPr fontId="2" type="noConversion"/>
  </si>
  <si>
    <t>097127</t>
  </si>
  <si>
    <t>097127</t>
    <phoneticPr fontId="2" type="noConversion"/>
  </si>
  <si>
    <t>梁庭瑋</t>
  </si>
  <si>
    <t>梁庭瑋</t>
    <phoneticPr fontId="2" type="noConversion"/>
  </si>
  <si>
    <t>男</t>
    <phoneticPr fontId="2" type="noConversion"/>
  </si>
  <si>
    <t>電子一仁</t>
    <phoneticPr fontId="2" type="noConversion"/>
  </si>
  <si>
    <t>1111移除</t>
    <phoneticPr fontId="2" type="noConversion"/>
  </si>
  <si>
    <t>冷凍一忠</t>
    <phoneticPr fontId="2" type="noConversion"/>
  </si>
  <si>
    <t>105125</t>
    <phoneticPr fontId="2" type="noConversion"/>
  </si>
  <si>
    <t>原1102休學</t>
    <phoneticPr fontId="2" type="noConversion"/>
  </si>
  <si>
    <t>轉出(康寧五專企業管理)</t>
    <phoneticPr fontId="2" type="noConversion"/>
  </si>
  <si>
    <t>電機一忠</t>
    <phoneticPr fontId="2" type="noConversion"/>
  </si>
  <si>
    <t>轉出</t>
    <phoneticPr fontId="2" type="noConversion"/>
  </si>
  <si>
    <t>轉出</t>
    <phoneticPr fontId="2" type="noConversion"/>
  </si>
  <si>
    <t>轉出</t>
    <phoneticPr fontId="2" type="noConversion"/>
  </si>
  <si>
    <t>休學</t>
    <phoneticPr fontId="2" type="noConversion"/>
  </si>
  <si>
    <t>轉出(教育局自學)</t>
    <phoneticPr fontId="2" type="noConversion"/>
  </si>
  <si>
    <t>電機一孝</t>
    <phoneticPr fontId="2" type="noConversion"/>
  </si>
  <si>
    <t>轉出</t>
    <phoneticPr fontId="2" type="noConversion"/>
  </si>
  <si>
    <t>轉出</t>
    <phoneticPr fontId="2" type="noConversion"/>
  </si>
  <si>
    <t>轉出(康寧五專應用外語科)</t>
    <phoneticPr fontId="2" type="noConversion"/>
  </si>
  <si>
    <t>控制一忠</t>
    <phoneticPr fontId="2" type="noConversion"/>
  </si>
  <si>
    <t>轉出(康寧五專影視動畫)</t>
    <phoneticPr fontId="2" type="noConversion"/>
  </si>
  <si>
    <t>電機一孝</t>
    <phoneticPr fontId="2" type="noConversion"/>
  </si>
  <si>
    <t>轉出(莊敬多媒體動畫科)</t>
    <phoneticPr fontId="2" type="noConversion"/>
  </si>
  <si>
    <t>電機一仁</t>
    <phoneticPr fontId="2" type="noConversion"/>
  </si>
  <si>
    <t>轉出(莊敬高職)</t>
    <phoneticPr fontId="2" type="noConversion"/>
  </si>
  <si>
    <t>控制二忠</t>
    <phoneticPr fontId="2" type="noConversion"/>
  </si>
  <si>
    <t>休學</t>
    <phoneticPr fontId="2" type="noConversion"/>
  </si>
  <si>
    <t>轉出(康寧五專視覺觀光)</t>
    <phoneticPr fontId="2" type="noConversion"/>
  </si>
  <si>
    <t>1111移除(原三日)</t>
    <phoneticPr fontId="2" type="noConversion"/>
  </si>
  <si>
    <t>門服一忠</t>
    <phoneticPr fontId="2" type="noConversion"/>
  </si>
  <si>
    <t>轉出(北市特教)</t>
    <phoneticPr fontId="2" type="noConversion"/>
  </si>
  <si>
    <t>資訊一孝</t>
    <phoneticPr fontId="2" type="noConversion"/>
  </si>
  <si>
    <t>休學</t>
    <phoneticPr fontId="2" type="noConversion"/>
  </si>
  <si>
    <t>電機一孝</t>
    <phoneticPr fontId="2" type="noConversion"/>
  </si>
  <si>
    <t>轉出</t>
    <phoneticPr fontId="2" type="noConversion"/>
  </si>
  <si>
    <t>轉出(康橋國際)</t>
    <phoneticPr fontId="2" type="noConversion"/>
  </si>
  <si>
    <t>電機一忠</t>
    <phoneticPr fontId="2" type="noConversion"/>
  </si>
  <si>
    <t>電機一愛</t>
    <phoneticPr fontId="2" type="noConversion"/>
  </si>
  <si>
    <t>休學(生活作息)</t>
    <phoneticPr fontId="2" type="noConversion"/>
  </si>
  <si>
    <t>控制二孝</t>
    <phoneticPr fontId="2" type="noConversion"/>
  </si>
  <si>
    <t>休學</t>
    <phoneticPr fontId="2" type="noConversion"/>
  </si>
  <si>
    <t>休學</t>
    <phoneticPr fontId="2" type="noConversion"/>
  </si>
  <si>
    <t>休學二</t>
    <phoneticPr fontId="2" type="noConversion"/>
  </si>
  <si>
    <t>資訊一孝</t>
    <phoneticPr fontId="2" type="noConversion"/>
  </si>
  <si>
    <t>控制一孝</t>
    <phoneticPr fontId="2" type="noConversion"/>
  </si>
  <si>
    <t>轉出</t>
    <phoneticPr fontId="2" type="noConversion"/>
  </si>
  <si>
    <t>轉出(景文高中)</t>
    <phoneticPr fontId="2" type="noConversion"/>
  </si>
  <si>
    <t>電子一愛</t>
    <phoneticPr fontId="2" type="noConversion"/>
  </si>
  <si>
    <t>休學(重讀)</t>
    <phoneticPr fontId="2" type="noConversion"/>
  </si>
  <si>
    <t>電子二孝</t>
    <phoneticPr fontId="2" type="noConversion"/>
  </si>
  <si>
    <t>休學(無法跟上)</t>
    <phoneticPr fontId="2" type="noConversion"/>
  </si>
  <si>
    <t>控制一孝</t>
    <phoneticPr fontId="2" type="noConversion"/>
  </si>
  <si>
    <t>電機三仁</t>
    <phoneticPr fontId="2" type="noConversion"/>
  </si>
  <si>
    <t>休學(7日未到校)</t>
    <phoneticPr fontId="2" type="noConversion"/>
  </si>
  <si>
    <t>電機一忠</t>
    <phoneticPr fontId="2" type="noConversion"/>
  </si>
  <si>
    <t>應英一孝</t>
    <phoneticPr fontId="2" type="noConversion"/>
  </si>
  <si>
    <t>資訊一仁</t>
    <phoneticPr fontId="2" type="noConversion"/>
  </si>
  <si>
    <t>許振桓</t>
    <phoneticPr fontId="2" type="noConversion"/>
  </si>
  <si>
    <t>**</t>
    <phoneticPr fontId="2" type="noConversion"/>
  </si>
  <si>
    <t>資訊二仁</t>
    <phoneticPr fontId="2" type="noConversion"/>
  </si>
  <si>
    <t>1111移除</t>
  </si>
  <si>
    <t>休學(科系不合)</t>
  </si>
  <si>
    <t>原1102休學</t>
    <phoneticPr fontId="2" type="noConversion"/>
  </si>
  <si>
    <t>轉出(復興商工)</t>
    <phoneticPr fontId="2" type="noConversion"/>
  </si>
  <si>
    <t>轉出</t>
    <phoneticPr fontId="2" type="noConversion"/>
  </si>
  <si>
    <t>電機二仁</t>
    <phoneticPr fontId="2" type="noConversion"/>
  </si>
  <si>
    <t>轉出</t>
    <phoneticPr fontId="2" type="noConversion"/>
  </si>
  <si>
    <t>轉出(志仁高中)</t>
    <phoneticPr fontId="2" type="noConversion"/>
  </si>
  <si>
    <t>資訊一仁</t>
    <phoneticPr fontId="2" type="noConversion"/>
  </si>
  <si>
    <t>轉出(復興商工)</t>
    <phoneticPr fontId="2" type="noConversion"/>
  </si>
  <si>
    <t>資訊一忠</t>
    <phoneticPr fontId="2" type="noConversion"/>
  </si>
  <si>
    <t>休學(就業)</t>
    <phoneticPr fontId="2" type="noConversion"/>
  </si>
  <si>
    <t>冷凍二孝</t>
    <phoneticPr fontId="2" type="noConversion"/>
  </si>
  <si>
    <t>原1092休</t>
    <phoneticPr fontId="2" type="noConversion"/>
  </si>
  <si>
    <t>轉出(育成高中)</t>
    <phoneticPr fontId="2" type="noConversion"/>
  </si>
  <si>
    <t>電子一孝</t>
    <phoneticPr fontId="2" type="noConversion"/>
  </si>
  <si>
    <t>轉出</t>
    <phoneticPr fontId="2" type="noConversion"/>
  </si>
  <si>
    <t>轉出(景文高中)</t>
    <phoneticPr fontId="2" type="noConversion"/>
  </si>
  <si>
    <t>電機一忠</t>
    <phoneticPr fontId="2" type="noConversion"/>
  </si>
  <si>
    <t>自棄學籍</t>
    <phoneticPr fontId="2" type="noConversion"/>
  </si>
  <si>
    <t>自棄學籍</t>
    <phoneticPr fontId="2" type="noConversion"/>
  </si>
  <si>
    <t>資訊一忠</t>
    <phoneticPr fontId="2" type="noConversion"/>
  </si>
  <si>
    <t>電子二忠</t>
    <phoneticPr fontId="2" type="noConversion"/>
  </si>
  <si>
    <t>轉出(能仁家商)</t>
    <phoneticPr fontId="2" type="noConversion"/>
  </si>
  <si>
    <t>電機一忠</t>
    <phoneticPr fontId="2" type="noConversion"/>
  </si>
  <si>
    <t>101412</t>
  </si>
  <si>
    <t>101419</t>
  </si>
  <si>
    <t>103313</t>
  </si>
  <si>
    <t>104218</t>
  </si>
  <si>
    <t>電子一</t>
    <phoneticPr fontId="2" type="noConversion"/>
  </si>
  <si>
    <t>電機一</t>
    <phoneticPr fontId="2" type="noConversion"/>
  </si>
  <si>
    <t>資訊一</t>
    <phoneticPr fontId="2" type="noConversion"/>
  </si>
  <si>
    <t>控制一</t>
    <phoneticPr fontId="2" type="noConversion"/>
  </si>
  <si>
    <t>冷凍一</t>
    <phoneticPr fontId="2" type="noConversion"/>
  </si>
  <si>
    <t>電子二孝</t>
    <phoneticPr fontId="2" type="noConversion"/>
  </si>
  <si>
    <t>081206</t>
    <phoneticPr fontId="2" type="noConversion"/>
  </si>
  <si>
    <t>江庭暉</t>
    <phoneticPr fontId="2" type="noConversion"/>
  </si>
  <si>
    <t>男</t>
    <phoneticPr fontId="2" type="noConversion"/>
  </si>
  <si>
    <t>電子二</t>
    <phoneticPr fontId="2" type="noConversion"/>
  </si>
  <si>
    <t>二</t>
    <phoneticPr fontId="2" type="noConversion"/>
  </si>
  <si>
    <t>電子二愛</t>
    <phoneticPr fontId="2" type="noConversion"/>
  </si>
  <si>
    <t>091433</t>
    <phoneticPr fontId="2" type="noConversion"/>
  </si>
  <si>
    <t>簡均諺</t>
    <phoneticPr fontId="2" type="noConversion"/>
  </si>
  <si>
    <t>男</t>
    <phoneticPr fontId="2" type="noConversion"/>
  </si>
  <si>
    <t>電子二</t>
    <phoneticPr fontId="2" type="noConversion"/>
  </si>
  <si>
    <t>電機二忠</t>
    <phoneticPr fontId="2" type="noConversion"/>
  </si>
  <si>
    <t>092120</t>
    <phoneticPr fontId="2" type="noConversion"/>
  </si>
  <si>
    <t>曾俊庭</t>
    <phoneticPr fontId="2" type="noConversion"/>
  </si>
  <si>
    <t>電機二</t>
    <phoneticPr fontId="2" type="noConversion"/>
  </si>
  <si>
    <t>冷凍二孝</t>
    <phoneticPr fontId="2" type="noConversion"/>
  </si>
  <si>
    <t>085238</t>
    <phoneticPr fontId="2" type="noConversion"/>
  </si>
  <si>
    <t>冷凍二</t>
    <phoneticPr fontId="2" type="noConversion"/>
  </si>
  <si>
    <t>轉學生</t>
    <phoneticPr fontId="2" type="noConversion"/>
  </si>
  <si>
    <t>私立方濟中學</t>
  </si>
  <si>
    <t>廖成化</t>
  </si>
  <si>
    <t>私立景文高中</t>
  </si>
  <si>
    <t>應英二</t>
    <phoneticPr fontId="2" type="noConversion"/>
  </si>
  <si>
    <t>新增，編學號</t>
    <phoneticPr fontId="2" type="noConversion"/>
  </si>
  <si>
    <t>微電二忠</t>
  </si>
  <si>
    <t>微電二忠</t>
    <phoneticPr fontId="2" type="noConversion"/>
  </si>
  <si>
    <t>王一竹</t>
  </si>
  <si>
    <t>*尹孟慈</t>
  </si>
  <si>
    <t>吳啟睿</t>
  </si>
  <si>
    <t>江亞恆</t>
  </si>
  <si>
    <t>王茂庭</t>
  </si>
  <si>
    <t>王楷鈞</t>
  </si>
  <si>
    <t>王志祐</t>
  </si>
  <si>
    <t>王駿賢</t>
  </si>
  <si>
    <t>方偉安</t>
  </si>
  <si>
    <t>王上豪</t>
  </si>
  <si>
    <t>丁翊祐</t>
  </si>
  <si>
    <t>丁立倫</t>
  </si>
  <si>
    <t>于致鋐</t>
  </si>
  <si>
    <t>方郁祥</t>
  </si>
  <si>
    <t>王經綸</t>
  </si>
  <si>
    <t>方嘉俊</t>
  </si>
  <si>
    <t>王宥勝</t>
  </si>
  <si>
    <t>李宗宥</t>
  </si>
  <si>
    <t>江宇桀</t>
  </si>
  <si>
    <t>王奕帷</t>
  </si>
  <si>
    <t>毛有朋</t>
  </si>
  <si>
    <t>宋宥成</t>
  </si>
  <si>
    <t>*江雨倢</t>
  </si>
  <si>
    <t>王博正</t>
  </si>
  <si>
    <t>吳承紘</t>
  </si>
  <si>
    <t>成祥</t>
  </si>
  <si>
    <t>江星也</t>
  </si>
  <si>
    <t>王俊挺</t>
  </si>
  <si>
    <t>朱定宇</t>
  </si>
  <si>
    <t>王式恩</t>
  </si>
  <si>
    <t>方學智</t>
  </si>
  <si>
    <t>王子嘉</t>
  </si>
  <si>
    <t>王竑鈞</t>
  </si>
  <si>
    <t>古庭睿</t>
  </si>
  <si>
    <t>王善平</t>
  </si>
  <si>
    <t>*王萱</t>
  </si>
  <si>
    <t>李寅森</t>
  </si>
  <si>
    <t>吳柏澄</t>
  </si>
  <si>
    <t>王思惟</t>
  </si>
  <si>
    <t>李政佑</t>
  </si>
  <si>
    <t>何孟翰</t>
  </si>
  <si>
    <t>江政晏</t>
  </si>
  <si>
    <t>呂宥琛</t>
  </si>
  <si>
    <t>余厚恩</t>
  </si>
  <si>
    <t>吳仲達</t>
  </si>
  <si>
    <t>王柏崴</t>
  </si>
  <si>
    <t>朱俊憲</t>
  </si>
  <si>
    <t>*石瑀涵</t>
  </si>
  <si>
    <t>仲崇銘</t>
  </si>
  <si>
    <t>王健毅</t>
  </si>
  <si>
    <t>何彥良</t>
  </si>
  <si>
    <t>白振佑</t>
  </si>
  <si>
    <t>江峻瑋</t>
  </si>
  <si>
    <t>朱錡鋒</t>
  </si>
  <si>
    <t>*林佑宣</t>
  </si>
  <si>
    <t>吳勝楷</t>
  </si>
  <si>
    <t>*王柏云</t>
  </si>
  <si>
    <t>朱柏澄</t>
  </si>
  <si>
    <t>周子翔</t>
  </si>
  <si>
    <t>*吳奕璇</t>
  </si>
  <si>
    <t>李宗胤</t>
  </si>
  <si>
    <t>李辰宥</t>
  </si>
  <si>
    <t>吳宇竣</t>
  </si>
  <si>
    <t>吳東信</t>
  </si>
  <si>
    <t>王家興</t>
  </si>
  <si>
    <t>*吳佳頤</t>
  </si>
  <si>
    <t>何皓文</t>
  </si>
  <si>
    <t>江尚豈</t>
  </si>
  <si>
    <t>王復康</t>
  </si>
  <si>
    <t>李昶毅</t>
  </si>
  <si>
    <t>江晨佑</t>
  </si>
  <si>
    <t>何天平</t>
  </si>
  <si>
    <t>林冠丞</t>
  </si>
  <si>
    <t>呂致遠</t>
  </si>
  <si>
    <t>王致元</t>
  </si>
  <si>
    <t>朱麒文</t>
  </si>
  <si>
    <t>呂杰儒</t>
  </si>
  <si>
    <t>周旭照</t>
  </si>
  <si>
    <t>李宜璁</t>
  </si>
  <si>
    <t>吳宥墡</t>
  </si>
  <si>
    <t>吳禹叡</t>
  </si>
  <si>
    <t>王關翔</t>
  </si>
  <si>
    <t>吳軒宇</t>
  </si>
  <si>
    <t>吳宸宇</t>
  </si>
  <si>
    <t>江冠佑</t>
  </si>
  <si>
    <t>宋昱霖</t>
  </si>
  <si>
    <t>呂思翰</t>
  </si>
  <si>
    <t>吳禹寰</t>
  </si>
  <si>
    <t>*何思瑢</t>
  </si>
  <si>
    <t>郭上瑜</t>
  </si>
  <si>
    <t>李偉哲</t>
  </si>
  <si>
    <t>王唯安</t>
  </si>
  <si>
    <t>吳祈恩</t>
  </si>
  <si>
    <t>林廷翰</t>
  </si>
  <si>
    <t>李承侑</t>
  </si>
  <si>
    <t>林泓德</t>
  </si>
  <si>
    <t>李恆寬</t>
  </si>
  <si>
    <t>李銓祐</t>
  </si>
  <si>
    <t>李承展</t>
  </si>
  <si>
    <t>江鈞泰</t>
  </si>
  <si>
    <t>巫政紘</t>
  </si>
  <si>
    <t>吳宸寬</t>
  </si>
  <si>
    <t>吳宗翰</t>
  </si>
  <si>
    <t>李永晢</t>
  </si>
  <si>
    <t>宋奕緯</t>
  </si>
  <si>
    <t>林伯謙</t>
  </si>
  <si>
    <t>吳浚宇</t>
  </si>
  <si>
    <t>陳力愷</t>
  </si>
  <si>
    <t>林其緯</t>
  </si>
  <si>
    <t>王智佑</t>
  </si>
  <si>
    <t>呂明叡</t>
  </si>
  <si>
    <t>林昊謙</t>
  </si>
  <si>
    <t>*李芷菡</t>
  </si>
  <si>
    <t>李涔郡</t>
  </si>
  <si>
    <t>周暐程</t>
  </si>
  <si>
    <t>李季錞</t>
  </si>
  <si>
    <t>周祐成</t>
  </si>
  <si>
    <t>李帛紘</t>
  </si>
  <si>
    <t>吳秉融</t>
  </si>
  <si>
    <t>李宜享</t>
  </si>
  <si>
    <t>周榮榆</t>
  </si>
  <si>
    <t>林承信</t>
  </si>
  <si>
    <t>沈均祐</t>
  </si>
  <si>
    <t>*李品嫻</t>
  </si>
  <si>
    <t>*陳姿廷</t>
  </si>
  <si>
    <t>林哲葦</t>
  </si>
  <si>
    <t>吳承峻</t>
  </si>
  <si>
    <t>呂宸寬</t>
  </si>
  <si>
    <t>*林知儀</t>
  </si>
  <si>
    <t>李恩哲</t>
  </si>
  <si>
    <t>*林盈佑</t>
  </si>
  <si>
    <t>周敬祐</t>
  </si>
  <si>
    <t>林冠宇</t>
  </si>
  <si>
    <t>林威宇</t>
  </si>
  <si>
    <t>李致凱</t>
  </si>
  <si>
    <t>林立杰</t>
  </si>
  <si>
    <t>李彥勳</t>
  </si>
  <si>
    <t>*吳瑞琪</t>
  </si>
  <si>
    <t>李品澔</t>
  </si>
  <si>
    <t>林文義</t>
  </si>
  <si>
    <t>林家陞</t>
  </si>
  <si>
    <t>*周小箏</t>
  </si>
  <si>
    <t>*周子盈</t>
  </si>
  <si>
    <t>林家亨</t>
  </si>
  <si>
    <t>吳冠佑</t>
  </si>
  <si>
    <t>*李昀螢</t>
  </si>
  <si>
    <t>*林芷妍</t>
  </si>
  <si>
    <t>李翔霖</t>
  </si>
  <si>
    <t>林佑燁</t>
  </si>
  <si>
    <t>林奕呈</t>
  </si>
  <si>
    <t>林義軒</t>
  </si>
  <si>
    <t>李嘉斌</t>
  </si>
  <si>
    <t>洪彥臣</t>
  </si>
  <si>
    <t>林至瀚</t>
  </si>
  <si>
    <t>*李沁華</t>
  </si>
  <si>
    <t>李羿陞</t>
  </si>
  <si>
    <t>林宏洋</t>
  </si>
  <si>
    <t>林詠棋</t>
  </si>
  <si>
    <t>林子恆</t>
  </si>
  <si>
    <t>*林亞樺</t>
  </si>
  <si>
    <t>黃子峻</t>
  </si>
  <si>
    <t>姚勝胘</t>
  </si>
  <si>
    <t>吳冠興</t>
  </si>
  <si>
    <t>李長鴻</t>
  </si>
  <si>
    <t>姚定為</t>
  </si>
  <si>
    <t>*杜東卉</t>
  </si>
  <si>
    <t>林暐倫</t>
  </si>
  <si>
    <t>林柏勝</t>
  </si>
  <si>
    <t>林權鋐</t>
  </si>
  <si>
    <t>侯鼎為</t>
  </si>
  <si>
    <t>李穎翰</t>
  </si>
  <si>
    <t>范廷睿</t>
  </si>
  <si>
    <t>林定甫</t>
  </si>
  <si>
    <t>李松嶽</t>
  </si>
  <si>
    <t>周秉毅</t>
  </si>
  <si>
    <t>邱子瑞</t>
  </si>
  <si>
    <t>林逸惟</t>
  </si>
  <si>
    <t>*林芷君</t>
  </si>
  <si>
    <t>*林映彤</t>
  </si>
  <si>
    <t>廖奕鈞</t>
  </si>
  <si>
    <t>*陳盈霏</t>
  </si>
  <si>
    <t>吳書齊</t>
  </si>
  <si>
    <t>周昱勛</t>
  </si>
  <si>
    <t>洪子翔</t>
  </si>
  <si>
    <t>沈書亞</t>
  </si>
  <si>
    <t>邱元廷</t>
  </si>
  <si>
    <t>邵崧恩</t>
  </si>
  <si>
    <t>凃俊安</t>
  </si>
  <si>
    <t>胡瀚仁</t>
  </si>
  <si>
    <t>杜宸睿</t>
  </si>
  <si>
    <t>唐立杰</t>
  </si>
  <si>
    <t>林秉賢</t>
  </si>
  <si>
    <t>李柏儀</t>
  </si>
  <si>
    <t>周駿期</t>
  </si>
  <si>
    <t>洪進德</t>
  </si>
  <si>
    <t>林楓晟</t>
  </si>
  <si>
    <t>*林彥妤</t>
  </si>
  <si>
    <t>洪博韻</t>
  </si>
  <si>
    <t>盧昱翔</t>
  </si>
  <si>
    <t>*陳皓萱</t>
  </si>
  <si>
    <t>*李喆方</t>
  </si>
  <si>
    <t>林承慶</t>
  </si>
  <si>
    <t>夏昌楷</t>
  </si>
  <si>
    <t>沈翊全</t>
  </si>
  <si>
    <t>*邱郁涵</t>
  </si>
  <si>
    <t>洪農翔</t>
  </si>
  <si>
    <t>馬可宸</t>
  </si>
  <si>
    <t>徐慶翔</t>
  </si>
  <si>
    <t>林正原</t>
  </si>
  <si>
    <t>唐鼎翰</t>
  </si>
  <si>
    <t>林品翔</t>
  </si>
  <si>
    <t>李浩瑋</t>
  </si>
  <si>
    <t>林世勳</t>
  </si>
  <si>
    <t>孫惟忠</t>
  </si>
  <si>
    <t>邱威荏</t>
  </si>
  <si>
    <t>*范婷宇</t>
  </si>
  <si>
    <t>*洪薇礎</t>
  </si>
  <si>
    <t>彭守澤</t>
  </si>
  <si>
    <t>李謝其翃</t>
  </si>
  <si>
    <t>林俊安</t>
  </si>
  <si>
    <t>孫萬霖</t>
  </si>
  <si>
    <t>周禹宏</t>
  </si>
  <si>
    <t>邱浩閔</t>
  </si>
  <si>
    <t>范昊言</t>
  </si>
  <si>
    <t>康柏叡</t>
  </si>
  <si>
    <t>徐麟凱</t>
  </si>
  <si>
    <t>林佑丞</t>
  </si>
  <si>
    <t>桑柏宇</t>
  </si>
  <si>
    <t>*林靖芬</t>
  </si>
  <si>
    <t>周眞德</t>
  </si>
  <si>
    <t>林侑謙</t>
  </si>
  <si>
    <t>張惟宏</t>
  </si>
  <si>
    <t>侯凱鈞</t>
  </si>
  <si>
    <t>*徐佩妤</t>
  </si>
  <si>
    <t>*涂安喬</t>
  </si>
  <si>
    <t>潘奎亨</t>
  </si>
  <si>
    <t>周劭諺</t>
  </si>
  <si>
    <t>林彥佑</t>
  </si>
  <si>
    <t>徐瑋駿</t>
  </si>
  <si>
    <t>洪翊翔</t>
  </si>
  <si>
    <t>洪偉庭</t>
  </si>
  <si>
    <t>高墀宇</t>
  </si>
  <si>
    <t>張允執</t>
  </si>
  <si>
    <t>高丞佑</t>
  </si>
  <si>
    <t>林均泰</t>
  </si>
  <si>
    <t>康祐宇</t>
  </si>
  <si>
    <t>范哲睿</t>
  </si>
  <si>
    <t>林廷威</t>
  </si>
  <si>
    <t>邱奕國</t>
  </si>
  <si>
    <t>張智鈞</t>
  </si>
  <si>
    <t>秦銘均</t>
  </si>
  <si>
    <t>高碩廷</t>
  </si>
  <si>
    <t>張晉嘉</t>
  </si>
  <si>
    <t>蔡銘育</t>
  </si>
  <si>
    <t>林楷哲</t>
  </si>
  <si>
    <t>洪晟祐</t>
  </si>
  <si>
    <t>張允瀚</t>
  </si>
  <si>
    <t>*翁子涵</t>
  </si>
  <si>
    <t>高富聖</t>
  </si>
  <si>
    <t>張永聖</t>
  </si>
  <si>
    <t>張志宥</t>
  </si>
  <si>
    <t>張沛</t>
  </si>
  <si>
    <t>張獻文</t>
  </si>
  <si>
    <t>張劭宇</t>
  </si>
  <si>
    <t>郁昊明</t>
  </si>
  <si>
    <t>施正佑</t>
  </si>
  <si>
    <t>俞佑杰</t>
  </si>
  <si>
    <t>張誌軒</t>
  </si>
  <si>
    <t>翁世群</t>
  </si>
  <si>
    <t>*張怡雯</t>
  </si>
  <si>
    <t>*張曉築</t>
  </si>
  <si>
    <t>蕭永之</t>
  </si>
  <si>
    <t>倪詣超</t>
  </si>
  <si>
    <t>夏紳凱</t>
  </si>
  <si>
    <t>許嘉文</t>
  </si>
  <si>
    <t>張丞劭</t>
  </si>
  <si>
    <t>張博鈞</t>
  </si>
  <si>
    <t>曹峰嘉</t>
  </si>
  <si>
    <t>張書豪</t>
  </si>
  <si>
    <t>張瑋恆</t>
  </si>
  <si>
    <t>梁允澄</t>
  </si>
  <si>
    <t>張珈愷</t>
  </si>
  <si>
    <t>唐學涵</t>
  </si>
  <si>
    <t>*洪珮珊</t>
  </si>
  <si>
    <t>胡睿恩</t>
  </si>
  <si>
    <t>莊晨希</t>
  </si>
  <si>
    <t>張為皓</t>
  </si>
  <si>
    <t>*梁韵妍</t>
  </si>
  <si>
    <t>*莊喬晳</t>
  </si>
  <si>
    <t>*徐瑄璟</t>
  </si>
  <si>
    <t>張廷睿</t>
  </si>
  <si>
    <t>陳宇翔</t>
  </si>
  <si>
    <t>*張晏寧</t>
  </si>
  <si>
    <t>張舜齊</t>
  </si>
  <si>
    <t>梁代泓</t>
  </si>
  <si>
    <t>許展瑞</t>
  </si>
  <si>
    <t>陳宜康</t>
  </si>
  <si>
    <t>*莊喆晴</t>
  </si>
  <si>
    <t>張祐銓</t>
  </si>
  <si>
    <t>張友銘</t>
  </si>
  <si>
    <t>范庭瑞</t>
  </si>
  <si>
    <t>袁翊宸</t>
  </si>
  <si>
    <t>許君豪</t>
  </si>
  <si>
    <t>張嘉恩</t>
  </si>
  <si>
    <t>連偉勝</t>
  </si>
  <si>
    <t>崔伯漢</t>
  </si>
  <si>
    <t>陳溢希</t>
  </si>
  <si>
    <t>強正弘</t>
  </si>
  <si>
    <t>*張慈心</t>
  </si>
  <si>
    <t>梁程鈞</t>
  </si>
  <si>
    <t>許凱崴</t>
  </si>
  <si>
    <t>陳冠瑋</t>
  </si>
  <si>
    <t>*許怡楨</t>
  </si>
  <si>
    <t>張瑋翔</t>
  </si>
  <si>
    <t>張惟喆</t>
  </si>
  <si>
    <t>張宸睿</t>
  </si>
  <si>
    <t>高詩凱</t>
  </si>
  <si>
    <t>許皓凱</t>
  </si>
  <si>
    <t>許博翔</t>
  </si>
  <si>
    <t>*許以樂</t>
  </si>
  <si>
    <t>*郭芊妤</t>
  </si>
  <si>
    <t>張元碩</t>
  </si>
  <si>
    <t>張濬澤</t>
  </si>
  <si>
    <t>曾浚凱</t>
  </si>
  <si>
    <t>陳其佑</t>
  </si>
  <si>
    <t>梁恩祐</t>
  </si>
  <si>
    <t>莊仃志</t>
  </si>
  <si>
    <t>郭秉豐</t>
  </si>
  <si>
    <t>陳威丞</t>
  </si>
  <si>
    <t>許柏安</t>
  </si>
  <si>
    <t>張譯</t>
  </si>
  <si>
    <t>梁允平</t>
  </si>
  <si>
    <t>張恭豪</t>
  </si>
  <si>
    <t>張大澤</t>
  </si>
  <si>
    <t>郭家宇</t>
  </si>
  <si>
    <t>郭宗騰</t>
  </si>
  <si>
    <t>許家碩</t>
  </si>
  <si>
    <t>陳育寬</t>
  </si>
  <si>
    <t>郭承澔</t>
  </si>
  <si>
    <t>*莊湘淇</t>
  </si>
  <si>
    <t>*曾筠鈞</t>
  </si>
  <si>
    <t>陳亮冀</t>
  </si>
  <si>
    <t>許喆凱</t>
  </si>
  <si>
    <t>許耀陽</t>
  </si>
  <si>
    <t>陳君豪</t>
  </si>
  <si>
    <t>許書郡</t>
  </si>
  <si>
    <t>梁育瑋</t>
  </si>
  <si>
    <t>莫祖安</t>
  </si>
  <si>
    <t>梁哲瑋</t>
  </si>
  <si>
    <t>陳司翰</t>
  </si>
  <si>
    <t>陳信憲</t>
  </si>
  <si>
    <t>陳俊延</t>
  </si>
  <si>
    <t>*連涴儀</t>
  </si>
  <si>
    <t>陳冠希</t>
  </si>
  <si>
    <t>陳仕恩</t>
  </si>
  <si>
    <t>許元麒</t>
  </si>
  <si>
    <t>*黃品潔</t>
  </si>
  <si>
    <t>陳俍駿</t>
  </si>
  <si>
    <t>*許寧心</t>
  </si>
  <si>
    <t>郭丞志</t>
  </si>
  <si>
    <t>陳俊佑</t>
  </si>
  <si>
    <t>陳昱辰</t>
  </si>
  <si>
    <t>許軒倫</t>
  </si>
  <si>
    <t>許睿翔</t>
  </si>
  <si>
    <t>許聖鴻</t>
  </si>
  <si>
    <t>許哲綸</t>
  </si>
  <si>
    <t>陳奕豪</t>
  </si>
  <si>
    <t>陳譯</t>
  </si>
  <si>
    <t>*陳宥筑</t>
  </si>
  <si>
    <t>*許恩慈</t>
  </si>
  <si>
    <t>黃柏閎</t>
  </si>
  <si>
    <t>陳茂榮</t>
  </si>
  <si>
    <t>許懷升</t>
  </si>
  <si>
    <t>郭承恩</t>
  </si>
  <si>
    <t>陳柏熏</t>
  </si>
  <si>
    <t>陳柏橋</t>
  </si>
  <si>
    <t>陳人愷</t>
  </si>
  <si>
    <t>郭彥宏</t>
  </si>
  <si>
    <t>陳羽佑</t>
  </si>
  <si>
    <t>*許桐瑄</t>
  </si>
  <si>
    <t>陳宥維</t>
  </si>
  <si>
    <t>*陳渝恩</t>
  </si>
  <si>
    <t>彭竑叡</t>
  </si>
  <si>
    <t>*陳映潔</t>
  </si>
  <si>
    <t>陳品佑</t>
  </si>
  <si>
    <t>陳旻佑</t>
  </si>
  <si>
    <t>黃紳富</t>
  </si>
  <si>
    <t>陸承佑</t>
  </si>
  <si>
    <t>陳哲佳</t>
  </si>
  <si>
    <t>陳劭恩</t>
  </si>
  <si>
    <t>陳柏諺</t>
  </si>
  <si>
    <t>陳明琦</t>
  </si>
  <si>
    <t>*郭睿晴</t>
  </si>
  <si>
    <t>陳澤霆</t>
  </si>
  <si>
    <t>陳佑竑</t>
  </si>
  <si>
    <t>陳郁仁</t>
  </si>
  <si>
    <t>曾暐文</t>
  </si>
  <si>
    <t>*陳昱蓉</t>
  </si>
  <si>
    <t>陳品宏</t>
  </si>
  <si>
    <t>陳品鈞</t>
  </si>
  <si>
    <t>陳昱霖</t>
  </si>
  <si>
    <t>楊士霆</t>
  </si>
  <si>
    <t>游閎博</t>
  </si>
  <si>
    <t>黃宥恩</t>
  </si>
  <si>
    <t>陳竑睿</t>
  </si>
  <si>
    <t>曾柏霖</t>
  </si>
  <si>
    <t>陳均睿</t>
  </si>
  <si>
    <t>彭念祖</t>
  </si>
  <si>
    <t>陳秉言</t>
  </si>
  <si>
    <t>陳驛</t>
  </si>
  <si>
    <t>黃予禾</t>
  </si>
  <si>
    <t>黃英豪</t>
  </si>
  <si>
    <t>曾秉佑</t>
  </si>
  <si>
    <t>*陳彥云</t>
  </si>
  <si>
    <t>陳弈翔</t>
  </si>
  <si>
    <t>陳敬維</t>
  </si>
  <si>
    <t>*楊淳閔</t>
  </si>
  <si>
    <t>黃威傑</t>
  </si>
  <si>
    <t>黃茂展</t>
  </si>
  <si>
    <t>陳則安</t>
  </si>
  <si>
    <t>陳韋志</t>
  </si>
  <si>
    <t>黃子宸</t>
  </si>
  <si>
    <t>陳迦勒</t>
  </si>
  <si>
    <t>陳明佑</t>
  </si>
  <si>
    <t>游翔凱</t>
  </si>
  <si>
    <t>陳品錡</t>
  </si>
  <si>
    <t>温致威</t>
  </si>
  <si>
    <t>*黃心亞</t>
  </si>
  <si>
    <t>葉子平</t>
  </si>
  <si>
    <t>黃子恩</t>
  </si>
  <si>
    <t>*陳昱晴</t>
  </si>
  <si>
    <t>黃奕勝</t>
  </si>
  <si>
    <t>黃鼎祐</t>
  </si>
  <si>
    <t>葉宇翔</t>
  </si>
  <si>
    <t>楊欣軒</t>
  </si>
  <si>
    <t>黃家維</t>
  </si>
  <si>
    <t>陳畇佑</t>
  </si>
  <si>
    <t>陳貫宇</t>
  </si>
  <si>
    <t>黃世紘</t>
  </si>
  <si>
    <t>楊鈞睿</t>
  </si>
  <si>
    <t>陳宣愷</t>
  </si>
  <si>
    <t>賀泓鈞</t>
  </si>
  <si>
    <t>陳庠驊</t>
  </si>
  <si>
    <t>黃丞毅</t>
  </si>
  <si>
    <t>鄒亞豫</t>
  </si>
  <si>
    <t>黃民賢</t>
  </si>
  <si>
    <t>*陳楀晴</t>
  </si>
  <si>
    <t>黃靖勲</t>
  </si>
  <si>
    <t>楊承錫</t>
  </si>
  <si>
    <t>劉信廷</t>
  </si>
  <si>
    <t>楊柏志</t>
  </si>
  <si>
    <t>黃祥恩</t>
  </si>
  <si>
    <t>黃柏誠</t>
  </si>
  <si>
    <t>陶宇軒</t>
  </si>
  <si>
    <t>黃俊嘉</t>
  </si>
  <si>
    <t>董承翰</t>
  </si>
  <si>
    <t>*陳籽涵</t>
  </si>
  <si>
    <t>黃彥瑾</t>
  </si>
  <si>
    <t>陳祈瑞</t>
  </si>
  <si>
    <t>童睿騰</t>
  </si>
  <si>
    <t>黃柏皓</t>
  </si>
  <si>
    <t>廖冠宇</t>
  </si>
  <si>
    <t>黃崇睿</t>
  </si>
  <si>
    <t>*陳詩佳</t>
  </si>
  <si>
    <t>楊杰霖</t>
  </si>
  <si>
    <t>*葉幸恩</t>
  </si>
  <si>
    <t>蔡辰澤</t>
  </si>
  <si>
    <t>廖育志</t>
  </si>
  <si>
    <t>黃楷崴</t>
  </si>
  <si>
    <t>楊睿綸</t>
  </si>
  <si>
    <t>曾柏銨</t>
  </si>
  <si>
    <t>黃昱量</t>
  </si>
  <si>
    <t>劉佳瑋</t>
  </si>
  <si>
    <t>陳富翔</t>
  </si>
  <si>
    <t>黃逸安</t>
  </si>
  <si>
    <t>陳竑安</t>
  </si>
  <si>
    <t>楊呈翊</t>
  </si>
  <si>
    <t>黃偉豪</t>
  </si>
  <si>
    <t>劉崇志</t>
  </si>
  <si>
    <t>*劉名恩</t>
  </si>
  <si>
    <t>*黃睿宜</t>
  </si>
  <si>
    <t>楊東翰</t>
  </si>
  <si>
    <t>鄒宜錦</t>
  </si>
  <si>
    <t>蔡侑廷</t>
  </si>
  <si>
    <t>趙律旻</t>
  </si>
  <si>
    <t>*黃語薰</t>
  </si>
  <si>
    <t>楊豐禾</t>
  </si>
  <si>
    <t>黃廷敬</t>
  </si>
  <si>
    <t>黃浩睿</t>
  </si>
  <si>
    <t>劉尚恩</t>
  </si>
  <si>
    <t>楊之漢</t>
  </si>
  <si>
    <t>黃德炫</t>
  </si>
  <si>
    <t>葉杰宸</t>
  </si>
  <si>
    <t>楊傑善</t>
  </si>
  <si>
    <t>*楊芸瑄</t>
  </si>
  <si>
    <t>蔡宇翰</t>
  </si>
  <si>
    <t>*劉宜臻</t>
  </si>
  <si>
    <t>*楊淋鈞</t>
  </si>
  <si>
    <t>廖柏瑋</t>
  </si>
  <si>
    <t>廖允成</t>
  </si>
  <si>
    <t>蔡政誠</t>
  </si>
  <si>
    <t>劉宇瀚</t>
  </si>
  <si>
    <t>楊竣詠</t>
  </si>
  <si>
    <t>詹盛宇</t>
  </si>
  <si>
    <t>黃珉碩</t>
  </si>
  <si>
    <t>楊展鈞</t>
  </si>
  <si>
    <t>劉長兀</t>
  </si>
  <si>
    <t>楊證錩</t>
  </si>
  <si>
    <t>黃譯霆</t>
  </si>
  <si>
    <t>詹秉叡</t>
  </si>
  <si>
    <t>葉宥澤</t>
  </si>
  <si>
    <t>葉政穎</t>
  </si>
  <si>
    <t>蔡念成</t>
  </si>
  <si>
    <t>*蔡佩岑</t>
  </si>
  <si>
    <t>蔡定綸</t>
  </si>
  <si>
    <t>*廖若晴</t>
  </si>
  <si>
    <t>廖浩翔</t>
  </si>
  <si>
    <t>鄭景升</t>
  </si>
  <si>
    <t>蔡昌翰</t>
  </si>
  <si>
    <t>董柏洋</t>
  </si>
  <si>
    <t>劉昊</t>
  </si>
  <si>
    <t>葉奇沅</t>
  </si>
  <si>
    <t>楊恩勝</t>
  </si>
  <si>
    <t>蔡奇學</t>
  </si>
  <si>
    <t>詹育臨</t>
  </si>
  <si>
    <t>楊城傅</t>
  </si>
  <si>
    <t>劉宇翔</t>
  </si>
  <si>
    <t>廖威利</t>
  </si>
  <si>
    <t>葉柏李</t>
  </si>
  <si>
    <t>鄭宏杰</t>
  </si>
  <si>
    <t>*蕭鈺庭</t>
  </si>
  <si>
    <t>*蔡宜蓁</t>
  </si>
  <si>
    <t>趙翊傑</t>
  </si>
  <si>
    <t>*蒲姸秀</t>
  </si>
  <si>
    <t>盧子皓</t>
  </si>
  <si>
    <t>蔡宥安</t>
  </si>
  <si>
    <t>*廖心萍</t>
  </si>
  <si>
    <t>蔡正宇</t>
  </si>
  <si>
    <t>歐柏宏</t>
  </si>
  <si>
    <t>葉恩瑀</t>
  </si>
  <si>
    <t>*蔡嘉心</t>
  </si>
  <si>
    <t>雷凱恩</t>
  </si>
  <si>
    <t>楊宥興</t>
  </si>
  <si>
    <t>潘世睿</t>
  </si>
  <si>
    <t>劉彦德</t>
  </si>
  <si>
    <t>廖仕玄</t>
  </si>
  <si>
    <t>鄭睿安</t>
  </si>
  <si>
    <t>*賴佳惠</t>
  </si>
  <si>
    <t>*魏予寘</t>
  </si>
  <si>
    <t>鄭丞展</t>
  </si>
  <si>
    <t>趙昕宥</t>
  </si>
  <si>
    <t>賴浩宇</t>
  </si>
  <si>
    <t>蔡翰莛</t>
  </si>
  <si>
    <t>蔡承哲</t>
  </si>
  <si>
    <t>蔡定恩</t>
  </si>
  <si>
    <t>詹鈡棠</t>
  </si>
  <si>
    <t>鄭穎聰</t>
  </si>
  <si>
    <t>劉冠廷</t>
  </si>
  <si>
    <t>楊靜宥</t>
  </si>
  <si>
    <t>*潘思宣</t>
  </si>
  <si>
    <t>劉倚廷</t>
  </si>
  <si>
    <t>盧翊函</t>
  </si>
  <si>
    <t>*謝雅竹</t>
  </si>
  <si>
    <t>饒孝澤</t>
  </si>
  <si>
    <t>蕭米杉</t>
  </si>
  <si>
    <t>趙宥維</t>
  </si>
  <si>
    <t>藍子翔</t>
  </si>
  <si>
    <t>鄭庭義</t>
  </si>
  <si>
    <t>劉宥里</t>
  </si>
  <si>
    <t>賴建廷</t>
  </si>
  <si>
    <t>蔡濬澤</t>
  </si>
  <si>
    <t>廖彥欽</t>
  </si>
  <si>
    <t>瞿天予</t>
  </si>
  <si>
    <t>鄭兆翔</t>
  </si>
  <si>
    <t>廖昱惟</t>
  </si>
  <si>
    <t>潘鈺安</t>
  </si>
  <si>
    <t>謝柏暘</t>
  </si>
  <si>
    <t>潘紘宇</t>
  </si>
  <si>
    <t>蕭玟涱</t>
  </si>
  <si>
    <t>賴威翔</t>
  </si>
  <si>
    <t>魏于翔</t>
  </si>
  <si>
    <t>穆乙文</t>
  </si>
  <si>
    <t>練廷緯</t>
  </si>
  <si>
    <t>簡浩宇</t>
  </si>
  <si>
    <t>鄭宇昊</t>
  </si>
  <si>
    <t>廖彥碩</t>
  </si>
  <si>
    <t>魏君翰</t>
  </si>
  <si>
    <t>賴啟斌</t>
  </si>
  <si>
    <t>*劉芷妡</t>
  </si>
  <si>
    <t>鄭景鴻</t>
  </si>
  <si>
    <t>賴家靖</t>
  </si>
  <si>
    <t>謝宇喆</t>
  </si>
  <si>
    <t>*賴頤薰</t>
  </si>
  <si>
    <t>賴德略</t>
  </si>
  <si>
    <t>羅立祥</t>
  </si>
  <si>
    <t>羅義恭</t>
  </si>
  <si>
    <t>謝仲維</t>
  </si>
  <si>
    <t>顏宸以</t>
  </si>
  <si>
    <t>鄭宇倫</t>
  </si>
  <si>
    <t>廖翊辰</t>
  </si>
  <si>
    <t>羅弘遠</t>
  </si>
  <si>
    <t>謝鎮鴻</t>
  </si>
  <si>
    <t>賴冠銘</t>
  </si>
  <si>
    <t>鄭閔瀚</t>
  </si>
  <si>
    <t>羅益成</t>
  </si>
  <si>
    <t>應翔恩</t>
  </si>
  <si>
    <t>韓周彥</t>
  </si>
  <si>
    <t>簡郁庭</t>
  </si>
  <si>
    <t>謝嘉恩</t>
  </si>
  <si>
    <t>簡旭中</t>
  </si>
  <si>
    <t>蘇培凱</t>
  </si>
  <si>
    <t>鄭安佑</t>
  </si>
  <si>
    <t>劉秀泰</t>
  </si>
  <si>
    <t>*鐘文伶</t>
  </si>
  <si>
    <t>羅文鴻</t>
  </si>
  <si>
    <t>戴家銘</t>
  </si>
  <si>
    <t>*賴思伃</t>
  </si>
  <si>
    <t>羅勝耀</t>
  </si>
  <si>
    <t>謝秉融</t>
  </si>
  <si>
    <t>簡鉦沅</t>
  </si>
  <si>
    <t>顏名駿</t>
  </si>
  <si>
    <t>戴佑叡</t>
  </si>
  <si>
    <t>歐陽哲</t>
  </si>
  <si>
    <t>龔雋庭</t>
  </si>
  <si>
    <t>藍允辰</t>
  </si>
  <si>
    <t>羅楷閎</t>
  </si>
  <si>
    <t>龔哲民</t>
  </si>
  <si>
    <t>韓仕恩</t>
  </si>
  <si>
    <t>微電二忠</t>
    <phoneticPr fontId="2" type="noConversion"/>
  </si>
  <si>
    <t>轉出(泰北高中)</t>
    <phoneticPr fontId="2" type="noConversion"/>
  </si>
  <si>
    <t>電子二孝</t>
    <phoneticPr fontId="2" type="noConversion"/>
  </si>
  <si>
    <t>1111休學</t>
    <phoneticPr fontId="2" type="noConversion"/>
  </si>
  <si>
    <t>轉出</t>
    <phoneticPr fontId="2" type="noConversion"/>
  </si>
  <si>
    <t>簡敬洲</t>
  </si>
  <si>
    <t>張大仁</t>
  </si>
  <si>
    <t>杜凱薇</t>
  </si>
  <si>
    <t>翁婉珣</t>
  </si>
  <si>
    <t>林和田</t>
  </si>
  <si>
    <t>許綺蔚</t>
  </si>
  <si>
    <t>黃建富</t>
  </si>
  <si>
    <t>石木林</t>
  </si>
  <si>
    <t>徐玉玲</t>
  </si>
  <si>
    <t>牛暄中</t>
  </si>
  <si>
    <t>周典緯</t>
  </si>
  <si>
    <t>葉宇庭</t>
  </si>
  <si>
    <t>鄧旭揚</t>
  </si>
  <si>
    <t>葉眉君</t>
  </si>
  <si>
    <t>陳奕希</t>
  </si>
  <si>
    <t>林大雅</t>
  </si>
  <si>
    <t>賀文新</t>
  </si>
  <si>
    <t>李姵萱</t>
    <phoneticPr fontId="2" type="noConversion"/>
  </si>
  <si>
    <t>林榆真</t>
    <phoneticPr fontId="2" type="noConversion"/>
  </si>
  <si>
    <t>唐瑜琪</t>
    <phoneticPr fontId="2" type="noConversion"/>
  </si>
  <si>
    <t>*洪慈敏</t>
    <phoneticPr fontId="2" type="noConversion"/>
  </si>
  <si>
    <t>*謝佳宏</t>
    <phoneticPr fontId="2" type="noConversion"/>
  </si>
  <si>
    <t>胡南亦</t>
    <phoneticPr fontId="2" type="noConversion"/>
  </si>
  <si>
    <t>忠</t>
    <phoneticPr fontId="2" type="noConversion"/>
  </si>
  <si>
    <t>忠</t>
    <phoneticPr fontId="2" type="noConversion"/>
  </si>
  <si>
    <t>孝</t>
    <phoneticPr fontId="2" type="noConversion"/>
  </si>
  <si>
    <t>蘇卉穎</t>
    <phoneticPr fontId="2" type="noConversion"/>
  </si>
  <si>
    <t>江孟諴</t>
    <phoneticPr fontId="2" type="noConversion"/>
  </si>
  <si>
    <t>忠</t>
  </si>
  <si>
    <t>孝</t>
  </si>
  <si>
    <t>仁</t>
  </si>
  <si>
    <t>控制一</t>
    <phoneticPr fontId="2" type="noConversion"/>
  </si>
  <si>
    <t>一</t>
    <phoneticPr fontId="2" type="noConversion"/>
  </si>
  <si>
    <t>蘭媗羽</t>
    <phoneticPr fontId="2" type="noConversion"/>
  </si>
  <si>
    <t>孝</t>
    <phoneticPr fontId="2" type="noConversion"/>
  </si>
  <si>
    <t>轉出</t>
    <phoneticPr fontId="2" type="noConversion"/>
  </si>
  <si>
    <t>1111移除</t>
    <phoneticPr fontId="2" type="noConversion"/>
  </si>
  <si>
    <t>轉出(台北海洋五專)</t>
    <phoneticPr fontId="2" type="noConversion"/>
  </si>
  <si>
    <t>愛</t>
    <phoneticPr fontId="2" type="noConversion"/>
  </si>
  <si>
    <t>孝</t>
    <phoneticPr fontId="2" type="noConversion"/>
  </si>
  <si>
    <t>*蕭以婷</t>
  </si>
  <si>
    <t>蘭媗羽</t>
  </si>
  <si>
    <t>104136</t>
    <phoneticPr fontId="2" type="noConversion"/>
  </si>
  <si>
    <t>104136</t>
  </si>
  <si>
    <t>108234</t>
  </si>
  <si>
    <t>108234</t>
    <phoneticPr fontId="2" type="noConversion"/>
  </si>
  <si>
    <t>Y</t>
    <phoneticPr fontId="2" type="noConversion"/>
  </si>
  <si>
    <t>Y</t>
    <phoneticPr fontId="2" type="noConversion"/>
  </si>
  <si>
    <t>Y</t>
    <phoneticPr fontId="2" type="noConversion"/>
  </si>
  <si>
    <t>111學年度(樞紐分析表排序用)</t>
    <phoneticPr fontId="4" type="noConversion"/>
  </si>
  <si>
    <t>*陸姵旗</t>
  </si>
  <si>
    <t>*陸姵旗</t>
    <phoneticPr fontId="2" type="noConversion"/>
  </si>
  <si>
    <t>電子二忠</t>
    <phoneticPr fontId="2" type="noConversion"/>
  </si>
  <si>
    <t>轉出(莊敬餐飲)</t>
    <phoneticPr fontId="2" type="noConversion"/>
  </si>
  <si>
    <t>資訊二孝</t>
    <phoneticPr fontId="2" type="noConversion"/>
  </si>
  <si>
    <t>蘭州國中</t>
    <phoneticPr fontId="2" type="noConversion"/>
  </si>
  <si>
    <t>蘆洲國中</t>
    <phoneticPr fontId="2" type="noConversion"/>
  </si>
  <si>
    <t>體育一忠</t>
    <phoneticPr fontId="2" type="noConversion"/>
  </si>
  <si>
    <t>1112移除</t>
    <phoneticPr fontId="2" type="noConversion"/>
  </si>
  <si>
    <t>電機二忠</t>
    <phoneticPr fontId="2" type="noConversion"/>
  </si>
  <si>
    <t>休學(缺曠過多)</t>
    <phoneticPr fontId="2" type="noConversion"/>
  </si>
  <si>
    <t>游淮鈞</t>
  </si>
  <si>
    <t>游淮鈞</t>
    <phoneticPr fontId="2" type="noConversion"/>
  </si>
  <si>
    <t>冷凍二忠</t>
    <phoneticPr fontId="2" type="noConversion"/>
  </si>
  <si>
    <t>薛聿甯</t>
  </si>
  <si>
    <t>薛聿甯</t>
    <phoneticPr fontId="2" type="noConversion"/>
  </si>
  <si>
    <t>ok</t>
    <phoneticPr fontId="2" type="noConversion"/>
  </si>
  <si>
    <t>廖成化</t>
    <phoneticPr fontId="2" type="noConversion"/>
  </si>
  <si>
    <t>轉出(康寧應外系)</t>
    <phoneticPr fontId="2" type="noConversion"/>
  </si>
  <si>
    <t>鄭舒懷</t>
    <phoneticPr fontId="2" type="noConversion"/>
  </si>
  <si>
    <t>鄭舒懷</t>
    <phoneticPr fontId="2" type="noConversion"/>
  </si>
  <si>
    <t>控制一忠</t>
    <phoneticPr fontId="2" type="noConversion"/>
  </si>
  <si>
    <t>自棄學籍(報局時刪除)</t>
    <phoneticPr fontId="2" type="noConversion"/>
  </si>
  <si>
    <t>電子二孝</t>
    <phoneticPr fontId="2" type="noConversion"/>
  </si>
  <si>
    <t>自棄學籍</t>
    <phoneticPr fontId="2" type="noConversion"/>
  </si>
  <si>
    <t>1111移除</t>
    <phoneticPr fontId="2" type="noConversion"/>
  </si>
  <si>
    <t>自棄學籍</t>
    <phoneticPr fontId="2" type="noConversion"/>
  </si>
  <si>
    <t>ok</t>
    <phoneticPr fontId="2" type="noConversion"/>
  </si>
  <si>
    <t>自棄學籍</t>
    <phoneticPr fontId="2" type="noConversion"/>
  </si>
  <si>
    <t>復學重讀</t>
    <phoneticPr fontId="2" type="noConversion"/>
  </si>
  <si>
    <t>自棄學籍</t>
    <phoneticPr fontId="2" type="noConversion"/>
  </si>
  <si>
    <t>自棄學籍</t>
    <phoneticPr fontId="2" type="noConversion"/>
  </si>
  <si>
    <t>自棄學籍</t>
    <phoneticPr fontId="2" type="noConversion"/>
  </si>
  <si>
    <t>電機一忠</t>
    <phoneticPr fontId="2" type="noConversion"/>
  </si>
  <si>
    <t>113226</t>
    <phoneticPr fontId="2" type="noConversion"/>
  </si>
  <si>
    <t>電機三仁</t>
    <phoneticPr fontId="2" type="noConversion"/>
  </si>
  <si>
    <t>113226</t>
  </si>
  <si>
    <t>臺北市立內湖高級工業職業學校 111 學年度第 1 學期學生人數統計表        中華民國111年08月23日</t>
    <phoneticPr fontId="2" type="noConversion"/>
  </si>
  <si>
    <t>自棄學籍(永春高中)</t>
    <phoneticPr fontId="2" type="noConversion"/>
  </si>
  <si>
    <t>自棄學籍(雙溪高中)</t>
    <phoneticPr fontId="2" type="noConversion"/>
  </si>
  <si>
    <t>自學生</t>
    <phoneticPr fontId="2" type="noConversion"/>
  </si>
  <si>
    <t>自學生</t>
    <phoneticPr fontId="2" type="noConversion"/>
  </si>
  <si>
    <t>1861-公告版</t>
    <phoneticPr fontId="2" type="noConversion"/>
  </si>
  <si>
    <t>休學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</si>
</sst>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-* #,##0.00_-;\-* #,##0.00_-;_-* &quot;-&quot;??_-;_-@_-"/>
    <numFmt numFmtId="177" formatCode="m&quot;月&quot;d&quot;日&quot;"/>
    <numFmt numFmtId="178" formatCode="m/d;@"/>
  </numFmts>
  <fonts count="110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標楷體"/>
      <family val="4"/>
      <charset val="136"/>
    </font>
    <font>
      <sz val="9"/>
      <name val="細明體"/>
      <family val="3"/>
      <charset val="136"/>
    </font>
    <font>
      <b/>
      <sz val="16"/>
      <name val="標楷體"/>
      <family val="4"/>
      <charset val="136"/>
    </font>
    <font>
      <b/>
      <sz val="16"/>
      <name val="新細明體"/>
      <family val="1"/>
      <charset val="136"/>
    </font>
    <font>
      <sz val="10"/>
      <name val="CFSounSung"/>
      <family val="1"/>
    </font>
    <font>
      <sz val="10"/>
      <name val="細明體"/>
      <family val="3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1"/>
      <name val="標楷體"/>
      <family val="4"/>
      <charset val="136"/>
    </font>
    <font>
      <sz val="11"/>
      <name val="Verdana"/>
      <family val="2"/>
    </font>
    <font>
      <sz val="14"/>
      <color indexed="17"/>
      <name val="新細明體"/>
      <family val="1"/>
      <charset val="136"/>
    </font>
    <font>
      <sz val="14"/>
      <color indexed="2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name val="標楷體"/>
      <family val="4"/>
      <charset val="136"/>
    </font>
    <font>
      <sz val="11"/>
      <name val="新細明體"/>
      <family val="1"/>
      <charset val="136"/>
    </font>
    <font>
      <b/>
      <sz val="18"/>
      <name val="標楷體"/>
      <family val="4"/>
      <charset val="136"/>
    </font>
    <font>
      <sz val="18"/>
      <name val="標楷體"/>
      <family val="4"/>
      <charset val="136"/>
    </font>
    <font>
      <sz val="10"/>
      <name val="Times New Roman"/>
      <family val="1"/>
    </font>
    <font>
      <sz val="12"/>
      <name val="Times New Roman"/>
      <family val="1"/>
    </font>
    <font>
      <sz val="11"/>
      <color indexed="8"/>
      <name val="新細明體"/>
      <family val="1"/>
      <charset val="136"/>
    </font>
    <font>
      <sz val="11"/>
      <color indexed="9"/>
      <name val="新細明體"/>
      <family val="1"/>
      <charset val="136"/>
    </font>
    <font>
      <sz val="11"/>
      <color indexed="20"/>
      <name val="新細明體"/>
      <family val="1"/>
      <charset val="136"/>
    </font>
    <font>
      <b/>
      <sz val="11"/>
      <color indexed="52"/>
      <name val="新細明體"/>
      <family val="1"/>
      <charset val="136"/>
    </font>
    <font>
      <b/>
      <sz val="11"/>
      <color indexed="9"/>
      <name val="新細明體"/>
      <family val="1"/>
      <charset val="136"/>
    </font>
    <font>
      <i/>
      <sz val="11"/>
      <color indexed="23"/>
      <name val="新細明體"/>
      <family val="1"/>
      <charset val="136"/>
    </font>
    <font>
      <sz val="11"/>
      <color indexed="17"/>
      <name val="新細明體"/>
      <family val="1"/>
      <charset val="136"/>
    </font>
    <font>
      <sz val="11"/>
      <color indexed="62"/>
      <name val="新細明體"/>
      <family val="1"/>
      <charset val="136"/>
    </font>
    <font>
      <sz val="11"/>
      <color indexed="52"/>
      <name val="新細明體"/>
      <family val="1"/>
      <charset val="136"/>
    </font>
    <font>
      <sz val="11"/>
      <color indexed="60"/>
      <name val="新細明體"/>
      <family val="1"/>
      <charset val="136"/>
    </font>
    <font>
      <b/>
      <sz val="11"/>
      <color indexed="63"/>
      <name val="新細明體"/>
      <family val="1"/>
      <charset val="136"/>
    </font>
    <font>
      <b/>
      <sz val="11"/>
      <color indexed="8"/>
      <name val="新細明體"/>
      <family val="1"/>
      <charset val="136"/>
    </font>
    <font>
      <sz val="11"/>
      <color indexed="10"/>
      <name val="新細明體"/>
      <family val="1"/>
      <charset val="136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標楷體"/>
      <family val="4"/>
      <charset val="136"/>
    </font>
    <font>
      <sz val="11"/>
      <color indexed="8"/>
      <name val="標楷體"/>
      <family val="4"/>
      <charset val="136"/>
    </font>
    <font>
      <sz val="11"/>
      <color indexed="8"/>
      <name val="Verdana"/>
      <family val="2"/>
    </font>
    <font>
      <sz val="14"/>
      <name val="標楷體"/>
      <family val="4"/>
      <charset val="136"/>
    </font>
    <font>
      <sz val="14"/>
      <name val="Times New Roman"/>
      <family val="1"/>
    </font>
    <font>
      <sz val="11"/>
      <name val="Calibri"/>
      <family val="2"/>
    </font>
    <font>
      <sz val="14"/>
      <color indexed="8"/>
      <name val="新細明體"/>
      <family val="1"/>
      <charset val="136"/>
    </font>
    <font>
      <sz val="14"/>
      <color indexed="9"/>
      <name val="新細明體"/>
      <family val="1"/>
      <charset val="136"/>
    </font>
    <font>
      <sz val="14"/>
      <color indexed="60"/>
      <name val="新細明體"/>
      <family val="1"/>
      <charset val="136"/>
    </font>
    <font>
      <sz val="12"/>
      <color indexed="19"/>
      <name val="新細明體"/>
      <family val="1"/>
      <charset val="136"/>
    </font>
    <font>
      <b/>
      <sz val="14"/>
      <color indexed="8"/>
      <name val="新細明體"/>
      <family val="1"/>
      <charset val="136"/>
    </font>
    <font>
      <b/>
      <sz val="14"/>
      <color indexed="52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4"/>
      <color indexed="52"/>
      <name val="新細明體"/>
      <family val="1"/>
      <charset val="136"/>
    </font>
    <font>
      <i/>
      <sz val="14"/>
      <color indexed="23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sz val="14"/>
      <color indexed="62"/>
      <name val="新細明體"/>
      <family val="1"/>
      <charset val="136"/>
    </font>
    <font>
      <b/>
      <sz val="14"/>
      <color indexed="63"/>
      <name val="新細明體"/>
      <family val="1"/>
      <charset val="136"/>
    </font>
    <font>
      <b/>
      <sz val="14"/>
      <color indexed="9"/>
      <name val="新細明體"/>
      <family val="1"/>
      <charset val="136"/>
    </font>
    <font>
      <sz val="14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b/>
      <sz val="20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5"/>
      <color theme="3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rgb="FFFF0000"/>
      <name val="新細明體"/>
      <family val="1"/>
      <charset val="136"/>
    </font>
    <font>
      <sz val="12"/>
      <color rgb="FF0070C0"/>
      <name val="新細明體"/>
      <family val="1"/>
      <charset val="136"/>
    </font>
    <font>
      <sz val="11"/>
      <color rgb="FFFF0000"/>
      <name val="標楷體"/>
      <family val="4"/>
      <charset val="136"/>
    </font>
    <font>
      <sz val="14"/>
      <color theme="1"/>
      <name val="標楷體"/>
      <family val="4"/>
      <charset val="136"/>
    </font>
    <font>
      <sz val="10"/>
      <color rgb="FF000000"/>
      <name val="新細明體"/>
      <family val="1"/>
      <charset val="136"/>
    </font>
    <font>
      <sz val="11"/>
      <color rgb="FF7030A0"/>
      <name val="標楷體"/>
      <family val="4"/>
      <charset val="136"/>
    </font>
    <font>
      <sz val="11"/>
      <color rgb="FF0070C0"/>
      <name val="標楷體"/>
      <family val="4"/>
      <charset val="136"/>
    </font>
    <font>
      <sz val="11"/>
      <color theme="7"/>
      <name val="標楷體"/>
      <family val="4"/>
      <charset val="136"/>
    </font>
    <font>
      <sz val="14"/>
      <color rgb="FFFF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10"/>
      <color rgb="FF000000"/>
      <name val="細明體"/>
      <family val="1"/>
      <charset val="136"/>
    </font>
    <font>
      <sz val="10"/>
      <color rgb="FF000000"/>
      <name val="CFSounSung"/>
      <charset val="1"/>
    </font>
    <font>
      <u val="double"/>
      <sz val="11"/>
      <color rgb="FFFF0000"/>
      <name val="標楷體"/>
      <family val="1"/>
      <charset val="136"/>
    </font>
  </fonts>
  <fills count="6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132">
    <xf numFmtId="0" fontId="0" fillId="0" borderId="0">
      <alignment vertical="center"/>
    </xf>
    <xf numFmtId="0" fontId="37" fillId="2" borderId="0" applyNumberFormat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6" borderId="0" applyNumberFormat="0" applyBorder="0" applyAlignment="0" applyProtection="0">
      <alignment vertical="center"/>
    </xf>
    <xf numFmtId="0" fontId="37" fillId="7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58" fillId="2" borderId="0" applyNumberFormat="0" applyBorder="0" applyAlignment="0" applyProtection="0">
      <alignment vertical="center"/>
    </xf>
    <xf numFmtId="0" fontId="58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75" fillId="28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58" fillId="3" borderId="0" applyNumberFormat="0" applyBorder="0" applyAlignment="0" applyProtection="0">
      <alignment vertical="center"/>
    </xf>
    <xf numFmtId="0" fontId="58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75" fillId="2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58" fillId="4" borderId="0" applyNumberFormat="0" applyBorder="0" applyAlignment="0" applyProtection="0">
      <alignment vertical="center"/>
    </xf>
    <xf numFmtId="0" fontId="58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75" fillId="30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75" fillId="3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75" fillId="3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58" fillId="7" borderId="0" applyNumberFormat="0" applyBorder="0" applyAlignment="0" applyProtection="0">
      <alignment vertical="center"/>
    </xf>
    <xf numFmtId="0" fontId="58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75" fillId="33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11" borderId="0" applyNumberFormat="0" applyBorder="0" applyAlignment="0" applyProtection="0">
      <alignment vertical="center"/>
    </xf>
    <xf numFmtId="0" fontId="37" fillId="5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75" fillId="34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75" fillId="35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58" fillId="11" borderId="0" applyNumberFormat="0" applyBorder="0" applyAlignment="0" applyProtection="0">
      <alignment vertical="center"/>
    </xf>
    <xf numFmtId="0" fontId="58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75" fillId="36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75" fillId="3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75" fillId="38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58" fillId="12" borderId="0" applyNumberFormat="0" applyBorder="0" applyAlignment="0" applyProtection="0">
      <alignment vertical="center"/>
    </xf>
    <xf numFmtId="0" fontId="58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9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59" fillId="14" borderId="0" applyNumberFormat="0" applyBorder="0" applyAlignment="0" applyProtection="0">
      <alignment vertical="center"/>
    </xf>
    <xf numFmtId="0" fontId="59" fillId="14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76" fillId="40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59" fillId="9" borderId="0" applyNumberFormat="0" applyBorder="0" applyAlignment="0" applyProtection="0">
      <alignment vertical="center"/>
    </xf>
    <xf numFmtId="0" fontId="59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59" fillId="11" borderId="0" applyNumberFormat="0" applyBorder="0" applyAlignment="0" applyProtection="0">
      <alignment vertical="center"/>
    </xf>
    <xf numFmtId="0" fontId="59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76" fillId="42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59" fillId="15" borderId="0" applyNumberFormat="0" applyBorder="0" applyAlignment="0" applyProtection="0">
      <alignment vertical="center"/>
    </xf>
    <xf numFmtId="0" fontId="59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76" fillId="43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76" fillId="44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59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76" fillId="45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0" fontId="39" fillId="3" borderId="0" applyNumberFormat="0" applyBorder="0" applyAlignment="0" applyProtection="0">
      <alignment vertical="center"/>
    </xf>
    <xf numFmtId="0" fontId="40" fillId="22" borderId="1" applyNumberFormat="0" applyAlignment="0" applyProtection="0">
      <alignment vertical="center"/>
    </xf>
    <xf numFmtId="0" fontId="41" fillId="23" borderId="2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4" borderId="0" applyNumberFormat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44" fillId="7" borderId="1" applyNumberFormat="0" applyAlignment="0" applyProtection="0">
      <alignment vertical="center"/>
    </xf>
    <xf numFmtId="0" fontId="45" fillId="0" borderId="6" applyNumberFormat="0" applyFill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47" fillId="22" borderId="8" applyNumberFormat="0" applyAlignment="0" applyProtection="0">
      <alignment vertical="center"/>
    </xf>
    <xf numFmtId="0" fontId="77" fillId="0" borderId="9">
      <alignment horizontal="center" vertical="center" wrapText="1"/>
    </xf>
    <xf numFmtId="0" fontId="78" fillId="0" borderId="0">
      <alignment horizontal="centerContinuous" vertical="center"/>
    </xf>
    <xf numFmtId="0" fontId="79" fillId="46" borderId="9">
      <alignment horizontal="center" vertical="center"/>
    </xf>
    <xf numFmtId="0" fontId="79" fillId="47" borderId="0">
      <alignment horizontal="left" vertical="center"/>
    </xf>
    <xf numFmtId="0" fontId="79" fillId="0" borderId="0">
      <alignment horizontal="right" vertical="center"/>
    </xf>
    <xf numFmtId="0" fontId="17" fillId="0" borderId="0" applyNumberFormat="0" applyFill="0" applyBorder="0" applyAlignment="0" applyProtection="0">
      <alignment vertical="center"/>
    </xf>
    <xf numFmtId="0" fontId="48" fillId="0" borderId="10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75" fillId="0" borderId="0"/>
    <xf numFmtId="0" fontId="75" fillId="0" borderId="0"/>
    <xf numFmtId="0" fontId="1" fillId="0" borderId="0">
      <alignment vertical="center"/>
    </xf>
    <xf numFmtId="0" fontId="1" fillId="0" borderId="0">
      <alignment vertical="center"/>
    </xf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>
      <alignment vertical="center"/>
    </xf>
    <xf numFmtId="0" fontId="75" fillId="0" borderId="0"/>
    <xf numFmtId="0" fontId="75" fillId="0" borderId="0"/>
    <xf numFmtId="0" fontId="75" fillId="0" borderId="0"/>
    <xf numFmtId="0" fontId="75" fillId="0" borderId="0"/>
    <xf numFmtId="0" fontId="1" fillId="0" borderId="0"/>
    <xf numFmtId="0" fontId="75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/>
    <xf numFmtId="0" fontId="9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57" fillId="0" borderId="0"/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/>
    <xf numFmtId="0" fontId="75" fillId="0" borderId="0">
      <alignment vertical="center"/>
    </xf>
    <xf numFmtId="0" fontId="75" fillId="0" borderId="0">
      <alignment vertical="center"/>
    </xf>
    <xf numFmtId="0" fontId="50" fillId="0" borderId="0"/>
    <xf numFmtId="0" fontId="75" fillId="0" borderId="0"/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/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/>
    <xf numFmtId="0" fontId="75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0" fillId="0" borderId="0"/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75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/>
    <xf numFmtId="0" fontId="75" fillId="0" borderId="0"/>
    <xf numFmtId="0" fontId="1" fillId="0" borderId="0"/>
    <xf numFmtId="0" fontId="1" fillId="0" borderId="0"/>
    <xf numFmtId="0" fontId="1" fillId="0" borderId="0"/>
    <xf numFmtId="0" fontId="7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5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/>
    <xf numFmtId="0" fontId="75" fillId="0" borderId="0">
      <alignment vertical="center"/>
    </xf>
    <xf numFmtId="0" fontId="1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50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/>
    <xf numFmtId="0" fontId="75" fillId="0" borderId="0"/>
    <xf numFmtId="0" fontId="75" fillId="0" borderId="0"/>
    <xf numFmtId="0" fontId="75" fillId="0" borderId="0"/>
    <xf numFmtId="0" fontId="1" fillId="0" borderId="0"/>
    <xf numFmtId="0" fontId="75" fillId="0" borderId="0"/>
    <xf numFmtId="0" fontId="75" fillId="0" borderId="0"/>
    <xf numFmtId="0" fontId="1" fillId="0" borderId="0"/>
    <xf numFmtId="0" fontId="75" fillId="0" borderId="0">
      <alignment vertical="center"/>
    </xf>
    <xf numFmtId="0" fontId="57" fillId="0" borderId="0"/>
    <xf numFmtId="0" fontId="1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57" fillId="0" borderId="0"/>
    <xf numFmtId="0" fontId="9" fillId="0" borderId="0">
      <alignment vertical="center"/>
    </xf>
    <xf numFmtId="0" fontId="57" fillId="0" borderId="0"/>
    <xf numFmtId="0" fontId="57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75" fillId="0" borderId="0"/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50" fillId="0" borderId="0">
      <alignment wrapText="1"/>
    </xf>
    <xf numFmtId="0" fontId="1" fillId="0" borderId="0">
      <alignment vertical="center"/>
    </xf>
    <xf numFmtId="0" fontId="75" fillId="0" borderId="0"/>
    <xf numFmtId="0" fontId="50" fillId="0" borderId="0">
      <alignment wrapText="1"/>
    </xf>
    <xf numFmtId="0" fontId="1" fillId="0" borderId="0">
      <alignment vertical="center"/>
    </xf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/>
    <xf numFmtId="0" fontId="75" fillId="0" borderId="0">
      <alignment vertical="center"/>
    </xf>
    <xf numFmtId="0" fontId="1" fillId="0" borderId="0">
      <alignment vertical="center"/>
    </xf>
    <xf numFmtId="0" fontId="50" fillId="0" borderId="0"/>
    <xf numFmtId="0" fontId="50" fillId="0" borderId="0"/>
    <xf numFmtId="0" fontId="50" fillId="0" borderId="0">
      <alignment wrapText="1"/>
    </xf>
    <xf numFmtId="0" fontId="50" fillId="0" borderId="0">
      <alignment wrapText="1"/>
    </xf>
    <xf numFmtId="0" fontId="75" fillId="0" borderId="0">
      <alignment vertical="center"/>
    </xf>
    <xf numFmtId="0" fontId="57" fillId="0" borderId="0"/>
    <xf numFmtId="0" fontId="75" fillId="0" borderId="0">
      <alignment vertical="center"/>
    </xf>
    <xf numFmtId="0" fontId="57" fillId="0" borderId="0"/>
    <xf numFmtId="0" fontId="75" fillId="0" borderId="0">
      <alignment vertical="center"/>
    </xf>
    <xf numFmtId="0" fontId="57" fillId="0" borderId="0"/>
    <xf numFmtId="0" fontId="1" fillId="0" borderId="0">
      <alignment vertical="center"/>
    </xf>
    <xf numFmtId="0" fontId="75" fillId="0" borderId="0"/>
    <xf numFmtId="0" fontId="75" fillId="0" borderId="0"/>
    <xf numFmtId="0" fontId="1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1" fillId="0" borderId="0">
      <alignment vertical="center"/>
    </xf>
    <xf numFmtId="0" fontId="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60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61" fillId="13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81" fillId="48" borderId="0" applyNumberFormat="0" applyBorder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62" fillId="0" borderId="10" applyNumberFormat="0" applyFill="0" applyAlignment="0" applyProtection="0">
      <alignment vertical="center"/>
    </xf>
    <xf numFmtId="0" fontId="62" fillId="0" borderId="10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82" fillId="0" borderId="93" applyNumberFormat="0" applyFill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83" fillId="49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28" fillId="4" borderId="0" applyNumberFormat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9" fontId="57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9" fontId="75" fillId="0" borderId="0" applyFont="0" applyFill="0" applyBorder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63" fillId="22" borderId="1" applyNumberFormat="0" applyAlignment="0" applyProtection="0">
      <alignment vertical="center"/>
    </xf>
    <xf numFmtId="0" fontId="63" fillId="22" borderId="1" applyNumberFormat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64" fillId="24" borderId="1" applyNumberFormat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14" fillId="22" borderId="1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84" fillId="50" borderId="9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65" fillId="0" borderId="6" applyNumberFormat="0" applyFill="0" applyAlignment="0" applyProtection="0">
      <alignment vertical="center"/>
    </xf>
    <xf numFmtId="0" fontId="6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85" fillId="0" borderId="95" applyNumberFormat="0" applyFill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1" fillId="10" borderId="7" applyNumberFormat="0" applyFont="0" applyAlignment="0" applyProtection="0">
      <alignment vertical="center"/>
    </xf>
    <xf numFmtId="0" fontId="1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51" borderId="96" applyNumberFormat="0" applyFont="0" applyAlignment="0" applyProtection="0">
      <alignment vertical="center"/>
    </xf>
    <xf numFmtId="0" fontId="9" fillId="51" borderId="96" applyNumberFormat="0" applyFont="0" applyAlignment="0" applyProtection="0">
      <alignment vertical="center"/>
    </xf>
    <xf numFmtId="0" fontId="9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9" fillId="10" borderId="7" applyNumberFormat="0" applyFont="0" applyAlignment="0" applyProtection="0">
      <alignment vertical="center"/>
    </xf>
    <xf numFmtId="0" fontId="75" fillId="51" borderId="96" applyNumberFormat="0" applyFont="0" applyAlignment="0" applyProtection="0">
      <alignment vertical="center"/>
    </xf>
    <xf numFmtId="0" fontId="51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59" fillId="19" borderId="0" applyNumberFormat="0" applyBorder="0" applyAlignment="0" applyProtection="0">
      <alignment vertical="center"/>
    </xf>
    <xf numFmtId="0" fontId="59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76" fillId="52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59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76" fillId="53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59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76" fillId="5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59" fillId="15" borderId="0" applyNumberFormat="0" applyBorder="0" applyAlignment="0" applyProtection="0">
      <alignment vertical="center"/>
    </xf>
    <xf numFmtId="0" fontId="59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76" fillId="5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76" fillId="56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59" fillId="18" borderId="0" applyNumberFormat="0" applyBorder="0" applyAlignment="0" applyProtection="0">
      <alignment vertical="center"/>
    </xf>
    <xf numFmtId="0" fontId="59" fillId="18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76" fillId="5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67" fillId="0" borderId="1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7" fillId="0" borderId="97" applyNumberFormat="0" applyFill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68" fillId="0" borderId="1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89" fillId="0" borderId="98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69" fillId="0" borderId="1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90" fillId="0" borderId="99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71" fillId="7" borderId="1" applyNumberFormat="0" applyAlignment="0" applyProtection="0">
      <alignment vertical="center"/>
    </xf>
    <xf numFmtId="0" fontId="71" fillId="7" borderId="1" applyNumberFormat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21" fillId="13" borderId="1" applyNumberFormat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21" fillId="7" borderId="1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91" fillId="58" borderId="94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72" fillId="22" borderId="8" applyNumberFormat="0" applyAlignment="0" applyProtection="0">
      <alignment vertical="center"/>
    </xf>
    <xf numFmtId="0" fontId="72" fillId="22" borderId="8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2" fillId="24" borderId="8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92" fillId="50" borderId="100" applyNumberFormat="0" applyAlignment="0" applyProtection="0">
      <alignment vertical="center"/>
    </xf>
    <xf numFmtId="0" fontId="23" fillId="23" borderId="2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23" fillId="23" borderId="2" applyNumberFormat="0" applyAlignment="0" applyProtection="0">
      <alignment vertical="center"/>
    </xf>
    <xf numFmtId="0" fontId="23" fillId="23" borderId="2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73" fillId="23" borderId="2" applyNumberFormat="0" applyAlignment="0" applyProtection="0">
      <alignment vertical="center"/>
    </xf>
    <xf numFmtId="0" fontId="73" fillId="23" borderId="2" applyNumberFormat="0" applyAlignment="0" applyProtection="0">
      <alignment vertical="center"/>
    </xf>
    <xf numFmtId="0" fontId="23" fillId="23" borderId="2" applyNumberFormat="0" applyAlignment="0" applyProtection="0">
      <alignment vertical="center"/>
    </xf>
    <xf numFmtId="0" fontId="23" fillId="23" borderId="2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23" fillId="23" borderId="2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23" fillId="23" borderId="2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93" fillId="59" borderId="101" applyNumberFormat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94" fillId="60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>
      <alignment vertical="center"/>
    </xf>
  </cellStyleXfs>
  <cellXfs count="377">
    <xf numFmtId="0" fontId="0" fillId="0" borderId="0" xfId="0">
      <alignment vertical="center"/>
    </xf>
    <xf numFmtId="0" fontId="3" fillId="0" borderId="0" xfId="1436" applyFont="1" applyFill="1">
      <alignment vertical="center"/>
    </xf>
    <xf numFmtId="49" fontId="5" fillId="0" borderId="0" xfId="1438" applyNumberFormat="1" applyFont="1" applyFill="1" applyBorder="1" applyAlignment="1">
      <alignment vertical="center"/>
    </xf>
    <xf numFmtId="0" fontId="6" fillId="0" borderId="0" xfId="1436" applyFont="1" applyFill="1" applyAlignment="1">
      <alignment horizontal="center" vertical="center"/>
    </xf>
    <xf numFmtId="0" fontId="26" fillId="0" borderId="16" xfId="1436" applyFont="1" applyFill="1" applyBorder="1" applyAlignment="1">
      <alignment horizontal="center"/>
    </xf>
    <xf numFmtId="0" fontId="26" fillId="0" borderId="17" xfId="1436" applyFont="1" applyFill="1" applyBorder="1" applyAlignment="1">
      <alignment horizontal="right" vertical="center"/>
    </xf>
    <xf numFmtId="0" fontId="26" fillId="0" borderId="18" xfId="1436" applyFont="1" applyFill="1" applyBorder="1" applyAlignment="1">
      <alignment horizontal="right" vertical="center"/>
    </xf>
    <xf numFmtId="0" fontId="26" fillId="0" borderId="19" xfId="1436" applyFont="1" applyFill="1" applyBorder="1" applyAlignment="1"/>
    <xf numFmtId="0" fontId="26" fillId="0" borderId="0" xfId="1436" applyFont="1" applyFill="1">
      <alignment vertical="center"/>
    </xf>
    <xf numFmtId="0" fontId="26" fillId="0" borderId="20" xfId="1436" applyFont="1" applyFill="1" applyBorder="1" applyAlignment="1">
      <alignment horizontal="center"/>
    </xf>
    <xf numFmtId="0" fontId="26" fillId="0" borderId="9" xfId="1436" applyFont="1" applyFill="1" applyBorder="1" applyAlignment="1">
      <alignment horizontal="right" vertical="center"/>
    </xf>
    <xf numFmtId="0" fontId="26" fillId="0" borderId="21" xfId="1436" applyFont="1" applyFill="1" applyBorder="1" applyAlignment="1">
      <alignment horizontal="right" vertical="center"/>
    </xf>
    <xf numFmtId="0" fontId="26" fillId="0" borderId="22" xfId="1436" applyFont="1" applyFill="1" applyBorder="1" applyAlignment="1">
      <alignment horizontal="center"/>
    </xf>
    <xf numFmtId="0" fontId="26" fillId="0" borderId="23" xfId="1436" applyFont="1" applyFill="1" applyBorder="1" applyAlignment="1">
      <alignment horizontal="right" vertical="center"/>
    </xf>
    <xf numFmtId="0" fontId="26" fillId="0" borderId="24" xfId="1436" applyFont="1" applyFill="1" applyBorder="1" applyAlignment="1">
      <alignment horizontal="right" vertical="center"/>
    </xf>
    <xf numFmtId="0" fontId="26" fillId="0" borderId="0" xfId="1436" applyFont="1" applyFill="1" applyBorder="1" applyAlignment="1"/>
    <xf numFmtId="0" fontId="26" fillId="0" borderId="25" xfId="1436" applyFont="1" applyFill="1" applyBorder="1" applyAlignment="1">
      <alignment horizontal="center"/>
    </xf>
    <xf numFmtId="0" fontId="26" fillId="0" borderId="26" xfId="1436" applyFont="1" applyFill="1" applyBorder="1" applyAlignment="1">
      <alignment horizontal="right" vertical="center"/>
    </xf>
    <xf numFmtId="0" fontId="26" fillId="0" borderId="27" xfId="1436" applyFont="1" applyFill="1" applyBorder="1" applyAlignment="1">
      <alignment horizontal="right" vertical="center"/>
    </xf>
    <xf numFmtId="0" fontId="26" fillId="0" borderId="0" xfId="1436" applyFont="1" applyFill="1" applyAlignment="1">
      <alignment vertical="center"/>
    </xf>
    <xf numFmtId="0" fontId="26" fillId="0" borderId="20" xfId="1436" applyFont="1" applyFill="1" applyBorder="1" applyAlignment="1">
      <alignment horizontal="center" vertical="center"/>
    </xf>
    <xf numFmtId="49" fontId="26" fillId="0" borderId="9" xfId="1436" applyNumberFormat="1" applyFont="1" applyFill="1" applyBorder="1" applyAlignment="1">
      <alignment horizontal="center" vertical="center"/>
    </xf>
    <xf numFmtId="0" fontId="26" fillId="0" borderId="0" xfId="1436" applyFont="1" applyFill="1" applyBorder="1" applyAlignment="1">
      <alignment horizontal="right" vertical="center"/>
    </xf>
    <xf numFmtId="0" fontId="26" fillId="0" borderId="0" xfId="1436" applyFont="1" applyFill="1" applyBorder="1" applyAlignment="1">
      <alignment horizontal="center"/>
    </xf>
    <xf numFmtId="0" fontId="27" fillId="0" borderId="0" xfId="1436" applyFont="1" applyFill="1" applyAlignment="1">
      <alignment horizontal="right" vertical="center"/>
    </xf>
    <xf numFmtId="49" fontId="26" fillId="0" borderId="17" xfId="1436" applyNumberFormat="1" applyFont="1" applyFill="1" applyBorder="1" applyAlignment="1">
      <alignment horizontal="center"/>
    </xf>
    <xf numFmtId="49" fontId="26" fillId="0" borderId="9" xfId="1436" applyNumberFormat="1" applyFont="1" applyFill="1" applyBorder="1" applyAlignment="1">
      <alignment horizontal="center"/>
    </xf>
    <xf numFmtId="49" fontId="26" fillId="0" borderId="23" xfId="1436" applyNumberFormat="1" applyFont="1" applyFill="1" applyBorder="1" applyAlignment="1">
      <alignment horizontal="center"/>
    </xf>
    <xf numFmtId="49" fontId="26" fillId="0" borderId="26" xfId="1436" applyNumberFormat="1" applyFont="1" applyFill="1" applyBorder="1" applyAlignment="1">
      <alignment horizontal="center"/>
    </xf>
    <xf numFmtId="49" fontId="26" fillId="0" borderId="17" xfId="1436" applyNumberFormat="1" applyFont="1" applyFill="1" applyBorder="1" applyAlignment="1">
      <alignment horizontal="center" vertical="center"/>
    </xf>
    <xf numFmtId="49" fontId="26" fillId="0" borderId="0" xfId="1436" applyNumberFormat="1" applyFont="1" applyFill="1" applyAlignment="1">
      <alignment horizontal="center" vertical="center"/>
    </xf>
    <xf numFmtId="49" fontId="26" fillId="0" borderId="23" xfId="1436" applyNumberFormat="1" applyFont="1" applyFill="1" applyBorder="1" applyAlignment="1">
      <alignment horizontal="center" vertical="center"/>
    </xf>
    <xf numFmtId="0" fontId="7" fillId="0" borderId="0" xfId="1435" applyFont="1" applyFill="1"/>
    <xf numFmtId="0" fontId="8" fillId="0" borderId="0" xfId="1435" applyFont="1" applyFill="1"/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49" fontId="30" fillId="0" borderId="0" xfId="0" applyNumberFormat="1" applyFont="1">
      <alignment vertical="center"/>
    </xf>
    <xf numFmtId="0" fontId="31" fillId="0" borderId="0" xfId="0" applyFont="1" applyFill="1" applyBorder="1" applyAlignment="1">
      <alignment horizontal="center" vertical="center"/>
    </xf>
    <xf numFmtId="0" fontId="30" fillId="0" borderId="0" xfId="0" applyFont="1" applyBorder="1">
      <alignment vertical="center"/>
    </xf>
    <xf numFmtId="0" fontId="31" fillId="0" borderId="0" xfId="0" applyFont="1" applyFill="1" applyBorder="1" applyAlignment="1">
      <alignment horizontal="left" vertical="center"/>
    </xf>
    <xf numFmtId="49" fontId="31" fillId="0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1436" applyFont="1" applyFill="1" applyBorder="1">
      <alignment vertical="center"/>
    </xf>
    <xf numFmtId="49" fontId="26" fillId="0" borderId="0" xfId="1436" applyNumberFormat="1" applyFont="1" applyFill="1">
      <alignment vertical="center"/>
    </xf>
    <xf numFmtId="0" fontId="26" fillId="0" borderId="0" xfId="1436" applyFont="1" applyFill="1" applyAlignment="1">
      <alignment horizontal="right" vertical="center"/>
    </xf>
    <xf numFmtId="177" fontId="31" fillId="0" borderId="0" xfId="0" applyNumberFormat="1" applyFont="1" applyFill="1" applyBorder="1" applyAlignment="1">
      <alignment horizontal="center" vertical="center"/>
    </xf>
    <xf numFmtId="49" fontId="26" fillId="0" borderId="0" xfId="1436" applyNumberFormat="1" applyFont="1" applyFill="1" applyBorder="1" applyAlignment="1">
      <alignment horizontal="center"/>
    </xf>
    <xf numFmtId="49" fontId="26" fillId="0" borderId="0" xfId="1436" applyNumberFormat="1" applyFont="1" applyFill="1" applyBorder="1" applyAlignment="1">
      <alignment horizontal="center" vertical="center"/>
    </xf>
    <xf numFmtId="0" fontId="26" fillId="0" borderId="0" xfId="1436" applyFont="1" applyFill="1" applyBorder="1" applyAlignment="1">
      <alignment horizontal="center" vertical="center"/>
    </xf>
    <xf numFmtId="0" fontId="7" fillId="0" borderId="0" xfId="1435" applyFont="1" applyFill="1" applyBorder="1"/>
    <xf numFmtId="0" fontId="26" fillId="0" borderId="0" xfId="1162" applyFont="1" applyFill="1" applyBorder="1" applyAlignment="1"/>
    <xf numFmtId="0" fontId="6" fillId="0" borderId="0" xfId="1436" applyFont="1" applyFill="1" applyBorder="1" applyAlignment="1">
      <alignment horizontal="center" vertical="center"/>
    </xf>
    <xf numFmtId="0" fontId="26" fillId="0" borderId="0" xfId="1436" applyFont="1" applyFill="1" applyBorder="1">
      <alignment vertical="center"/>
    </xf>
    <xf numFmtId="49" fontId="5" fillId="0" borderId="0" xfId="1438" applyNumberFormat="1" applyFont="1" applyFill="1" applyBorder="1" applyAlignment="1">
      <alignment horizontal="center" vertical="center"/>
    </xf>
    <xf numFmtId="49" fontId="3" fillId="0" borderId="0" xfId="1436" applyNumberFormat="1" applyFont="1" applyFill="1">
      <alignment vertical="center"/>
    </xf>
    <xf numFmtId="49" fontId="0" fillId="0" borderId="0" xfId="0" applyNumberFormat="1">
      <alignment vertical="center"/>
    </xf>
    <xf numFmtId="0" fontId="26" fillId="0" borderId="0" xfId="0" applyFont="1" applyFill="1" applyBorder="1" applyAlignment="1"/>
    <xf numFmtId="0" fontId="26" fillId="0" borderId="0" xfId="1437" applyFont="1" applyFill="1" applyBorder="1" applyAlignment="1">
      <alignment vertical="center"/>
    </xf>
    <xf numFmtId="0" fontId="27" fillId="0" borderId="0" xfId="1436" applyNumberFormat="1" applyFont="1" applyFill="1" applyAlignment="1">
      <alignment horizontal="right" vertical="center"/>
    </xf>
    <xf numFmtId="0" fontId="27" fillId="0" borderId="0" xfId="1438" applyNumberFormat="1" applyFont="1" applyFill="1" applyBorder="1" applyAlignment="1">
      <alignment horizontal="right" vertical="center"/>
    </xf>
    <xf numFmtId="0" fontId="26" fillId="0" borderId="0" xfId="1438" applyNumberFormat="1" applyFont="1" applyFill="1" applyBorder="1" applyAlignment="1">
      <alignment horizontal="right" vertical="center"/>
    </xf>
    <xf numFmtId="0" fontId="26" fillId="0" borderId="0" xfId="1438" applyFont="1" applyFill="1" applyBorder="1" applyAlignment="1">
      <alignment horizontal="right" vertical="center"/>
    </xf>
    <xf numFmtId="0" fontId="32" fillId="0" borderId="0" xfId="1436" applyFont="1" applyFill="1">
      <alignment vertical="center"/>
    </xf>
    <xf numFmtId="0" fontId="32" fillId="0" borderId="0" xfId="1436" applyFont="1" applyFill="1" applyBorder="1">
      <alignment vertical="center"/>
    </xf>
    <xf numFmtId="0" fontId="32" fillId="0" borderId="0" xfId="1436" applyFont="1" applyFill="1" applyBorder="1" applyAlignment="1">
      <alignment horizontal="right" vertical="center"/>
    </xf>
    <xf numFmtId="0" fontId="32" fillId="0" borderId="0" xfId="1436" applyFont="1" applyFill="1" applyAlignment="1">
      <alignment horizontal="right" vertical="center"/>
    </xf>
    <xf numFmtId="0" fontId="32" fillId="0" borderId="0" xfId="1436" applyFont="1" applyFill="1" applyAlignment="1">
      <alignment horizontal="center"/>
    </xf>
    <xf numFmtId="0" fontId="32" fillId="0" borderId="0" xfId="1436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178" fontId="26" fillId="0" borderId="0" xfId="0" applyNumberFormat="1" applyFont="1" applyFill="1" applyBorder="1" applyAlignment="1">
      <alignment horizontal="center"/>
    </xf>
    <xf numFmtId="49" fontId="26" fillId="0" borderId="0" xfId="0" applyNumberFormat="1" applyFont="1" applyFill="1" applyBorder="1" applyAlignment="1">
      <alignment horizontal="center"/>
    </xf>
    <xf numFmtId="0" fontId="26" fillId="0" borderId="0" xfId="1436" applyFont="1" applyFill="1" applyAlignment="1">
      <alignment horizontal="center"/>
    </xf>
    <xf numFmtId="49" fontId="26" fillId="0" borderId="0" xfId="1436" applyNumberFormat="1" applyFont="1" applyFill="1" applyBorder="1" applyAlignment="1">
      <alignment horizontal="right" vertical="center"/>
    </xf>
    <xf numFmtId="49" fontId="32" fillId="0" borderId="0" xfId="1436" applyNumberFormat="1" applyFont="1" applyFill="1">
      <alignment vertical="center"/>
    </xf>
    <xf numFmtId="49" fontId="26" fillId="0" borderId="0" xfId="1436" applyNumberFormat="1" applyFont="1" applyFill="1" applyBorder="1">
      <alignment vertical="center"/>
    </xf>
    <xf numFmtId="0" fontId="26" fillId="0" borderId="0" xfId="0" applyFont="1" applyFill="1" applyBorder="1" applyAlignment="1">
      <alignment horizontal="center" vertical="center"/>
    </xf>
    <xf numFmtId="49" fontId="2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34" fillId="0" borderId="0" xfId="1434" applyFont="1" applyAlignment="1">
      <alignment horizontal="center" vertical="center"/>
    </xf>
    <xf numFmtId="0" fontId="35" fillId="0" borderId="0" xfId="1434" applyFont="1" applyAlignment="1">
      <alignment horizontal="center" vertical="center"/>
    </xf>
    <xf numFmtId="0" fontId="1" fillId="0" borderId="0" xfId="1434" applyAlignment="1">
      <alignment horizontal="center" vertical="center"/>
    </xf>
    <xf numFmtId="0" fontId="3" fillId="0" borderId="28" xfId="1434" applyFont="1" applyBorder="1" applyAlignment="1">
      <alignment horizontal="center" vertical="center"/>
    </xf>
    <xf numFmtId="0" fontId="36" fillId="0" borderId="29" xfId="1434" applyFont="1" applyBorder="1" applyAlignment="1">
      <alignment horizontal="center" vertical="center"/>
    </xf>
    <xf numFmtId="0" fontId="36" fillId="0" borderId="30" xfId="1434" applyFont="1" applyBorder="1" applyAlignment="1">
      <alignment horizontal="center" vertical="center"/>
    </xf>
    <xf numFmtId="0" fontId="3" fillId="0" borderId="31" xfId="1434" applyFont="1" applyBorder="1" applyAlignment="1">
      <alignment horizontal="center" vertical="center"/>
    </xf>
    <xf numFmtId="0" fontId="1" fillId="0" borderId="0" xfId="1434" applyFont="1" applyAlignment="1">
      <alignment horizontal="center" vertical="center"/>
    </xf>
    <xf numFmtId="0" fontId="3" fillId="0" borderId="32" xfId="1434" applyFont="1" applyBorder="1" applyAlignment="1">
      <alignment horizontal="center" vertical="center"/>
    </xf>
    <xf numFmtId="0" fontId="3" fillId="0" borderId="33" xfId="1434" applyFont="1" applyBorder="1" applyAlignment="1">
      <alignment horizontal="center" vertical="center"/>
    </xf>
    <xf numFmtId="0" fontId="3" fillId="0" borderId="34" xfId="1434" applyFont="1" applyBorder="1" applyAlignment="1">
      <alignment horizontal="center" vertical="center"/>
    </xf>
    <xf numFmtId="0" fontId="3" fillId="0" borderId="9" xfId="1434" applyFont="1" applyBorder="1" applyAlignment="1">
      <alignment horizontal="center" vertical="center"/>
    </xf>
    <xf numFmtId="0" fontId="3" fillId="0" borderId="35" xfId="1434" applyFont="1" applyBorder="1" applyAlignment="1">
      <alignment horizontal="center" vertical="center"/>
    </xf>
    <xf numFmtId="0" fontId="3" fillId="0" borderId="36" xfId="1434" applyFont="1" applyBorder="1" applyAlignment="1">
      <alignment horizontal="center" vertical="center"/>
    </xf>
    <xf numFmtId="0" fontId="3" fillId="0" borderId="37" xfId="1434" applyFont="1" applyBorder="1" applyAlignment="1">
      <alignment horizontal="center" vertical="center"/>
    </xf>
    <xf numFmtId="0" fontId="3" fillId="0" borderId="38" xfId="1434" applyFont="1" applyBorder="1" applyAlignment="1">
      <alignment horizontal="center" vertical="center"/>
    </xf>
    <xf numFmtId="0" fontId="3" fillId="0" borderId="39" xfId="1434" applyFont="1" applyBorder="1" applyAlignment="1">
      <alignment horizontal="center" vertical="center"/>
    </xf>
    <xf numFmtId="0" fontId="3" fillId="27" borderId="40" xfId="1434" applyNumberFormat="1" applyFont="1" applyFill="1" applyBorder="1" applyAlignment="1">
      <alignment horizontal="center" vertical="center"/>
    </xf>
    <xf numFmtId="0" fontId="1" fillId="0" borderId="0" xfId="1434" applyFont="1" applyFill="1" applyAlignment="1">
      <alignment horizontal="center" vertical="center"/>
    </xf>
    <xf numFmtId="0" fontId="3" fillId="0" borderId="41" xfId="1434" applyFont="1" applyBorder="1" applyAlignment="1">
      <alignment horizontal="center" vertical="center"/>
    </xf>
    <xf numFmtId="0" fontId="3" fillId="27" borderId="42" xfId="1434" applyFont="1" applyFill="1" applyBorder="1" applyAlignment="1">
      <alignment horizontal="center" vertical="center"/>
    </xf>
    <xf numFmtId="0" fontId="3" fillId="27" borderId="40" xfId="1434" applyFont="1" applyFill="1" applyBorder="1" applyAlignment="1">
      <alignment horizontal="center" vertical="center"/>
    </xf>
    <xf numFmtId="0" fontId="3" fillId="0" borderId="0" xfId="1434" applyFont="1" applyBorder="1" applyAlignment="1">
      <alignment horizontal="center" vertical="center"/>
    </xf>
    <xf numFmtId="0" fontId="36" fillId="0" borderId="0" xfId="1434" applyFont="1" applyBorder="1" applyAlignment="1">
      <alignment horizontal="center" vertical="center"/>
    </xf>
    <xf numFmtId="0" fontId="36" fillId="0" borderId="0" xfId="1434" applyFont="1" applyAlignment="1">
      <alignment horizontal="center" vertical="center"/>
    </xf>
    <xf numFmtId="0" fontId="3" fillId="0" borderId="43" xfId="1434" applyFont="1" applyBorder="1" applyAlignment="1">
      <alignment horizontal="center" vertical="center"/>
    </xf>
    <xf numFmtId="0" fontId="36" fillId="0" borderId="34" xfId="1434" applyFont="1" applyBorder="1" applyAlignment="1">
      <alignment horizontal="center" vertical="center"/>
    </xf>
    <xf numFmtId="0" fontId="36" fillId="0" borderId="9" xfId="1434" applyFont="1" applyBorder="1" applyAlignment="1">
      <alignment horizontal="center" vertical="center"/>
    </xf>
    <xf numFmtId="0" fontId="36" fillId="0" borderId="35" xfId="1434" applyFont="1" applyBorder="1" applyAlignment="1">
      <alignment horizontal="center" vertical="center"/>
    </xf>
    <xf numFmtId="0" fontId="36" fillId="0" borderId="44" xfId="1434" applyFont="1" applyBorder="1" applyAlignment="1">
      <alignment horizontal="center" vertical="center"/>
    </xf>
    <xf numFmtId="0" fontId="36" fillId="0" borderId="45" xfId="1434" applyFont="1" applyBorder="1" applyAlignment="1">
      <alignment horizontal="center" vertical="center"/>
    </xf>
    <xf numFmtId="0" fontId="36" fillId="0" borderId="46" xfId="1434" applyFont="1" applyBorder="1" applyAlignment="1">
      <alignment horizontal="center" vertical="center"/>
    </xf>
    <xf numFmtId="0" fontId="36" fillId="0" borderId="47" xfId="1434" applyFont="1" applyBorder="1" applyAlignment="1">
      <alignment horizontal="center" vertical="center"/>
    </xf>
    <xf numFmtId="0" fontId="3" fillId="0" borderId="0" xfId="1434" applyFont="1" applyAlignment="1">
      <alignment horizontal="center" vertical="center"/>
    </xf>
    <xf numFmtId="0" fontId="30" fillId="0" borderId="0" xfId="0" applyFont="1" applyFill="1" applyBorder="1" applyAlignment="1">
      <alignment horizontal="left" vertical="center"/>
    </xf>
    <xf numFmtId="0" fontId="1" fillId="0" borderId="0" xfId="0" applyFont="1">
      <alignment vertical="center"/>
    </xf>
    <xf numFmtId="49" fontId="1" fillId="0" borderId="0" xfId="0" applyNumberFormat="1" applyFont="1">
      <alignment vertical="center"/>
    </xf>
    <xf numFmtId="0" fontId="1" fillId="0" borderId="0" xfId="1436" applyFont="1" applyFill="1">
      <alignment vertical="center"/>
    </xf>
    <xf numFmtId="0" fontId="1" fillId="0" borderId="0" xfId="1436" applyFont="1" applyFill="1" applyAlignment="1">
      <alignment horizontal="right" vertical="center"/>
    </xf>
    <xf numFmtId="49" fontId="1" fillId="0" borderId="0" xfId="1436" applyNumberFormat="1" applyFont="1" applyFill="1">
      <alignment vertical="center"/>
    </xf>
    <xf numFmtId="0" fontId="1" fillId="0" borderId="0" xfId="1436" applyFont="1" applyFill="1" applyBorder="1">
      <alignment vertical="center"/>
    </xf>
    <xf numFmtId="0" fontId="1" fillId="0" borderId="0" xfId="1436" applyFont="1" applyFill="1" applyBorder="1" applyAlignment="1">
      <alignment horizontal="right" vertical="center"/>
    </xf>
    <xf numFmtId="0" fontId="26" fillId="0" borderId="19" xfId="1437" applyFont="1" applyFill="1" applyBorder="1" applyAlignment="1">
      <alignment vertical="center"/>
    </xf>
    <xf numFmtId="0" fontId="26" fillId="0" borderId="0" xfId="1162" applyFont="1" applyFill="1" applyAlignment="1"/>
    <xf numFmtId="0" fontId="26" fillId="0" borderId="19" xfId="1162" applyFont="1" applyFill="1" applyBorder="1" applyAlignment="1"/>
    <xf numFmtId="0" fontId="26" fillId="0" borderId="0" xfId="1162" applyNumberFormat="1" applyFont="1" applyFill="1" applyBorder="1" applyAlignment="1"/>
    <xf numFmtId="178" fontId="26" fillId="0" borderId="0" xfId="0" applyNumberFormat="1" applyFont="1" applyFill="1" applyBorder="1" applyAlignment="1">
      <alignment horizontal="center" vertical="center"/>
    </xf>
    <xf numFmtId="49" fontId="30" fillId="0" borderId="0" xfId="0" applyNumberFormat="1" applyFont="1" applyFill="1" applyBorder="1" applyAlignment="1">
      <alignment horizontal="left" vertical="center"/>
    </xf>
    <xf numFmtId="0" fontId="26" fillId="0" borderId="0" xfId="0" applyFont="1" applyFill="1" applyBorder="1" applyAlignment="1">
      <alignment horizontal="right" vertical="center"/>
    </xf>
    <xf numFmtId="49" fontId="30" fillId="0" borderId="0" xfId="0" applyNumberFormat="1" applyFont="1" applyFill="1" applyBorder="1">
      <alignment vertical="center"/>
    </xf>
    <xf numFmtId="178" fontId="31" fillId="0" borderId="0" xfId="0" applyNumberFormat="1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vertical="center"/>
    </xf>
    <xf numFmtId="0" fontId="3" fillId="0" borderId="0" xfId="1435" applyFont="1" applyFill="1" applyAlignment="1">
      <alignment horizontal="left" vertical="center"/>
    </xf>
    <xf numFmtId="49" fontId="3" fillId="0" borderId="0" xfId="1435" applyNumberFormat="1" applyFont="1" applyFill="1" applyBorder="1" applyAlignment="1">
      <alignment horizontal="left" vertical="center"/>
    </xf>
    <xf numFmtId="0" fontId="3" fillId="0" borderId="0" xfId="1435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6" fillId="0" borderId="0" xfId="1437" applyFont="1" applyBorder="1" applyAlignment="1">
      <alignment vertical="center"/>
    </xf>
    <xf numFmtId="49" fontId="3" fillId="0" borderId="19" xfId="1436" applyNumberFormat="1" applyFont="1" applyFill="1" applyBorder="1" applyAlignment="1">
      <alignment horizontal="center"/>
    </xf>
    <xf numFmtId="49" fontId="3" fillId="0" borderId="0" xfId="1436" applyNumberFormat="1" applyFont="1" applyFill="1" applyAlignment="1">
      <alignment horizontal="center" vertical="center"/>
    </xf>
    <xf numFmtId="0" fontId="26" fillId="0" borderId="0" xfId="1162" applyFont="1" applyBorder="1" applyAlignment="1"/>
    <xf numFmtId="0" fontId="26" fillId="0" borderId="0" xfId="1162" applyFont="1" applyAlignment="1"/>
    <xf numFmtId="0" fontId="26" fillId="0" borderId="19" xfId="1162" applyFont="1" applyBorder="1" applyAlignment="1"/>
    <xf numFmtId="0" fontId="0" fillId="0" borderId="0" xfId="0" applyFont="1">
      <alignment vertical="center"/>
    </xf>
    <xf numFmtId="0" fontId="0" fillId="0" borderId="0" xfId="0" applyFont="1" applyAlignment="1">
      <alignment horizontal="left" vertical="center"/>
    </xf>
    <xf numFmtId="49" fontId="0" fillId="0" borderId="0" xfId="0" applyNumberFormat="1" applyFont="1">
      <alignment vertical="center"/>
    </xf>
    <xf numFmtId="0" fontId="0" fillId="0" borderId="9" xfId="0" applyFont="1" applyBorder="1" applyAlignment="1">
      <alignment horizontal="center" vertical="center"/>
    </xf>
    <xf numFmtId="0" fontId="0" fillId="0" borderId="48" xfId="0" applyFont="1" applyFill="1" applyBorder="1" applyAlignment="1">
      <alignment horizontal="left" vertical="center"/>
    </xf>
    <xf numFmtId="0" fontId="0" fillId="0" borderId="49" xfId="0" applyFont="1" applyFill="1" applyBorder="1" applyAlignment="1">
      <alignment horizontal="left" vertical="center"/>
    </xf>
    <xf numFmtId="49" fontId="0" fillId="0" borderId="49" xfId="0" applyNumberFormat="1" applyFont="1" applyFill="1" applyBorder="1" applyAlignment="1">
      <alignment horizontal="left" vertical="center"/>
    </xf>
    <xf numFmtId="0" fontId="0" fillId="0" borderId="50" xfId="0" applyFont="1" applyFill="1" applyBorder="1" applyAlignment="1">
      <alignment horizontal="left" vertical="center"/>
    </xf>
    <xf numFmtId="49" fontId="0" fillId="0" borderId="9" xfId="0" applyNumberFormat="1" applyFont="1" applyBorder="1" applyAlignment="1">
      <alignment horizontal="center" vertical="center"/>
    </xf>
    <xf numFmtId="0" fontId="96" fillId="0" borderId="9" xfId="918" applyFont="1" applyFill="1" applyBorder="1" applyAlignment="1">
      <alignment horizontal="center" vertical="center"/>
    </xf>
    <xf numFmtId="0" fontId="52" fillId="0" borderId="9" xfId="0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97" fillId="0" borderId="0" xfId="0" applyFont="1" applyFill="1" applyBorder="1">
      <alignment vertical="center"/>
    </xf>
    <xf numFmtId="49" fontId="97" fillId="0" borderId="0" xfId="0" applyNumberFormat="1" applyFont="1">
      <alignment vertical="center"/>
    </xf>
    <xf numFmtId="0" fontId="3" fillId="0" borderId="0" xfId="0" applyFont="1" applyFill="1" applyAlignment="1">
      <alignment horizontal="left" vertical="center"/>
    </xf>
    <xf numFmtId="0" fontId="52" fillId="0" borderId="9" xfId="0" applyFont="1" applyFill="1" applyBorder="1" applyAlignment="1">
      <alignment horizontal="center" vertical="center" wrapText="1"/>
    </xf>
    <xf numFmtId="0" fontId="0" fillId="0" borderId="0" xfId="0" applyFont="1" applyFill="1">
      <alignment vertical="center"/>
    </xf>
    <xf numFmtId="0" fontId="0" fillId="0" borderId="0" xfId="0" applyFont="1" applyFill="1" applyAlignment="1">
      <alignment horizontal="left" vertical="center"/>
    </xf>
    <xf numFmtId="177" fontId="0" fillId="0" borderId="0" xfId="0" applyNumberFormat="1" applyFont="1" applyFill="1">
      <alignment vertical="center"/>
    </xf>
    <xf numFmtId="49" fontId="0" fillId="0" borderId="0" xfId="0" applyNumberFormat="1" applyFont="1" applyFill="1">
      <alignment vertical="center"/>
    </xf>
    <xf numFmtId="0" fontId="0" fillId="0" borderId="0" xfId="0" applyFont="1" applyFill="1" applyAlignment="1">
      <alignment vertical="center" wrapText="1"/>
    </xf>
    <xf numFmtId="0" fontId="3" fillId="0" borderId="0" xfId="0" applyNumberFormat="1" applyFont="1" applyAlignment="1">
      <alignment horizontal="left" vertical="center"/>
    </xf>
    <xf numFmtId="0" fontId="0" fillId="0" borderId="9" xfId="0" applyFont="1" applyFill="1" applyBorder="1" applyAlignment="1">
      <alignment horizontal="center" vertical="center"/>
    </xf>
    <xf numFmtId="0" fontId="97" fillId="0" borderId="9" xfId="0" applyFont="1" applyFill="1" applyBorder="1" applyAlignment="1">
      <alignment horizontal="center" vertical="center"/>
    </xf>
    <xf numFmtId="49" fontId="0" fillId="0" borderId="9" xfId="0" applyNumberFormat="1" applyFont="1" applyFill="1" applyBorder="1" applyAlignment="1">
      <alignment horizontal="center" vertical="center"/>
    </xf>
    <xf numFmtId="49" fontId="97" fillId="0" borderId="9" xfId="0" applyNumberFormat="1" applyFont="1" applyFill="1" applyBorder="1" applyAlignment="1">
      <alignment horizontal="center" vertical="center"/>
    </xf>
    <xf numFmtId="0" fontId="97" fillId="0" borderId="9" xfId="918" applyFont="1" applyFill="1" applyBorder="1" applyAlignment="1">
      <alignment horizontal="center" vertical="center"/>
    </xf>
    <xf numFmtId="0" fontId="0" fillId="0" borderId="0" xfId="1436" applyFont="1" applyFill="1" applyBorder="1" applyAlignment="1">
      <alignment horizontal="right" vertical="center"/>
    </xf>
    <xf numFmtId="0" fontId="0" fillId="0" borderId="0" xfId="1436" applyFont="1" applyFill="1" applyAlignment="1">
      <alignment horizontal="right" vertical="center"/>
    </xf>
    <xf numFmtId="49" fontId="27" fillId="0" borderId="0" xfId="1438" applyNumberFormat="1" applyFont="1" applyFill="1" applyBorder="1" applyAlignment="1">
      <alignment horizontal="right" vertical="center"/>
    </xf>
    <xf numFmtId="177" fontId="97" fillId="0" borderId="0" xfId="0" applyNumberFormat="1" applyFont="1" applyFill="1">
      <alignment vertical="center"/>
    </xf>
    <xf numFmtId="49" fontId="97" fillId="0" borderId="0" xfId="0" applyNumberFormat="1" applyFont="1" applyFill="1">
      <alignment vertical="center"/>
    </xf>
    <xf numFmtId="0" fontId="97" fillId="0" borderId="0" xfId="0" applyFont="1" applyFill="1">
      <alignment vertical="center"/>
    </xf>
    <xf numFmtId="0" fontId="97" fillId="0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0" fontId="98" fillId="0" borderId="0" xfId="0" applyFont="1" applyFill="1" applyBorder="1">
      <alignment vertical="center"/>
    </xf>
    <xf numFmtId="49" fontId="98" fillId="0" borderId="0" xfId="0" applyNumberFormat="1" applyFont="1" applyFill="1">
      <alignment vertical="center"/>
    </xf>
    <xf numFmtId="0" fontId="98" fillId="0" borderId="0" xfId="0" applyFont="1" applyFill="1">
      <alignment vertical="center"/>
    </xf>
    <xf numFmtId="0" fontId="98" fillId="0" borderId="0" xfId="0" applyFont="1" applyFill="1" applyAlignment="1">
      <alignment vertical="center" wrapText="1"/>
    </xf>
    <xf numFmtId="0" fontId="98" fillId="0" borderId="0" xfId="0" applyFont="1" applyFill="1" applyAlignment="1">
      <alignment horizontal="left" vertical="center"/>
    </xf>
    <xf numFmtId="177" fontId="98" fillId="0" borderId="0" xfId="0" applyNumberFormat="1" applyFont="1" applyFill="1">
      <alignment vertical="center"/>
    </xf>
    <xf numFmtId="49" fontId="26" fillId="0" borderId="23" xfId="1436" quotePrefix="1" applyNumberFormat="1" applyFont="1" applyFill="1" applyBorder="1" applyAlignment="1">
      <alignment horizontal="center"/>
    </xf>
    <xf numFmtId="49" fontId="26" fillId="0" borderId="17" xfId="1436" quotePrefix="1" applyNumberFormat="1" applyFont="1" applyFill="1" applyBorder="1" applyAlignment="1">
      <alignment horizontal="center" vertical="center"/>
    </xf>
    <xf numFmtId="0" fontId="0" fillId="61" borderId="0" xfId="0" applyFont="1" applyFill="1">
      <alignment vertical="center"/>
    </xf>
    <xf numFmtId="177" fontId="0" fillId="0" borderId="0" xfId="0" applyNumberFormat="1" applyFont="1" applyFill="1" applyBorder="1">
      <alignment vertical="center"/>
    </xf>
    <xf numFmtId="49" fontId="0" fillId="0" borderId="0" xfId="0" applyNumberFormat="1" applyFont="1" applyFill="1" applyBorder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61" borderId="0" xfId="0" applyFont="1" applyFill="1" applyBorder="1">
      <alignment vertical="center"/>
    </xf>
    <xf numFmtId="0" fontId="97" fillId="0" borderId="0" xfId="0" applyFont="1" applyFill="1" applyBorder="1" applyAlignment="1">
      <alignment vertical="center" wrapText="1"/>
    </xf>
    <xf numFmtId="0" fontId="0" fillId="0" borderId="49" xfId="0" applyFont="1" applyFill="1" applyBorder="1" applyAlignment="1">
      <alignment horizontal="center" vertical="center"/>
    </xf>
    <xf numFmtId="177" fontId="0" fillId="0" borderId="0" xfId="0" applyNumberFormat="1" applyFont="1" applyFill="1" applyBorder="1" applyAlignment="1">
      <alignment horizontal="center" vertical="center"/>
    </xf>
    <xf numFmtId="177" fontId="0" fillId="0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6" fillId="0" borderId="0" xfId="1162" applyNumberFormat="1" applyFont="1" applyBorder="1" applyAlignment="1"/>
    <xf numFmtId="0" fontId="54" fillId="0" borderId="0" xfId="1436" applyNumberFormat="1" applyFont="1" applyFill="1" applyAlignment="1">
      <alignment horizontal="right" vertical="center"/>
    </xf>
    <xf numFmtId="0" fontId="54" fillId="0" borderId="0" xfId="1438" applyNumberFormat="1" applyFont="1" applyFill="1" applyBorder="1" applyAlignment="1">
      <alignment horizontal="right" vertical="center"/>
    </xf>
    <xf numFmtId="0" fontId="53" fillId="0" borderId="0" xfId="1436" applyFont="1" applyFill="1" applyBorder="1" applyAlignment="1">
      <alignment horizontal="right" vertical="center"/>
    </xf>
    <xf numFmtId="0" fontId="53" fillId="0" borderId="0" xfId="1438" applyNumberFormat="1" applyFont="1" applyFill="1" applyBorder="1" applyAlignment="1">
      <alignment horizontal="right" vertical="center"/>
    </xf>
    <xf numFmtId="49" fontId="26" fillId="0" borderId="26" xfId="1436" applyNumberFormat="1" applyFont="1" applyFill="1" applyBorder="1" applyAlignment="1">
      <alignment horizontal="center" vertical="center"/>
    </xf>
    <xf numFmtId="0" fontId="26" fillId="0" borderId="51" xfId="1436" applyFont="1" applyFill="1" applyBorder="1" applyAlignment="1">
      <alignment horizontal="right" vertical="center"/>
    </xf>
    <xf numFmtId="0" fontId="26" fillId="0" borderId="52" xfId="1436" applyFont="1" applyFill="1" applyBorder="1" applyAlignment="1">
      <alignment horizontal="right" vertical="center"/>
    </xf>
    <xf numFmtId="0" fontId="99" fillId="0" borderId="0" xfId="1437" applyFont="1" applyBorder="1" applyAlignment="1">
      <alignment vertical="center"/>
    </xf>
    <xf numFmtId="0" fontId="99" fillId="0" borderId="20" xfId="1436" applyFont="1" applyFill="1" applyBorder="1" applyAlignment="1">
      <alignment horizontal="center"/>
    </xf>
    <xf numFmtId="49" fontId="99" fillId="0" borderId="9" xfId="1436" applyNumberFormat="1" applyFont="1" applyFill="1" applyBorder="1" applyAlignment="1">
      <alignment horizontal="center"/>
    </xf>
    <xf numFmtId="0" fontId="99" fillId="0" borderId="9" xfId="1436" applyFont="1" applyFill="1" applyBorder="1" applyAlignment="1">
      <alignment horizontal="right" vertical="center"/>
    </xf>
    <xf numFmtId="0" fontId="99" fillId="0" borderId="21" xfId="1436" applyFont="1" applyFill="1" applyBorder="1" applyAlignment="1">
      <alignment horizontal="right" vertical="center"/>
    </xf>
    <xf numFmtId="0" fontId="99" fillId="0" borderId="0" xfId="1162" applyFont="1" applyFill="1" applyBorder="1" applyAlignment="1"/>
    <xf numFmtId="0" fontId="55" fillId="0" borderId="9" xfId="0" applyFont="1" applyFill="1" applyBorder="1" applyAlignment="1">
      <alignment horizontal="center" vertical="center"/>
    </xf>
    <xf numFmtId="49" fontId="55" fillId="0" borderId="9" xfId="0" applyNumberFormat="1" applyFont="1" applyFill="1" applyBorder="1" applyAlignment="1">
      <alignment horizontal="center" vertical="center"/>
    </xf>
    <xf numFmtId="0" fontId="55" fillId="0" borderId="9" xfId="0" applyFont="1" applyFill="1" applyBorder="1" applyAlignment="1">
      <alignment horizontal="center" vertical="center" wrapText="1"/>
    </xf>
    <xf numFmtId="177" fontId="55" fillId="0" borderId="9" xfId="0" applyNumberFormat="1" applyFont="1" applyFill="1" applyBorder="1" applyAlignment="1">
      <alignment horizontal="center" vertical="center"/>
    </xf>
    <xf numFmtId="0" fontId="100" fillId="0" borderId="9" xfId="915" applyFont="1" applyFill="1" applyBorder="1" applyAlignment="1">
      <alignment horizontal="center" vertical="center"/>
    </xf>
    <xf numFmtId="0" fontId="55" fillId="0" borderId="53" xfId="1434" applyFont="1" applyBorder="1" applyAlignment="1">
      <alignment horizontal="center" vertical="center"/>
    </xf>
    <xf numFmtId="0" fontId="56" fillId="0" borderId="29" xfId="1434" applyFont="1" applyBorder="1" applyAlignment="1">
      <alignment horizontal="center" vertical="center"/>
    </xf>
    <xf numFmtId="0" fontId="56" fillId="0" borderId="54" xfId="1434" applyFont="1" applyBorder="1" applyAlignment="1">
      <alignment horizontal="center" vertical="center"/>
    </xf>
    <xf numFmtId="0" fontId="55" fillId="0" borderId="31" xfId="1434" applyFont="1" applyBorder="1" applyAlignment="1">
      <alignment horizontal="center" vertical="center"/>
    </xf>
    <xf numFmtId="0" fontId="55" fillId="0" borderId="32" xfId="1434" applyFont="1" applyBorder="1" applyAlignment="1">
      <alignment horizontal="center" vertical="center"/>
    </xf>
    <xf numFmtId="0" fontId="55" fillId="0" borderId="55" xfId="1434" applyFont="1" applyBorder="1" applyAlignment="1">
      <alignment horizontal="center" vertical="center"/>
    </xf>
    <xf numFmtId="0" fontId="55" fillId="0" borderId="56" xfId="1434" applyFont="1" applyBorder="1" applyAlignment="1">
      <alignment horizontal="center" vertical="center"/>
    </xf>
    <xf numFmtId="0" fontId="55" fillId="0" borderId="33" xfId="1434" applyFont="1" applyBorder="1" applyAlignment="1">
      <alignment horizontal="center" vertical="center"/>
    </xf>
    <xf numFmtId="0" fontId="55" fillId="0" borderId="57" xfId="1434" applyFont="1" applyBorder="1" applyAlignment="1">
      <alignment horizontal="center" vertical="center"/>
    </xf>
    <xf numFmtId="0" fontId="55" fillId="0" borderId="34" xfId="1434" applyFont="1" applyBorder="1" applyAlignment="1">
      <alignment horizontal="center" vertical="center"/>
    </xf>
    <xf numFmtId="0" fontId="55" fillId="0" borderId="35" xfId="1434" applyFont="1" applyBorder="1" applyAlignment="1">
      <alignment horizontal="center" vertical="center"/>
    </xf>
    <xf numFmtId="0" fontId="55" fillId="0" borderId="36" xfId="1434" applyFont="1" applyBorder="1" applyAlignment="1">
      <alignment horizontal="center" vertical="center"/>
    </xf>
    <xf numFmtId="0" fontId="55" fillId="0" borderId="58" xfId="1434" applyFont="1" applyBorder="1" applyAlignment="1">
      <alignment horizontal="center" vertical="center"/>
    </xf>
    <xf numFmtId="0" fontId="55" fillId="0" borderId="37" xfId="1434" applyFont="1" applyBorder="1" applyAlignment="1">
      <alignment horizontal="center" vertical="center"/>
    </xf>
    <xf numFmtId="0" fontId="55" fillId="0" borderId="44" xfId="1434" applyFont="1" applyBorder="1" applyAlignment="1">
      <alignment horizontal="center" vertical="center"/>
    </xf>
    <xf numFmtId="0" fontId="55" fillId="0" borderId="45" xfId="1434" applyFont="1" applyBorder="1" applyAlignment="1">
      <alignment horizontal="center" vertical="center"/>
    </xf>
    <xf numFmtId="0" fontId="55" fillId="0" borderId="38" xfId="1434" applyFont="1" applyBorder="1" applyAlignment="1">
      <alignment horizontal="center" vertical="center"/>
    </xf>
    <xf numFmtId="0" fontId="55" fillId="0" borderId="59" xfId="1434" applyFont="1" applyBorder="1" applyAlignment="1">
      <alignment horizontal="center" vertical="center"/>
    </xf>
    <xf numFmtId="0" fontId="55" fillId="0" borderId="60" xfId="1434" applyFont="1" applyBorder="1" applyAlignment="1">
      <alignment horizontal="center" vertical="center"/>
    </xf>
    <xf numFmtId="0" fontId="55" fillId="0" borderId="61" xfId="1434" applyFont="1" applyBorder="1" applyAlignment="1">
      <alignment horizontal="center" vertical="center"/>
    </xf>
    <xf numFmtId="0" fontId="55" fillId="0" borderId="62" xfId="1434" applyFont="1" applyBorder="1" applyAlignment="1">
      <alignment horizontal="center" vertical="center"/>
    </xf>
    <xf numFmtId="0" fontId="55" fillId="0" borderId="9" xfId="1434" applyFont="1" applyBorder="1" applyAlignment="1">
      <alignment horizontal="center" vertical="center"/>
    </xf>
    <xf numFmtId="0" fontId="55" fillId="0" borderId="63" xfId="1434" applyFont="1" applyBorder="1" applyAlignment="1">
      <alignment horizontal="center" vertical="center"/>
    </xf>
    <xf numFmtId="0" fontId="55" fillId="0" borderId="64" xfId="1434" applyFont="1" applyBorder="1" applyAlignment="1">
      <alignment horizontal="center" vertical="center"/>
    </xf>
    <xf numFmtId="0" fontId="55" fillId="0" borderId="39" xfId="1434" applyFont="1" applyBorder="1" applyAlignment="1">
      <alignment horizontal="center" vertical="center"/>
    </xf>
    <xf numFmtId="0" fontId="55" fillId="0" borderId="65" xfId="1434" applyFont="1" applyBorder="1" applyAlignment="1">
      <alignment horizontal="center" vertical="center"/>
    </xf>
    <xf numFmtId="0" fontId="55" fillId="0" borderId="66" xfId="1434" applyFont="1" applyBorder="1" applyAlignment="1">
      <alignment horizontal="center" vertical="center"/>
    </xf>
    <xf numFmtId="0" fontId="55" fillId="0" borderId="46" xfId="1434" applyFont="1" applyBorder="1" applyAlignment="1">
      <alignment horizontal="center" vertical="center"/>
    </xf>
    <xf numFmtId="0" fontId="55" fillId="27" borderId="67" xfId="1434" applyNumberFormat="1" applyFont="1" applyFill="1" applyBorder="1" applyAlignment="1">
      <alignment horizontal="center" vertical="center"/>
    </xf>
    <xf numFmtId="0" fontId="55" fillId="27" borderId="42" xfId="1434" applyNumberFormat="1" applyFont="1" applyFill="1" applyBorder="1" applyAlignment="1">
      <alignment horizontal="center" vertical="center"/>
    </xf>
    <xf numFmtId="0" fontId="55" fillId="27" borderId="40" xfId="1434" applyNumberFormat="1" applyFont="1" applyFill="1" applyBorder="1" applyAlignment="1">
      <alignment horizontal="center" vertical="center"/>
    </xf>
    <xf numFmtId="0" fontId="55" fillId="0" borderId="68" xfId="1434" applyFont="1" applyBorder="1" applyAlignment="1">
      <alignment horizontal="center" vertical="center"/>
    </xf>
    <xf numFmtId="0" fontId="55" fillId="0" borderId="69" xfId="1434" applyFont="1" applyBorder="1" applyAlignment="1">
      <alignment horizontal="center" vertical="center"/>
    </xf>
    <xf numFmtId="0" fontId="55" fillId="0" borderId="70" xfId="1434" applyFont="1" applyBorder="1" applyAlignment="1">
      <alignment horizontal="center" vertical="center"/>
    </xf>
    <xf numFmtId="0" fontId="55" fillId="0" borderId="71" xfId="1434" applyFont="1" applyBorder="1" applyAlignment="1">
      <alignment horizontal="center" vertical="center"/>
    </xf>
    <xf numFmtId="0" fontId="55" fillId="0" borderId="41" xfId="1434" applyFont="1" applyBorder="1" applyAlignment="1">
      <alignment horizontal="center" vertical="center"/>
    </xf>
    <xf numFmtId="0" fontId="55" fillId="0" borderId="72" xfId="1434" applyFont="1" applyBorder="1" applyAlignment="1">
      <alignment horizontal="center" vertical="center"/>
    </xf>
    <xf numFmtId="0" fontId="55" fillId="0" borderId="73" xfId="1434" applyFont="1" applyBorder="1" applyAlignment="1">
      <alignment horizontal="center" vertical="center"/>
    </xf>
    <xf numFmtId="0" fontId="55" fillId="0" borderId="74" xfId="1434" applyFont="1" applyBorder="1" applyAlignment="1">
      <alignment horizontal="center" vertical="center"/>
    </xf>
    <xf numFmtId="0" fontId="55" fillId="0" borderId="75" xfId="1434" applyFont="1" applyBorder="1" applyAlignment="1">
      <alignment horizontal="center" vertical="center"/>
    </xf>
    <xf numFmtId="0" fontId="55" fillId="0" borderId="76" xfId="1434" applyFont="1" applyBorder="1" applyAlignment="1">
      <alignment horizontal="center" vertical="center"/>
    </xf>
    <xf numFmtId="0" fontId="55" fillId="0" borderId="78" xfId="1434" applyFont="1" applyBorder="1" applyAlignment="1">
      <alignment horizontal="center" vertical="center"/>
    </xf>
    <xf numFmtId="0" fontId="55" fillId="0" borderId="79" xfId="1434" applyFont="1" applyBorder="1" applyAlignment="1">
      <alignment horizontal="center" vertical="center"/>
    </xf>
    <xf numFmtId="0" fontId="55" fillId="0" borderId="80" xfId="1434" applyFont="1" applyBorder="1" applyAlignment="1">
      <alignment horizontal="center" vertical="center"/>
    </xf>
    <xf numFmtId="0" fontId="55" fillId="0" borderId="81" xfId="1434" applyFont="1" applyBorder="1" applyAlignment="1">
      <alignment horizontal="center" vertical="center"/>
    </xf>
    <xf numFmtId="0" fontId="55" fillId="27" borderId="67" xfId="1434" applyFont="1" applyFill="1" applyBorder="1" applyAlignment="1">
      <alignment horizontal="center" vertical="center"/>
    </xf>
    <xf numFmtId="0" fontId="55" fillId="27" borderId="42" xfId="1434" applyFont="1" applyFill="1" applyBorder="1" applyAlignment="1">
      <alignment vertical="center"/>
    </xf>
    <xf numFmtId="0" fontId="55" fillId="27" borderId="82" xfId="1434" applyNumberFormat="1" applyFont="1" applyFill="1" applyBorder="1" applyAlignment="1">
      <alignment horizontal="center" vertical="center"/>
    </xf>
    <xf numFmtId="0" fontId="55" fillId="27" borderId="40" xfId="1434" applyFont="1" applyFill="1" applyBorder="1" applyAlignment="1">
      <alignment horizontal="center" vertical="center"/>
    </xf>
    <xf numFmtId="49" fontId="99" fillId="0" borderId="9" xfId="1436" applyNumberFormat="1" applyFont="1" applyFill="1" applyBorder="1" applyAlignment="1">
      <alignment horizontal="center" vertical="center"/>
    </xf>
    <xf numFmtId="0" fontId="99" fillId="0" borderId="0" xfId="1162" applyFont="1" applyBorder="1" applyAlignment="1"/>
    <xf numFmtId="0" fontId="97" fillId="0" borderId="0" xfId="0" applyFont="1" applyFill="1" applyAlignment="1">
      <alignment horizontal="left" vertical="center"/>
    </xf>
    <xf numFmtId="177" fontId="97" fillId="0" borderId="0" xfId="0" applyNumberFormat="1" applyFont="1" applyFill="1" applyAlignment="1">
      <alignment horizontal="center" vertical="center"/>
    </xf>
    <xf numFmtId="49" fontId="97" fillId="0" borderId="0" xfId="0" applyNumberFormat="1" applyFont="1" applyFill="1" applyBorder="1">
      <alignment vertical="center"/>
    </xf>
    <xf numFmtId="177" fontId="0" fillId="0" borderId="9" xfId="0" applyNumberFormat="1" applyFont="1" applyFill="1" applyBorder="1" applyAlignment="1">
      <alignment horizontal="center" vertical="center"/>
    </xf>
    <xf numFmtId="0" fontId="0" fillId="0" borderId="9" xfId="918" applyFont="1" applyFill="1" applyBorder="1" applyAlignment="1">
      <alignment horizontal="center" vertical="center"/>
    </xf>
    <xf numFmtId="49" fontId="0" fillId="0" borderId="9" xfId="1079" applyNumberFormat="1" applyFont="1" applyFill="1" applyBorder="1" applyAlignment="1">
      <alignment horizontal="center" vertical="center"/>
    </xf>
    <xf numFmtId="0" fontId="0" fillId="0" borderId="9" xfId="916" applyFont="1" applyFill="1" applyBorder="1" applyAlignment="1">
      <alignment horizontal="center" vertical="center"/>
    </xf>
    <xf numFmtId="0" fontId="55" fillId="27" borderId="83" xfId="1434" applyFont="1" applyFill="1" applyBorder="1" applyAlignment="1">
      <alignment horizontal="center" vertical="center"/>
    </xf>
    <xf numFmtId="0" fontId="99" fillId="0" borderId="25" xfId="1436" applyFont="1" applyFill="1" applyBorder="1" applyAlignment="1">
      <alignment horizontal="center"/>
    </xf>
    <xf numFmtId="49" fontId="99" fillId="0" borderId="26" xfId="1436" applyNumberFormat="1" applyFont="1" applyFill="1" applyBorder="1" applyAlignment="1">
      <alignment horizontal="center"/>
    </xf>
    <xf numFmtId="0" fontId="99" fillId="0" borderId="26" xfId="1436" applyFont="1" applyFill="1" applyBorder="1" applyAlignment="1">
      <alignment horizontal="right" vertical="center"/>
    </xf>
    <xf numFmtId="0" fontId="99" fillId="0" borderId="27" xfId="1436" applyFont="1" applyFill="1" applyBorder="1" applyAlignment="1">
      <alignment horizontal="right" vertical="center"/>
    </xf>
    <xf numFmtId="0" fontId="97" fillId="0" borderId="0" xfId="0" applyFont="1" applyFill="1" applyBorder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97" fillId="0" borderId="0" xfId="0" applyFont="1" applyFill="1" applyBorder="1" applyAlignment="1">
      <alignment horizontal="center" vertical="center"/>
    </xf>
    <xf numFmtId="0" fontId="3" fillId="0" borderId="102" xfId="0" pivotButton="1" applyFont="1" applyBorder="1" applyAlignment="1">
      <alignment horizontal="left" vertical="center"/>
    </xf>
    <xf numFmtId="0" fontId="3" fillId="0" borderId="103" xfId="0" applyFont="1" applyBorder="1" applyAlignment="1">
      <alignment horizontal="left" vertical="center"/>
    </xf>
    <xf numFmtId="0" fontId="3" fillId="0" borderId="104" xfId="0" applyFont="1" applyBorder="1" applyAlignment="1">
      <alignment horizontal="left" vertical="center"/>
    </xf>
    <xf numFmtId="0" fontId="3" fillId="0" borderId="102" xfId="0" applyFont="1" applyBorder="1" applyAlignment="1">
      <alignment horizontal="left" vertical="center"/>
    </xf>
    <xf numFmtId="0" fontId="3" fillId="0" borderId="105" xfId="0" applyFont="1" applyBorder="1" applyAlignment="1">
      <alignment horizontal="left" vertical="center"/>
    </xf>
    <xf numFmtId="0" fontId="3" fillId="0" borderId="106" xfId="0" applyFont="1" applyBorder="1" applyAlignment="1">
      <alignment horizontal="left" vertical="center"/>
    </xf>
    <xf numFmtId="0" fontId="3" fillId="0" borderId="102" xfId="0" applyNumberFormat="1" applyFont="1" applyBorder="1" applyAlignment="1">
      <alignment horizontal="left" vertical="center"/>
    </xf>
    <xf numFmtId="0" fontId="3" fillId="0" borderId="105" xfId="0" applyNumberFormat="1" applyFont="1" applyBorder="1" applyAlignment="1">
      <alignment horizontal="left" vertical="center"/>
    </xf>
    <xf numFmtId="0" fontId="3" fillId="0" borderId="106" xfId="0" applyNumberFormat="1" applyFont="1" applyBorder="1" applyAlignment="1">
      <alignment horizontal="left" vertical="center"/>
    </xf>
    <xf numFmtId="0" fontId="3" fillId="0" borderId="107" xfId="0" applyFont="1" applyBorder="1" applyAlignment="1">
      <alignment horizontal="left" vertical="center"/>
    </xf>
    <xf numFmtId="0" fontId="3" fillId="0" borderId="107" xfId="0" applyNumberFormat="1" applyFont="1" applyBorder="1" applyAlignment="1">
      <alignment horizontal="left" vertical="center"/>
    </xf>
    <xf numFmtId="0" fontId="3" fillId="0" borderId="108" xfId="0" applyNumberFormat="1" applyFont="1" applyBorder="1" applyAlignment="1">
      <alignment horizontal="left" vertical="center"/>
    </xf>
    <xf numFmtId="0" fontId="3" fillId="0" borderId="109" xfId="0" applyFont="1" applyBorder="1" applyAlignment="1">
      <alignment horizontal="left" vertical="center"/>
    </xf>
    <xf numFmtId="0" fontId="3" fillId="0" borderId="109" xfId="0" applyNumberFormat="1" applyFont="1" applyBorder="1" applyAlignment="1">
      <alignment horizontal="left" vertical="center"/>
    </xf>
    <xf numFmtId="0" fontId="3" fillId="0" borderId="110" xfId="0" applyNumberFormat="1" applyFont="1" applyBorder="1" applyAlignment="1">
      <alignment horizontal="left" vertical="center"/>
    </xf>
    <xf numFmtId="0" fontId="3" fillId="0" borderId="111" xfId="0" applyNumberFormat="1" applyFont="1" applyBorder="1" applyAlignment="1">
      <alignment horizontal="left" vertical="center"/>
    </xf>
    <xf numFmtId="0" fontId="3" fillId="61" borderId="102" xfId="0" applyFont="1" applyFill="1" applyBorder="1" applyAlignment="1">
      <alignment horizontal="left" vertical="center"/>
    </xf>
    <xf numFmtId="0" fontId="99" fillId="0" borderId="0" xfId="1437" applyFont="1" applyFill="1" applyBorder="1" applyAlignment="1">
      <alignment vertical="center"/>
    </xf>
    <xf numFmtId="0" fontId="99" fillId="0" borderId="19" xfId="1436" applyFont="1" applyFill="1" applyBorder="1" applyAlignment="1"/>
    <xf numFmtId="0" fontId="99" fillId="0" borderId="17" xfId="1436" applyFont="1" applyFill="1" applyBorder="1" applyAlignment="1">
      <alignment horizontal="right" vertical="center"/>
    </xf>
    <xf numFmtId="0" fontId="99" fillId="0" borderId="18" xfId="1436" applyFont="1" applyFill="1" applyBorder="1" applyAlignment="1">
      <alignment horizontal="right" vertical="center"/>
    </xf>
    <xf numFmtId="0" fontId="55" fillId="62" borderId="9" xfId="0" applyFont="1" applyFill="1" applyBorder="1" applyAlignment="1">
      <alignment horizontal="center" vertical="center"/>
    </xf>
    <xf numFmtId="0" fontId="55" fillId="0" borderId="62" xfId="1434" applyFont="1" applyFill="1" applyBorder="1" applyAlignment="1">
      <alignment horizontal="center" vertical="center"/>
    </xf>
    <xf numFmtId="0" fontId="55" fillId="0" borderId="60" xfId="1434" applyFont="1" applyFill="1" applyBorder="1" applyAlignment="1">
      <alignment horizontal="center" vertical="center"/>
    </xf>
    <xf numFmtId="0" fontId="55" fillId="0" borderId="55" xfId="1434" applyFont="1" applyFill="1" applyBorder="1" applyAlignment="1">
      <alignment horizontal="center" vertical="center"/>
    </xf>
    <xf numFmtId="0" fontId="55" fillId="0" borderId="56" xfId="1434" applyFont="1" applyFill="1" applyBorder="1" applyAlignment="1">
      <alignment horizontal="center" vertical="center"/>
    </xf>
    <xf numFmtId="0" fontId="55" fillId="0" borderId="37" xfId="1434" applyFont="1" applyFill="1" applyBorder="1" applyAlignment="1">
      <alignment horizontal="center" vertical="center"/>
    </xf>
    <xf numFmtId="0" fontId="55" fillId="0" borderId="44" xfId="1434" applyFont="1" applyFill="1" applyBorder="1" applyAlignment="1">
      <alignment horizontal="center" vertical="center"/>
    </xf>
    <xf numFmtId="0" fontId="55" fillId="0" borderId="45" xfId="1434" applyFont="1" applyFill="1" applyBorder="1" applyAlignment="1">
      <alignment horizontal="center" vertical="center"/>
    </xf>
    <xf numFmtId="0" fontId="55" fillId="0" borderId="32" xfId="1434" applyFont="1" applyFill="1" applyBorder="1" applyAlignment="1">
      <alignment horizontal="center" vertical="center"/>
    </xf>
    <xf numFmtId="0" fontId="55" fillId="0" borderId="63" xfId="1434" applyFont="1" applyFill="1" applyBorder="1" applyAlignment="1">
      <alignment horizontal="center" vertical="center"/>
    </xf>
    <xf numFmtId="0" fontId="55" fillId="0" borderId="39" xfId="1434" applyFont="1" applyFill="1" applyBorder="1" applyAlignment="1">
      <alignment horizontal="center" vertical="center"/>
    </xf>
    <xf numFmtId="0" fontId="55" fillId="0" borderId="46" xfId="1434" applyFont="1" applyFill="1" applyBorder="1" applyAlignment="1">
      <alignment horizontal="center" vertical="center"/>
    </xf>
    <xf numFmtId="0" fontId="55" fillId="0" borderId="65" xfId="1434" applyFont="1" applyFill="1" applyBorder="1" applyAlignment="1">
      <alignment horizontal="center" vertical="center"/>
    </xf>
    <xf numFmtId="0" fontId="55" fillId="0" borderId="34" xfId="1434" applyFont="1" applyFill="1" applyBorder="1" applyAlignment="1">
      <alignment horizontal="center" vertical="center"/>
    </xf>
    <xf numFmtId="0" fontId="55" fillId="0" borderId="35" xfId="1434" applyFont="1" applyFill="1" applyBorder="1" applyAlignment="1">
      <alignment horizontal="center" vertical="center"/>
    </xf>
    <xf numFmtId="0" fontId="3" fillId="0" borderId="33" xfId="1434" applyFont="1" applyFill="1" applyBorder="1" applyAlignment="1">
      <alignment horizontal="center" vertical="center"/>
    </xf>
    <xf numFmtId="0" fontId="3" fillId="0" borderId="38" xfId="1434" applyFont="1" applyFill="1" applyBorder="1" applyAlignment="1">
      <alignment horizontal="center" vertical="center"/>
    </xf>
    <xf numFmtId="0" fontId="3" fillId="0" borderId="64" xfId="1434" applyFont="1" applyFill="1" applyBorder="1" applyAlignment="1">
      <alignment horizontal="center" vertical="center"/>
    </xf>
    <xf numFmtId="0" fontId="3" fillId="0" borderId="66" xfId="1434" applyFont="1" applyFill="1" applyBorder="1" applyAlignment="1">
      <alignment horizontal="center" vertical="center"/>
    </xf>
    <xf numFmtId="0" fontId="3" fillId="0" borderId="79" xfId="1434" applyFont="1" applyFill="1" applyBorder="1" applyAlignment="1">
      <alignment horizontal="center" vertical="center"/>
    </xf>
    <xf numFmtId="0" fontId="55" fillId="0" borderId="36" xfId="1434" applyFont="1" applyFill="1" applyBorder="1" applyAlignment="1">
      <alignment horizontal="center" vertical="center"/>
    </xf>
    <xf numFmtId="0" fontId="55" fillId="0" borderId="38" xfId="1434" applyFont="1" applyFill="1" applyBorder="1" applyAlignment="1">
      <alignment horizontal="center" vertical="center"/>
    </xf>
    <xf numFmtId="0" fontId="55" fillId="0" borderId="84" xfId="1434" applyFont="1" applyFill="1" applyBorder="1" applyAlignment="1">
      <alignment horizontal="center" vertical="center"/>
    </xf>
    <xf numFmtId="0" fontId="55" fillId="0" borderId="77" xfId="1434" applyFont="1" applyFill="1" applyBorder="1" applyAlignment="1">
      <alignment horizontal="center" vertical="center"/>
    </xf>
    <xf numFmtId="0" fontId="55" fillId="0" borderId="85" xfId="1434" applyFont="1" applyFill="1" applyBorder="1" applyAlignment="1">
      <alignment horizontal="center" vertical="center"/>
    </xf>
    <xf numFmtId="49" fontId="99" fillId="0" borderId="17" xfId="1436" applyNumberFormat="1" applyFont="1" applyFill="1" applyBorder="1" applyAlignment="1">
      <alignment horizontal="center" vertical="center"/>
    </xf>
    <xf numFmtId="0" fontId="99" fillId="0" borderId="16" xfId="1436" applyFont="1" applyFill="1" applyBorder="1" applyAlignment="1">
      <alignment horizontal="center"/>
    </xf>
    <xf numFmtId="0" fontId="55" fillId="0" borderId="77" xfId="1434" applyFont="1" applyBorder="1" applyAlignment="1">
      <alignment horizontal="center" vertical="center"/>
    </xf>
    <xf numFmtId="0" fontId="102" fillId="0" borderId="23" xfId="1436" applyFont="1" applyFill="1" applyBorder="1" applyAlignment="1">
      <alignment horizontal="right" vertical="center"/>
    </xf>
    <xf numFmtId="0" fontId="102" fillId="0" borderId="9" xfId="1436" applyFont="1" applyFill="1" applyBorder="1" applyAlignment="1">
      <alignment horizontal="right" vertical="center"/>
    </xf>
    <xf numFmtId="0" fontId="102" fillId="0" borderId="17" xfId="1436" applyFont="1" applyFill="1" applyBorder="1" applyAlignment="1">
      <alignment horizontal="right" vertical="center"/>
    </xf>
    <xf numFmtId="0" fontId="103" fillId="0" borderId="17" xfId="1436" applyFont="1" applyFill="1" applyBorder="1" applyAlignment="1">
      <alignment horizontal="right" vertical="center"/>
    </xf>
    <xf numFmtId="0" fontId="97" fillId="0" borderId="0" xfId="0" applyFont="1" applyFill="1" applyBorder="1" applyAlignment="1">
      <alignment horizontal="left" vertical="center"/>
    </xf>
    <xf numFmtId="0" fontId="99" fillId="0" borderId="0" xfId="1162" applyFont="1" applyAlignment="1"/>
    <xf numFmtId="0" fontId="99" fillId="0" borderId="19" xfId="1437" applyFont="1" applyBorder="1" applyAlignment="1">
      <alignment vertical="center"/>
    </xf>
    <xf numFmtId="0" fontId="104" fillId="0" borderId="17" xfId="1436" applyFont="1" applyFill="1" applyBorder="1" applyAlignment="1">
      <alignment horizontal="right" vertical="center"/>
    </xf>
    <xf numFmtId="0" fontId="99" fillId="0" borderId="23" xfId="1436" applyFont="1" applyFill="1" applyBorder="1" applyAlignment="1">
      <alignment horizontal="right" vertical="center"/>
    </xf>
    <xf numFmtId="0" fontId="99" fillId="0" borderId="24" xfId="1436" applyFont="1" applyFill="1" applyBorder="1" applyAlignment="1">
      <alignment horizontal="right" vertical="center"/>
    </xf>
    <xf numFmtId="0" fontId="0" fillId="61" borderId="0" xfId="0" applyFont="1" applyFill="1" applyAlignment="1">
      <alignment horizontal="left" vertical="center"/>
    </xf>
    <xf numFmtId="0" fontId="55" fillId="63" borderId="9" xfId="0" applyFont="1" applyFill="1" applyBorder="1" applyAlignment="1">
      <alignment horizontal="center" vertical="center"/>
    </xf>
    <xf numFmtId="0" fontId="55" fillId="64" borderId="9" xfId="0" applyFont="1" applyFill="1" applyBorder="1" applyAlignment="1">
      <alignment horizontal="center" vertical="center"/>
    </xf>
    <xf numFmtId="177" fontId="55" fillId="64" borderId="9" xfId="0" applyNumberFormat="1" applyFont="1" applyFill="1" applyBorder="1" applyAlignment="1">
      <alignment horizontal="center" vertical="center"/>
    </xf>
    <xf numFmtId="49" fontId="55" fillId="64" borderId="9" xfId="0" applyNumberFormat="1" applyFont="1" applyFill="1" applyBorder="1" applyAlignment="1">
      <alignment horizontal="center" vertical="center"/>
    </xf>
    <xf numFmtId="0" fontId="100" fillId="64" borderId="9" xfId="915" applyFont="1" applyFill="1" applyBorder="1" applyAlignment="1">
      <alignment horizontal="center" vertical="center"/>
    </xf>
    <xf numFmtId="0" fontId="52" fillId="64" borderId="9" xfId="0" applyFont="1" applyFill="1" applyBorder="1" applyAlignment="1">
      <alignment horizontal="center" vertical="center"/>
    </xf>
    <xf numFmtId="0" fontId="105" fillId="64" borderId="9" xfId="0" applyFont="1" applyFill="1" applyBorder="1" applyAlignment="1">
      <alignment horizontal="center" vertical="center"/>
    </xf>
    <xf numFmtId="177" fontId="105" fillId="64" borderId="9" xfId="0" applyNumberFormat="1" applyFont="1" applyFill="1" applyBorder="1" applyAlignment="1">
      <alignment horizontal="center" vertical="center"/>
    </xf>
    <xf numFmtId="0" fontId="105" fillId="64" borderId="9" xfId="915" applyFont="1" applyFill="1" applyBorder="1" applyAlignment="1">
      <alignment horizontal="center" vertical="center"/>
    </xf>
    <xf numFmtId="0" fontId="106" fillId="64" borderId="9" xfId="0" applyFont="1" applyFill="1" applyBorder="1" applyAlignment="1">
      <alignment horizontal="center" vertical="center"/>
    </xf>
    <xf numFmtId="0" fontId="105" fillId="0" borderId="9" xfId="0" applyFont="1" applyFill="1" applyBorder="1" applyAlignment="1">
      <alignment horizontal="center" vertical="center"/>
    </xf>
    <xf numFmtId="177" fontId="105" fillId="0" borderId="9" xfId="0" applyNumberFormat="1" applyFont="1" applyFill="1" applyBorder="1" applyAlignment="1">
      <alignment horizontal="center" vertical="center"/>
    </xf>
    <xf numFmtId="0" fontId="105" fillId="0" borderId="9" xfId="915" applyFont="1" applyFill="1" applyBorder="1" applyAlignment="1">
      <alignment horizontal="center" vertical="center"/>
    </xf>
    <xf numFmtId="0" fontId="106" fillId="0" borderId="9" xfId="0" applyFont="1" applyFill="1" applyBorder="1" applyAlignment="1">
      <alignment horizontal="center" vertical="center"/>
    </xf>
    <xf numFmtId="0" fontId="105" fillId="62" borderId="9" xfId="0" applyFont="1" applyFill="1" applyBorder="1" applyAlignment="1">
      <alignment horizontal="center" vertical="center"/>
    </xf>
    <xf numFmtId="0" fontId="55" fillId="61" borderId="9" xfId="0" applyFont="1" applyFill="1" applyBorder="1" applyAlignment="1">
      <alignment horizontal="center" vertical="center"/>
    </xf>
    <xf numFmtId="49" fontId="105" fillId="61" borderId="9" xfId="0" applyNumberFormat="1" applyFont="1" applyFill="1" applyBorder="1" applyAlignment="1">
      <alignment horizontal="center" vertical="center"/>
    </xf>
    <xf numFmtId="0" fontId="97" fillId="61" borderId="0" xfId="0" applyFont="1" applyFill="1" applyBorder="1">
      <alignment vertical="center"/>
    </xf>
    <xf numFmtId="177" fontId="0" fillId="0" borderId="0" xfId="0" applyNumberFormat="1" applyFont="1" applyAlignment="1">
      <alignment horizontal="center" vertical="center"/>
    </xf>
    <xf numFmtId="49" fontId="0" fillId="61" borderId="0" xfId="0" applyNumberFormat="1" applyFont="1" applyFill="1" applyBorder="1">
      <alignment vertical="center"/>
    </xf>
    <xf numFmtId="49" fontId="5" fillId="0" borderId="86" xfId="1438" applyNumberFormat="1" applyFont="1" applyFill="1" applyBorder="1" applyAlignment="1">
      <alignment horizontal="center" vertical="center"/>
    </xf>
    <xf numFmtId="49" fontId="5" fillId="0" borderId="0" xfId="1438" applyNumberFormat="1" applyFont="1" applyFill="1" applyBorder="1" applyAlignment="1">
      <alignment horizontal="center" vertical="center"/>
    </xf>
    <xf numFmtId="0" fontId="36" fillId="0" borderId="63" xfId="1434" applyFont="1" applyBorder="1" applyAlignment="1">
      <alignment horizontal="center" vertical="center"/>
    </xf>
    <xf numFmtId="0" fontId="36" fillId="0" borderId="91" xfId="1434" applyFont="1" applyBorder="1" applyAlignment="1">
      <alignment horizontal="center" vertical="center"/>
    </xf>
    <xf numFmtId="0" fontId="36" fillId="0" borderId="92" xfId="1434" applyFont="1" applyBorder="1" applyAlignment="1">
      <alignment horizontal="center" vertical="center"/>
    </xf>
    <xf numFmtId="0" fontId="3" fillId="0" borderId="90" xfId="1434" applyFont="1" applyBorder="1" applyAlignment="1">
      <alignment horizontal="center" vertical="center"/>
    </xf>
    <xf numFmtId="0" fontId="1" fillId="0" borderId="91" xfId="1434" applyBorder="1" applyAlignment="1">
      <alignment horizontal="center" vertical="center"/>
    </xf>
    <xf numFmtId="0" fontId="1" fillId="0" borderId="92" xfId="1434" applyBorder="1" applyAlignment="1">
      <alignment horizontal="center" vertical="center"/>
    </xf>
    <xf numFmtId="0" fontId="33" fillId="0" borderId="0" xfId="1434" applyFont="1" applyAlignment="1">
      <alignment horizontal="center" vertical="center"/>
    </xf>
    <xf numFmtId="0" fontId="36" fillId="0" borderId="87" xfId="1434" applyFont="1" applyBorder="1" applyAlignment="1">
      <alignment horizontal="center" vertical="center"/>
    </xf>
    <xf numFmtId="0" fontId="36" fillId="0" borderId="88" xfId="1434" applyFont="1" applyBorder="1" applyAlignment="1">
      <alignment horizontal="center" vertical="center"/>
    </xf>
    <xf numFmtId="0" fontId="36" fillId="0" borderId="89" xfId="1434" applyFont="1" applyBorder="1" applyAlignment="1">
      <alignment horizontal="center" vertical="center"/>
    </xf>
    <xf numFmtId="0" fontId="109" fillId="0" borderId="16" xfId="1436" applyFont="1" applyFill="1" applyBorder="1" applyAlignment="1">
      <alignment horizontal="center"/>
    </xf>
    <xf numFmtId="49" fontId="109" fillId="0" borderId="17" xfId="1436" applyNumberFormat="1" applyFont="1" applyFill="1" applyBorder="1" applyAlignment="1">
      <alignment horizontal="center"/>
    </xf>
    <xf numFmtId="0" fontId="109" fillId="0" borderId="17" xfId="1436" applyFont="1" applyFill="1" applyBorder="1" applyAlignment="1">
      <alignment horizontal="right" vertical="center"/>
    </xf>
    <xf numFmtId="0" fontId="109" fillId="0" borderId="18" xfId="1436" applyFont="1" applyFill="1" applyBorder="1" applyAlignment="1">
      <alignment horizontal="right" vertical="center"/>
    </xf>
  </cellXfs>
  <cellStyles count="2132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輔色1" xfId="7" builtinId="30" customBuiltin="1"/>
    <cellStyle name="20% - 輔色1 10" xfId="8" xr:uid="{00000000-0005-0000-0000-000007000000}"/>
    <cellStyle name="20% - 輔色1 10 2" xfId="9" xr:uid="{00000000-0005-0000-0000-000008000000}"/>
    <cellStyle name="20% - 輔色1 10 3" xfId="10" xr:uid="{00000000-0005-0000-0000-000009000000}"/>
    <cellStyle name="20% - 輔色1 11" xfId="11" xr:uid="{00000000-0005-0000-0000-00000A000000}"/>
    <cellStyle name="20% - 輔色1 11 2" xfId="12" xr:uid="{00000000-0005-0000-0000-00000B000000}"/>
    <cellStyle name="20% - 輔色1 11 3" xfId="13" xr:uid="{00000000-0005-0000-0000-00000C000000}"/>
    <cellStyle name="20% - 輔色1 11 4" xfId="14" xr:uid="{00000000-0005-0000-0000-00000D000000}"/>
    <cellStyle name="20% - 輔色1 11 4 2" xfId="15" xr:uid="{00000000-0005-0000-0000-00000E000000}"/>
    <cellStyle name="20% - 輔色1 11 4 3" xfId="16" xr:uid="{00000000-0005-0000-0000-00000F000000}"/>
    <cellStyle name="20% - 輔色1 11 5" xfId="17" xr:uid="{00000000-0005-0000-0000-000010000000}"/>
    <cellStyle name="20% - 輔色1 11 6" xfId="18" xr:uid="{00000000-0005-0000-0000-000011000000}"/>
    <cellStyle name="20% - 輔色1 12" xfId="19" xr:uid="{00000000-0005-0000-0000-000012000000}"/>
    <cellStyle name="20% - 輔色1 13" xfId="20" xr:uid="{00000000-0005-0000-0000-000013000000}"/>
    <cellStyle name="20% - 輔色1 14" xfId="21" xr:uid="{00000000-0005-0000-0000-000014000000}"/>
    <cellStyle name="20% - 輔色1 15" xfId="22" xr:uid="{00000000-0005-0000-0000-000015000000}"/>
    <cellStyle name="20% - 輔色1 16" xfId="23" xr:uid="{00000000-0005-0000-0000-000016000000}"/>
    <cellStyle name="20% - 輔色1 2" xfId="24" xr:uid="{00000000-0005-0000-0000-000017000000}"/>
    <cellStyle name="20% - 輔色1 2 2" xfId="25" xr:uid="{00000000-0005-0000-0000-000018000000}"/>
    <cellStyle name="20% - 輔色1 2 2 2" xfId="26" xr:uid="{00000000-0005-0000-0000-000019000000}"/>
    <cellStyle name="20% - 輔色1 2 2 2 2" xfId="27" xr:uid="{00000000-0005-0000-0000-00001A000000}"/>
    <cellStyle name="20% - 輔色1 2 2 2 3" xfId="28" xr:uid="{00000000-0005-0000-0000-00001B000000}"/>
    <cellStyle name="20% - 輔色1 2 2 3" xfId="29" xr:uid="{00000000-0005-0000-0000-00001C000000}"/>
    <cellStyle name="20% - 輔色1 2 2 4" xfId="30" xr:uid="{00000000-0005-0000-0000-00001D000000}"/>
    <cellStyle name="20% - 輔色1 2 3" xfId="31" xr:uid="{00000000-0005-0000-0000-00001E000000}"/>
    <cellStyle name="20% - 輔色1 2 3 2" xfId="32" xr:uid="{00000000-0005-0000-0000-00001F000000}"/>
    <cellStyle name="20% - 輔色1 2 3 3" xfId="33" xr:uid="{00000000-0005-0000-0000-000020000000}"/>
    <cellStyle name="20% - 輔色1 2 3 4" xfId="34" xr:uid="{00000000-0005-0000-0000-000021000000}"/>
    <cellStyle name="20% - 輔色1 2 4" xfId="35" xr:uid="{00000000-0005-0000-0000-000022000000}"/>
    <cellStyle name="20% - 輔色1 2 5" xfId="36" xr:uid="{00000000-0005-0000-0000-000023000000}"/>
    <cellStyle name="20% - 輔色1 3" xfId="37" xr:uid="{00000000-0005-0000-0000-000024000000}"/>
    <cellStyle name="20% - 輔色1 3 10" xfId="38" xr:uid="{00000000-0005-0000-0000-000025000000}"/>
    <cellStyle name="20% - 輔色1 3 2" xfId="39" xr:uid="{00000000-0005-0000-0000-000026000000}"/>
    <cellStyle name="20% - 輔色1 3 3" xfId="40" xr:uid="{00000000-0005-0000-0000-000027000000}"/>
    <cellStyle name="20% - 輔色1 3 4" xfId="41" xr:uid="{00000000-0005-0000-0000-000028000000}"/>
    <cellStyle name="20% - 輔色1 3 5" xfId="42" xr:uid="{00000000-0005-0000-0000-000029000000}"/>
    <cellStyle name="20% - 輔色1 3 5 2" xfId="43" xr:uid="{00000000-0005-0000-0000-00002A000000}"/>
    <cellStyle name="20% - 輔色1 3 5 2 2" xfId="44" xr:uid="{00000000-0005-0000-0000-00002B000000}"/>
    <cellStyle name="20% - 輔色1 3 5 2 2 2" xfId="45" xr:uid="{00000000-0005-0000-0000-00002C000000}"/>
    <cellStyle name="20% - 輔色1 3 5 3" xfId="46" xr:uid="{00000000-0005-0000-0000-00002D000000}"/>
    <cellStyle name="20% - 輔色1 3 5 3 2" xfId="47" xr:uid="{00000000-0005-0000-0000-00002E000000}"/>
    <cellStyle name="20% - 輔色1 3 6" xfId="48" xr:uid="{00000000-0005-0000-0000-00002F000000}"/>
    <cellStyle name="20% - 輔色1 3 7" xfId="49" xr:uid="{00000000-0005-0000-0000-000030000000}"/>
    <cellStyle name="20% - 輔色1 3 7 2" xfId="50" xr:uid="{00000000-0005-0000-0000-000031000000}"/>
    <cellStyle name="20% - 輔色1 3 7 3" xfId="51" xr:uid="{00000000-0005-0000-0000-000032000000}"/>
    <cellStyle name="20% - 輔色1 3 8" xfId="52" xr:uid="{00000000-0005-0000-0000-000033000000}"/>
    <cellStyle name="20% - 輔色1 3 9" xfId="53" xr:uid="{00000000-0005-0000-0000-000034000000}"/>
    <cellStyle name="20% - 輔色1 4" xfId="54" xr:uid="{00000000-0005-0000-0000-000035000000}"/>
    <cellStyle name="20% - 輔色1 4 2" xfId="55" xr:uid="{00000000-0005-0000-0000-000036000000}"/>
    <cellStyle name="20% - 輔色1 4 3" xfId="56" xr:uid="{00000000-0005-0000-0000-000037000000}"/>
    <cellStyle name="20% - 輔色1 4 4" xfId="57" xr:uid="{00000000-0005-0000-0000-000038000000}"/>
    <cellStyle name="20% - 輔色1 5" xfId="58" xr:uid="{00000000-0005-0000-0000-000039000000}"/>
    <cellStyle name="20% - 輔色1 6" xfId="59" xr:uid="{00000000-0005-0000-0000-00003A000000}"/>
    <cellStyle name="20% - 輔色1 7" xfId="60" xr:uid="{00000000-0005-0000-0000-00003B000000}"/>
    <cellStyle name="20% - 輔色1 8" xfId="61" xr:uid="{00000000-0005-0000-0000-00003C000000}"/>
    <cellStyle name="20% - 輔色1 8 2" xfId="62" xr:uid="{00000000-0005-0000-0000-00003D000000}"/>
    <cellStyle name="20% - 輔色1 8 2 2" xfId="63" xr:uid="{00000000-0005-0000-0000-00003E000000}"/>
    <cellStyle name="20% - 輔色1 9" xfId="64" xr:uid="{00000000-0005-0000-0000-00003F000000}"/>
    <cellStyle name="20% - 輔色2" xfId="65" builtinId="34" customBuiltin="1"/>
    <cellStyle name="20% - 輔色2 10" xfId="66" xr:uid="{00000000-0005-0000-0000-000041000000}"/>
    <cellStyle name="20% - 輔色2 10 2" xfId="67" xr:uid="{00000000-0005-0000-0000-000042000000}"/>
    <cellStyle name="20% - 輔色2 10 3" xfId="68" xr:uid="{00000000-0005-0000-0000-000043000000}"/>
    <cellStyle name="20% - 輔色2 11" xfId="69" xr:uid="{00000000-0005-0000-0000-000044000000}"/>
    <cellStyle name="20% - 輔色2 11 2" xfId="70" xr:uid="{00000000-0005-0000-0000-000045000000}"/>
    <cellStyle name="20% - 輔色2 11 3" xfId="71" xr:uid="{00000000-0005-0000-0000-000046000000}"/>
    <cellStyle name="20% - 輔色2 11 4" xfId="72" xr:uid="{00000000-0005-0000-0000-000047000000}"/>
    <cellStyle name="20% - 輔色2 11 4 2" xfId="73" xr:uid="{00000000-0005-0000-0000-000048000000}"/>
    <cellStyle name="20% - 輔色2 11 4 3" xfId="74" xr:uid="{00000000-0005-0000-0000-000049000000}"/>
    <cellStyle name="20% - 輔色2 11 5" xfId="75" xr:uid="{00000000-0005-0000-0000-00004A000000}"/>
    <cellStyle name="20% - 輔色2 11 6" xfId="76" xr:uid="{00000000-0005-0000-0000-00004B000000}"/>
    <cellStyle name="20% - 輔色2 12" xfId="77" xr:uid="{00000000-0005-0000-0000-00004C000000}"/>
    <cellStyle name="20% - 輔色2 13" xfId="78" xr:uid="{00000000-0005-0000-0000-00004D000000}"/>
    <cellStyle name="20% - 輔色2 14" xfId="79" xr:uid="{00000000-0005-0000-0000-00004E000000}"/>
    <cellStyle name="20% - 輔色2 15" xfId="80" xr:uid="{00000000-0005-0000-0000-00004F000000}"/>
    <cellStyle name="20% - 輔色2 16" xfId="81" xr:uid="{00000000-0005-0000-0000-000050000000}"/>
    <cellStyle name="20% - 輔色2 2" xfId="82" xr:uid="{00000000-0005-0000-0000-000051000000}"/>
    <cellStyle name="20% - 輔色2 2 2" xfId="83" xr:uid="{00000000-0005-0000-0000-000052000000}"/>
    <cellStyle name="20% - 輔色2 2 2 2" xfId="84" xr:uid="{00000000-0005-0000-0000-000053000000}"/>
    <cellStyle name="20% - 輔色2 2 2 2 2" xfId="85" xr:uid="{00000000-0005-0000-0000-000054000000}"/>
    <cellStyle name="20% - 輔色2 2 2 2 3" xfId="86" xr:uid="{00000000-0005-0000-0000-000055000000}"/>
    <cellStyle name="20% - 輔色2 2 2 3" xfId="87" xr:uid="{00000000-0005-0000-0000-000056000000}"/>
    <cellStyle name="20% - 輔色2 2 2 4" xfId="88" xr:uid="{00000000-0005-0000-0000-000057000000}"/>
    <cellStyle name="20% - 輔色2 2 3" xfId="89" xr:uid="{00000000-0005-0000-0000-000058000000}"/>
    <cellStyle name="20% - 輔色2 2 3 2" xfId="90" xr:uid="{00000000-0005-0000-0000-000059000000}"/>
    <cellStyle name="20% - 輔色2 2 3 3" xfId="91" xr:uid="{00000000-0005-0000-0000-00005A000000}"/>
    <cellStyle name="20% - 輔色2 2 3 4" xfId="92" xr:uid="{00000000-0005-0000-0000-00005B000000}"/>
    <cellStyle name="20% - 輔色2 2 4" xfId="93" xr:uid="{00000000-0005-0000-0000-00005C000000}"/>
    <cellStyle name="20% - 輔色2 2 5" xfId="94" xr:uid="{00000000-0005-0000-0000-00005D000000}"/>
    <cellStyle name="20% - 輔色2 3" xfId="95" xr:uid="{00000000-0005-0000-0000-00005E000000}"/>
    <cellStyle name="20% - 輔色2 3 10" xfId="96" xr:uid="{00000000-0005-0000-0000-00005F000000}"/>
    <cellStyle name="20% - 輔色2 3 2" xfId="97" xr:uid="{00000000-0005-0000-0000-000060000000}"/>
    <cellStyle name="20% - 輔色2 3 3" xfId="98" xr:uid="{00000000-0005-0000-0000-000061000000}"/>
    <cellStyle name="20% - 輔色2 3 4" xfId="99" xr:uid="{00000000-0005-0000-0000-000062000000}"/>
    <cellStyle name="20% - 輔色2 3 5" xfId="100" xr:uid="{00000000-0005-0000-0000-000063000000}"/>
    <cellStyle name="20% - 輔色2 3 5 2" xfId="101" xr:uid="{00000000-0005-0000-0000-000064000000}"/>
    <cellStyle name="20% - 輔色2 3 5 2 2" xfId="102" xr:uid="{00000000-0005-0000-0000-000065000000}"/>
    <cellStyle name="20% - 輔色2 3 5 2 2 2" xfId="103" xr:uid="{00000000-0005-0000-0000-000066000000}"/>
    <cellStyle name="20% - 輔色2 3 5 3" xfId="104" xr:uid="{00000000-0005-0000-0000-000067000000}"/>
    <cellStyle name="20% - 輔色2 3 5 3 2" xfId="105" xr:uid="{00000000-0005-0000-0000-000068000000}"/>
    <cellStyle name="20% - 輔色2 3 6" xfId="106" xr:uid="{00000000-0005-0000-0000-000069000000}"/>
    <cellStyle name="20% - 輔色2 3 7" xfId="107" xr:uid="{00000000-0005-0000-0000-00006A000000}"/>
    <cellStyle name="20% - 輔色2 3 7 2" xfId="108" xr:uid="{00000000-0005-0000-0000-00006B000000}"/>
    <cellStyle name="20% - 輔色2 3 7 3" xfId="109" xr:uid="{00000000-0005-0000-0000-00006C000000}"/>
    <cellStyle name="20% - 輔色2 3 8" xfId="110" xr:uid="{00000000-0005-0000-0000-00006D000000}"/>
    <cellStyle name="20% - 輔色2 3 9" xfId="111" xr:uid="{00000000-0005-0000-0000-00006E000000}"/>
    <cellStyle name="20% - 輔色2 4" xfId="112" xr:uid="{00000000-0005-0000-0000-00006F000000}"/>
    <cellStyle name="20% - 輔色2 4 2" xfId="113" xr:uid="{00000000-0005-0000-0000-000070000000}"/>
    <cellStyle name="20% - 輔色2 4 3" xfId="114" xr:uid="{00000000-0005-0000-0000-000071000000}"/>
    <cellStyle name="20% - 輔色2 4 4" xfId="115" xr:uid="{00000000-0005-0000-0000-000072000000}"/>
    <cellStyle name="20% - 輔色2 5" xfId="116" xr:uid="{00000000-0005-0000-0000-000073000000}"/>
    <cellStyle name="20% - 輔色2 6" xfId="117" xr:uid="{00000000-0005-0000-0000-000074000000}"/>
    <cellStyle name="20% - 輔色2 7" xfId="118" xr:uid="{00000000-0005-0000-0000-000075000000}"/>
    <cellStyle name="20% - 輔色2 8" xfId="119" xr:uid="{00000000-0005-0000-0000-000076000000}"/>
    <cellStyle name="20% - 輔色2 8 2" xfId="120" xr:uid="{00000000-0005-0000-0000-000077000000}"/>
    <cellStyle name="20% - 輔色2 8 2 2" xfId="121" xr:uid="{00000000-0005-0000-0000-000078000000}"/>
    <cellStyle name="20% - 輔色2 9" xfId="122" xr:uid="{00000000-0005-0000-0000-000079000000}"/>
    <cellStyle name="20% - 輔色3" xfId="123" builtinId="38" customBuiltin="1"/>
    <cellStyle name="20% - 輔色3 10" xfId="124" xr:uid="{00000000-0005-0000-0000-00007B000000}"/>
    <cellStyle name="20% - 輔色3 10 2" xfId="125" xr:uid="{00000000-0005-0000-0000-00007C000000}"/>
    <cellStyle name="20% - 輔色3 10 3" xfId="126" xr:uid="{00000000-0005-0000-0000-00007D000000}"/>
    <cellStyle name="20% - 輔色3 11" xfId="127" xr:uid="{00000000-0005-0000-0000-00007E000000}"/>
    <cellStyle name="20% - 輔色3 11 2" xfId="128" xr:uid="{00000000-0005-0000-0000-00007F000000}"/>
    <cellStyle name="20% - 輔色3 11 3" xfId="129" xr:uid="{00000000-0005-0000-0000-000080000000}"/>
    <cellStyle name="20% - 輔色3 11 4" xfId="130" xr:uid="{00000000-0005-0000-0000-000081000000}"/>
    <cellStyle name="20% - 輔色3 11 4 2" xfId="131" xr:uid="{00000000-0005-0000-0000-000082000000}"/>
    <cellStyle name="20% - 輔色3 11 4 3" xfId="132" xr:uid="{00000000-0005-0000-0000-000083000000}"/>
    <cellStyle name="20% - 輔色3 11 5" xfId="133" xr:uid="{00000000-0005-0000-0000-000084000000}"/>
    <cellStyle name="20% - 輔色3 11 6" xfId="134" xr:uid="{00000000-0005-0000-0000-000085000000}"/>
    <cellStyle name="20% - 輔色3 12" xfId="135" xr:uid="{00000000-0005-0000-0000-000086000000}"/>
    <cellStyle name="20% - 輔色3 13" xfId="136" xr:uid="{00000000-0005-0000-0000-000087000000}"/>
    <cellStyle name="20% - 輔色3 14" xfId="137" xr:uid="{00000000-0005-0000-0000-000088000000}"/>
    <cellStyle name="20% - 輔色3 15" xfId="138" xr:uid="{00000000-0005-0000-0000-000089000000}"/>
    <cellStyle name="20% - 輔色3 16" xfId="139" xr:uid="{00000000-0005-0000-0000-00008A000000}"/>
    <cellStyle name="20% - 輔色3 2" xfId="140" xr:uid="{00000000-0005-0000-0000-00008B000000}"/>
    <cellStyle name="20% - 輔色3 2 2" xfId="141" xr:uid="{00000000-0005-0000-0000-00008C000000}"/>
    <cellStyle name="20% - 輔色3 2 2 2" xfId="142" xr:uid="{00000000-0005-0000-0000-00008D000000}"/>
    <cellStyle name="20% - 輔色3 2 2 2 2" xfId="143" xr:uid="{00000000-0005-0000-0000-00008E000000}"/>
    <cellStyle name="20% - 輔色3 2 2 2 3" xfId="144" xr:uid="{00000000-0005-0000-0000-00008F000000}"/>
    <cellStyle name="20% - 輔色3 2 2 3" xfId="145" xr:uid="{00000000-0005-0000-0000-000090000000}"/>
    <cellStyle name="20% - 輔色3 2 2 4" xfId="146" xr:uid="{00000000-0005-0000-0000-000091000000}"/>
    <cellStyle name="20% - 輔色3 2 3" xfId="147" xr:uid="{00000000-0005-0000-0000-000092000000}"/>
    <cellStyle name="20% - 輔色3 2 3 2" xfId="148" xr:uid="{00000000-0005-0000-0000-000093000000}"/>
    <cellStyle name="20% - 輔色3 2 3 3" xfId="149" xr:uid="{00000000-0005-0000-0000-000094000000}"/>
    <cellStyle name="20% - 輔色3 2 3 4" xfId="150" xr:uid="{00000000-0005-0000-0000-000095000000}"/>
    <cellStyle name="20% - 輔色3 2 4" xfId="151" xr:uid="{00000000-0005-0000-0000-000096000000}"/>
    <cellStyle name="20% - 輔色3 2 5" xfId="152" xr:uid="{00000000-0005-0000-0000-000097000000}"/>
    <cellStyle name="20% - 輔色3 3" xfId="153" xr:uid="{00000000-0005-0000-0000-000098000000}"/>
    <cellStyle name="20% - 輔色3 3 10" xfId="154" xr:uid="{00000000-0005-0000-0000-000099000000}"/>
    <cellStyle name="20% - 輔色3 3 2" xfId="155" xr:uid="{00000000-0005-0000-0000-00009A000000}"/>
    <cellStyle name="20% - 輔色3 3 3" xfId="156" xr:uid="{00000000-0005-0000-0000-00009B000000}"/>
    <cellStyle name="20% - 輔色3 3 4" xfId="157" xr:uid="{00000000-0005-0000-0000-00009C000000}"/>
    <cellStyle name="20% - 輔色3 3 5" xfId="158" xr:uid="{00000000-0005-0000-0000-00009D000000}"/>
    <cellStyle name="20% - 輔色3 3 5 2" xfId="159" xr:uid="{00000000-0005-0000-0000-00009E000000}"/>
    <cellStyle name="20% - 輔色3 3 5 2 2" xfId="160" xr:uid="{00000000-0005-0000-0000-00009F000000}"/>
    <cellStyle name="20% - 輔色3 3 5 2 2 2" xfId="161" xr:uid="{00000000-0005-0000-0000-0000A0000000}"/>
    <cellStyle name="20% - 輔色3 3 5 3" xfId="162" xr:uid="{00000000-0005-0000-0000-0000A1000000}"/>
    <cellStyle name="20% - 輔色3 3 5 3 2" xfId="163" xr:uid="{00000000-0005-0000-0000-0000A2000000}"/>
    <cellStyle name="20% - 輔色3 3 6" xfId="164" xr:uid="{00000000-0005-0000-0000-0000A3000000}"/>
    <cellStyle name="20% - 輔色3 3 7" xfId="165" xr:uid="{00000000-0005-0000-0000-0000A4000000}"/>
    <cellStyle name="20% - 輔色3 3 7 2" xfId="166" xr:uid="{00000000-0005-0000-0000-0000A5000000}"/>
    <cellStyle name="20% - 輔色3 3 7 3" xfId="167" xr:uid="{00000000-0005-0000-0000-0000A6000000}"/>
    <cellStyle name="20% - 輔色3 3 8" xfId="168" xr:uid="{00000000-0005-0000-0000-0000A7000000}"/>
    <cellStyle name="20% - 輔色3 3 9" xfId="169" xr:uid="{00000000-0005-0000-0000-0000A8000000}"/>
    <cellStyle name="20% - 輔色3 4" xfId="170" xr:uid="{00000000-0005-0000-0000-0000A9000000}"/>
    <cellStyle name="20% - 輔色3 4 2" xfId="171" xr:uid="{00000000-0005-0000-0000-0000AA000000}"/>
    <cellStyle name="20% - 輔色3 4 3" xfId="172" xr:uid="{00000000-0005-0000-0000-0000AB000000}"/>
    <cellStyle name="20% - 輔色3 4 4" xfId="173" xr:uid="{00000000-0005-0000-0000-0000AC000000}"/>
    <cellStyle name="20% - 輔色3 5" xfId="174" xr:uid="{00000000-0005-0000-0000-0000AD000000}"/>
    <cellStyle name="20% - 輔色3 6" xfId="175" xr:uid="{00000000-0005-0000-0000-0000AE000000}"/>
    <cellStyle name="20% - 輔色3 7" xfId="176" xr:uid="{00000000-0005-0000-0000-0000AF000000}"/>
    <cellStyle name="20% - 輔色3 8" xfId="177" xr:uid="{00000000-0005-0000-0000-0000B0000000}"/>
    <cellStyle name="20% - 輔色3 8 2" xfId="178" xr:uid="{00000000-0005-0000-0000-0000B1000000}"/>
    <cellStyle name="20% - 輔色3 8 2 2" xfId="179" xr:uid="{00000000-0005-0000-0000-0000B2000000}"/>
    <cellStyle name="20% - 輔色3 9" xfId="180" xr:uid="{00000000-0005-0000-0000-0000B3000000}"/>
    <cellStyle name="20% - 輔色4" xfId="181" builtinId="42" customBuiltin="1"/>
    <cellStyle name="20% - 輔色4 10" xfId="182" xr:uid="{00000000-0005-0000-0000-0000B5000000}"/>
    <cellStyle name="20% - 輔色4 10 2" xfId="183" xr:uid="{00000000-0005-0000-0000-0000B6000000}"/>
    <cellStyle name="20% - 輔色4 10 3" xfId="184" xr:uid="{00000000-0005-0000-0000-0000B7000000}"/>
    <cellStyle name="20% - 輔色4 11" xfId="185" xr:uid="{00000000-0005-0000-0000-0000B8000000}"/>
    <cellStyle name="20% - 輔色4 11 2" xfId="186" xr:uid="{00000000-0005-0000-0000-0000B9000000}"/>
    <cellStyle name="20% - 輔色4 11 3" xfId="187" xr:uid="{00000000-0005-0000-0000-0000BA000000}"/>
    <cellStyle name="20% - 輔色4 11 4" xfId="188" xr:uid="{00000000-0005-0000-0000-0000BB000000}"/>
    <cellStyle name="20% - 輔色4 11 4 2" xfId="189" xr:uid="{00000000-0005-0000-0000-0000BC000000}"/>
    <cellStyle name="20% - 輔色4 11 4 3" xfId="190" xr:uid="{00000000-0005-0000-0000-0000BD000000}"/>
    <cellStyle name="20% - 輔色4 11 5" xfId="191" xr:uid="{00000000-0005-0000-0000-0000BE000000}"/>
    <cellStyle name="20% - 輔色4 11 6" xfId="192" xr:uid="{00000000-0005-0000-0000-0000BF000000}"/>
    <cellStyle name="20% - 輔色4 12" xfId="193" xr:uid="{00000000-0005-0000-0000-0000C0000000}"/>
    <cellStyle name="20% - 輔色4 13" xfId="194" xr:uid="{00000000-0005-0000-0000-0000C1000000}"/>
    <cellStyle name="20% - 輔色4 14" xfId="195" xr:uid="{00000000-0005-0000-0000-0000C2000000}"/>
    <cellStyle name="20% - 輔色4 15" xfId="196" xr:uid="{00000000-0005-0000-0000-0000C3000000}"/>
    <cellStyle name="20% - 輔色4 16" xfId="197" xr:uid="{00000000-0005-0000-0000-0000C4000000}"/>
    <cellStyle name="20% - 輔色4 2" xfId="198" xr:uid="{00000000-0005-0000-0000-0000C5000000}"/>
    <cellStyle name="20% - 輔色4 2 2" xfId="199" xr:uid="{00000000-0005-0000-0000-0000C6000000}"/>
    <cellStyle name="20% - 輔色4 2 2 2" xfId="200" xr:uid="{00000000-0005-0000-0000-0000C7000000}"/>
    <cellStyle name="20% - 輔色4 2 2 2 2" xfId="201" xr:uid="{00000000-0005-0000-0000-0000C8000000}"/>
    <cellStyle name="20% - 輔色4 2 2 2 3" xfId="202" xr:uid="{00000000-0005-0000-0000-0000C9000000}"/>
    <cellStyle name="20% - 輔色4 2 2 3" xfId="203" xr:uid="{00000000-0005-0000-0000-0000CA000000}"/>
    <cellStyle name="20% - 輔色4 2 2 4" xfId="204" xr:uid="{00000000-0005-0000-0000-0000CB000000}"/>
    <cellStyle name="20% - 輔色4 2 3" xfId="205" xr:uid="{00000000-0005-0000-0000-0000CC000000}"/>
    <cellStyle name="20% - 輔色4 2 3 2" xfId="206" xr:uid="{00000000-0005-0000-0000-0000CD000000}"/>
    <cellStyle name="20% - 輔色4 2 3 3" xfId="207" xr:uid="{00000000-0005-0000-0000-0000CE000000}"/>
    <cellStyle name="20% - 輔色4 2 3 4" xfId="208" xr:uid="{00000000-0005-0000-0000-0000CF000000}"/>
    <cellStyle name="20% - 輔色4 2 4" xfId="209" xr:uid="{00000000-0005-0000-0000-0000D0000000}"/>
    <cellStyle name="20% - 輔色4 2 5" xfId="210" xr:uid="{00000000-0005-0000-0000-0000D1000000}"/>
    <cellStyle name="20% - 輔色4 3" xfId="211" xr:uid="{00000000-0005-0000-0000-0000D2000000}"/>
    <cellStyle name="20% - 輔色4 3 10" xfId="212" xr:uid="{00000000-0005-0000-0000-0000D3000000}"/>
    <cellStyle name="20% - 輔色4 3 2" xfId="213" xr:uid="{00000000-0005-0000-0000-0000D4000000}"/>
    <cellStyle name="20% - 輔色4 3 3" xfId="214" xr:uid="{00000000-0005-0000-0000-0000D5000000}"/>
    <cellStyle name="20% - 輔色4 3 4" xfId="215" xr:uid="{00000000-0005-0000-0000-0000D6000000}"/>
    <cellStyle name="20% - 輔色4 3 5" xfId="216" xr:uid="{00000000-0005-0000-0000-0000D7000000}"/>
    <cellStyle name="20% - 輔色4 3 5 2" xfId="217" xr:uid="{00000000-0005-0000-0000-0000D8000000}"/>
    <cellStyle name="20% - 輔色4 3 5 2 2" xfId="218" xr:uid="{00000000-0005-0000-0000-0000D9000000}"/>
    <cellStyle name="20% - 輔色4 3 5 2 2 2" xfId="219" xr:uid="{00000000-0005-0000-0000-0000DA000000}"/>
    <cellStyle name="20% - 輔色4 3 5 3" xfId="220" xr:uid="{00000000-0005-0000-0000-0000DB000000}"/>
    <cellStyle name="20% - 輔色4 3 5 3 2" xfId="221" xr:uid="{00000000-0005-0000-0000-0000DC000000}"/>
    <cellStyle name="20% - 輔色4 3 6" xfId="222" xr:uid="{00000000-0005-0000-0000-0000DD000000}"/>
    <cellStyle name="20% - 輔色4 3 7" xfId="223" xr:uid="{00000000-0005-0000-0000-0000DE000000}"/>
    <cellStyle name="20% - 輔色4 3 7 2" xfId="224" xr:uid="{00000000-0005-0000-0000-0000DF000000}"/>
    <cellStyle name="20% - 輔色4 3 7 3" xfId="225" xr:uid="{00000000-0005-0000-0000-0000E0000000}"/>
    <cellStyle name="20% - 輔色4 3 8" xfId="226" xr:uid="{00000000-0005-0000-0000-0000E1000000}"/>
    <cellStyle name="20% - 輔色4 3 9" xfId="227" xr:uid="{00000000-0005-0000-0000-0000E2000000}"/>
    <cellStyle name="20% - 輔色4 4" xfId="228" xr:uid="{00000000-0005-0000-0000-0000E3000000}"/>
    <cellStyle name="20% - 輔色4 4 2" xfId="229" xr:uid="{00000000-0005-0000-0000-0000E4000000}"/>
    <cellStyle name="20% - 輔色4 4 3" xfId="230" xr:uid="{00000000-0005-0000-0000-0000E5000000}"/>
    <cellStyle name="20% - 輔色4 4 4" xfId="231" xr:uid="{00000000-0005-0000-0000-0000E6000000}"/>
    <cellStyle name="20% - 輔色4 5" xfId="232" xr:uid="{00000000-0005-0000-0000-0000E7000000}"/>
    <cellStyle name="20% - 輔色4 6" xfId="233" xr:uid="{00000000-0005-0000-0000-0000E8000000}"/>
    <cellStyle name="20% - 輔色4 7" xfId="234" xr:uid="{00000000-0005-0000-0000-0000E9000000}"/>
    <cellStyle name="20% - 輔色4 8" xfId="235" xr:uid="{00000000-0005-0000-0000-0000EA000000}"/>
    <cellStyle name="20% - 輔色4 8 2" xfId="236" xr:uid="{00000000-0005-0000-0000-0000EB000000}"/>
    <cellStyle name="20% - 輔色4 8 2 2" xfId="237" xr:uid="{00000000-0005-0000-0000-0000EC000000}"/>
    <cellStyle name="20% - 輔色4 9" xfId="238" xr:uid="{00000000-0005-0000-0000-0000ED000000}"/>
    <cellStyle name="20% - 輔色5" xfId="239" builtinId="46" customBuiltin="1"/>
    <cellStyle name="20% - 輔色5 10" xfId="240" xr:uid="{00000000-0005-0000-0000-0000EF000000}"/>
    <cellStyle name="20% - 輔色5 10 2" xfId="241" xr:uid="{00000000-0005-0000-0000-0000F0000000}"/>
    <cellStyle name="20% - 輔色5 10 3" xfId="242" xr:uid="{00000000-0005-0000-0000-0000F1000000}"/>
    <cellStyle name="20% - 輔色5 11" xfId="243" xr:uid="{00000000-0005-0000-0000-0000F2000000}"/>
    <cellStyle name="20% - 輔色5 11 2" xfId="244" xr:uid="{00000000-0005-0000-0000-0000F3000000}"/>
    <cellStyle name="20% - 輔色5 11 3" xfId="245" xr:uid="{00000000-0005-0000-0000-0000F4000000}"/>
    <cellStyle name="20% - 輔色5 11 4" xfId="246" xr:uid="{00000000-0005-0000-0000-0000F5000000}"/>
    <cellStyle name="20% - 輔色5 11 4 2" xfId="247" xr:uid="{00000000-0005-0000-0000-0000F6000000}"/>
    <cellStyle name="20% - 輔色5 11 4 3" xfId="248" xr:uid="{00000000-0005-0000-0000-0000F7000000}"/>
    <cellStyle name="20% - 輔色5 11 5" xfId="249" xr:uid="{00000000-0005-0000-0000-0000F8000000}"/>
    <cellStyle name="20% - 輔色5 11 6" xfId="250" xr:uid="{00000000-0005-0000-0000-0000F9000000}"/>
    <cellStyle name="20% - 輔色5 12" xfId="251" xr:uid="{00000000-0005-0000-0000-0000FA000000}"/>
    <cellStyle name="20% - 輔色5 13" xfId="252" xr:uid="{00000000-0005-0000-0000-0000FB000000}"/>
    <cellStyle name="20% - 輔色5 14" xfId="253" xr:uid="{00000000-0005-0000-0000-0000FC000000}"/>
    <cellStyle name="20% - 輔色5 15" xfId="254" xr:uid="{00000000-0005-0000-0000-0000FD000000}"/>
    <cellStyle name="20% - 輔色5 16" xfId="255" xr:uid="{00000000-0005-0000-0000-0000FE000000}"/>
    <cellStyle name="20% - 輔色5 2" xfId="256" xr:uid="{00000000-0005-0000-0000-0000FF000000}"/>
    <cellStyle name="20% - 輔色5 2 2" xfId="257" xr:uid="{00000000-0005-0000-0000-000000010000}"/>
    <cellStyle name="20% - 輔色5 2 2 2" xfId="258" xr:uid="{00000000-0005-0000-0000-000001010000}"/>
    <cellStyle name="20% - 輔色5 2 2 2 2" xfId="259" xr:uid="{00000000-0005-0000-0000-000002010000}"/>
    <cellStyle name="20% - 輔色5 2 2 2 3" xfId="260" xr:uid="{00000000-0005-0000-0000-000003010000}"/>
    <cellStyle name="20% - 輔色5 2 2 3" xfId="261" xr:uid="{00000000-0005-0000-0000-000004010000}"/>
    <cellStyle name="20% - 輔色5 2 2 4" xfId="262" xr:uid="{00000000-0005-0000-0000-000005010000}"/>
    <cellStyle name="20% - 輔色5 2 3" xfId="263" xr:uid="{00000000-0005-0000-0000-000006010000}"/>
    <cellStyle name="20% - 輔色5 2 3 2" xfId="264" xr:uid="{00000000-0005-0000-0000-000007010000}"/>
    <cellStyle name="20% - 輔色5 2 3 3" xfId="265" xr:uid="{00000000-0005-0000-0000-000008010000}"/>
    <cellStyle name="20% - 輔色5 2 3 4" xfId="266" xr:uid="{00000000-0005-0000-0000-000009010000}"/>
    <cellStyle name="20% - 輔色5 2 4" xfId="267" xr:uid="{00000000-0005-0000-0000-00000A010000}"/>
    <cellStyle name="20% - 輔色5 2 5" xfId="268" xr:uid="{00000000-0005-0000-0000-00000B010000}"/>
    <cellStyle name="20% - 輔色5 3" xfId="269" xr:uid="{00000000-0005-0000-0000-00000C010000}"/>
    <cellStyle name="20% - 輔色5 3 2" xfId="270" xr:uid="{00000000-0005-0000-0000-00000D010000}"/>
    <cellStyle name="20% - 輔色5 3 3" xfId="271" xr:uid="{00000000-0005-0000-0000-00000E010000}"/>
    <cellStyle name="20% - 輔色5 3 4" xfId="272" xr:uid="{00000000-0005-0000-0000-00000F010000}"/>
    <cellStyle name="20% - 輔色5 3 5" xfId="273" xr:uid="{00000000-0005-0000-0000-000010010000}"/>
    <cellStyle name="20% - 輔色5 3 5 2" xfId="274" xr:uid="{00000000-0005-0000-0000-000011010000}"/>
    <cellStyle name="20% - 輔色5 3 5 2 2" xfId="275" xr:uid="{00000000-0005-0000-0000-000012010000}"/>
    <cellStyle name="20% - 輔色5 3 5 2 2 2" xfId="276" xr:uid="{00000000-0005-0000-0000-000013010000}"/>
    <cellStyle name="20% - 輔色5 3 5 3" xfId="277" xr:uid="{00000000-0005-0000-0000-000014010000}"/>
    <cellStyle name="20% - 輔色5 3 5 3 2" xfId="278" xr:uid="{00000000-0005-0000-0000-000015010000}"/>
    <cellStyle name="20% - 輔色5 3 6" xfId="279" xr:uid="{00000000-0005-0000-0000-000016010000}"/>
    <cellStyle name="20% - 輔色5 3 6 2" xfId="280" xr:uid="{00000000-0005-0000-0000-000017010000}"/>
    <cellStyle name="20% - 輔色5 3 6 3" xfId="281" xr:uid="{00000000-0005-0000-0000-000018010000}"/>
    <cellStyle name="20% - 輔色5 3 7" xfId="282" xr:uid="{00000000-0005-0000-0000-000019010000}"/>
    <cellStyle name="20% - 輔色5 4" xfId="283" xr:uid="{00000000-0005-0000-0000-00001A010000}"/>
    <cellStyle name="20% - 輔色5 4 2" xfId="284" xr:uid="{00000000-0005-0000-0000-00001B010000}"/>
    <cellStyle name="20% - 輔色5 4 3" xfId="285" xr:uid="{00000000-0005-0000-0000-00001C010000}"/>
    <cellStyle name="20% - 輔色5 4 4" xfId="286" xr:uid="{00000000-0005-0000-0000-00001D010000}"/>
    <cellStyle name="20% - 輔色5 5" xfId="287" xr:uid="{00000000-0005-0000-0000-00001E010000}"/>
    <cellStyle name="20% - 輔色5 6" xfId="288" xr:uid="{00000000-0005-0000-0000-00001F010000}"/>
    <cellStyle name="20% - 輔色5 7" xfId="289" xr:uid="{00000000-0005-0000-0000-000020010000}"/>
    <cellStyle name="20% - 輔色5 8" xfId="290" xr:uid="{00000000-0005-0000-0000-000021010000}"/>
    <cellStyle name="20% - 輔色5 8 2" xfId="291" xr:uid="{00000000-0005-0000-0000-000022010000}"/>
    <cellStyle name="20% - 輔色5 8 2 2" xfId="292" xr:uid="{00000000-0005-0000-0000-000023010000}"/>
    <cellStyle name="20% - 輔色5 9" xfId="293" xr:uid="{00000000-0005-0000-0000-000024010000}"/>
    <cellStyle name="20% - 輔色6" xfId="294" builtinId="50" customBuiltin="1"/>
    <cellStyle name="20% - 輔色6 10" xfId="295" xr:uid="{00000000-0005-0000-0000-000026010000}"/>
    <cellStyle name="20% - 輔色6 10 2" xfId="296" xr:uid="{00000000-0005-0000-0000-000027010000}"/>
    <cellStyle name="20% - 輔色6 10 3" xfId="297" xr:uid="{00000000-0005-0000-0000-000028010000}"/>
    <cellStyle name="20% - 輔色6 11" xfId="298" xr:uid="{00000000-0005-0000-0000-000029010000}"/>
    <cellStyle name="20% - 輔色6 11 2" xfId="299" xr:uid="{00000000-0005-0000-0000-00002A010000}"/>
    <cellStyle name="20% - 輔色6 11 3" xfId="300" xr:uid="{00000000-0005-0000-0000-00002B010000}"/>
    <cellStyle name="20% - 輔色6 11 4" xfId="301" xr:uid="{00000000-0005-0000-0000-00002C010000}"/>
    <cellStyle name="20% - 輔色6 11 4 2" xfId="302" xr:uid="{00000000-0005-0000-0000-00002D010000}"/>
    <cellStyle name="20% - 輔色6 11 4 3" xfId="303" xr:uid="{00000000-0005-0000-0000-00002E010000}"/>
    <cellStyle name="20% - 輔色6 11 5" xfId="304" xr:uid="{00000000-0005-0000-0000-00002F010000}"/>
    <cellStyle name="20% - 輔色6 11 6" xfId="305" xr:uid="{00000000-0005-0000-0000-000030010000}"/>
    <cellStyle name="20% - 輔色6 12" xfId="306" xr:uid="{00000000-0005-0000-0000-000031010000}"/>
    <cellStyle name="20% - 輔色6 13" xfId="307" xr:uid="{00000000-0005-0000-0000-000032010000}"/>
    <cellStyle name="20% - 輔色6 14" xfId="308" xr:uid="{00000000-0005-0000-0000-000033010000}"/>
    <cellStyle name="20% - 輔色6 15" xfId="309" xr:uid="{00000000-0005-0000-0000-000034010000}"/>
    <cellStyle name="20% - 輔色6 16" xfId="310" xr:uid="{00000000-0005-0000-0000-000035010000}"/>
    <cellStyle name="20% - 輔色6 2" xfId="311" xr:uid="{00000000-0005-0000-0000-000036010000}"/>
    <cellStyle name="20% - 輔色6 2 2" xfId="312" xr:uid="{00000000-0005-0000-0000-000037010000}"/>
    <cellStyle name="20% - 輔色6 2 2 2" xfId="313" xr:uid="{00000000-0005-0000-0000-000038010000}"/>
    <cellStyle name="20% - 輔色6 2 2 2 2" xfId="314" xr:uid="{00000000-0005-0000-0000-000039010000}"/>
    <cellStyle name="20% - 輔色6 2 2 2 3" xfId="315" xr:uid="{00000000-0005-0000-0000-00003A010000}"/>
    <cellStyle name="20% - 輔色6 2 2 3" xfId="316" xr:uid="{00000000-0005-0000-0000-00003B010000}"/>
    <cellStyle name="20% - 輔色6 2 2 4" xfId="317" xr:uid="{00000000-0005-0000-0000-00003C010000}"/>
    <cellStyle name="20% - 輔色6 2 3" xfId="318" xr:uid="{00000000-0005-0000-0000-00003D010000}"/>
    <cellStyle name="20% - 輔色6 2 3 2" xfId="319" xr:uid="{00000000-0005-0000-0000-00003E010000}"/>
    <cellStyle name="20% - 輔色6 2 3 3" xfId="320" xr:uid="{00000000-0005-0000-0000-00003F010000}"/>
    <cellStyle name="20% - 輔色6 2 3 4" xfId="321" xr:uid="{00000000-0005-0000-0000-000040010000}"/>
    <cellStyle name="20% - 輔色6 2 4" xfId="322" xr:uid="{00000000-0005-0000-0000-000041010000}"/>
    <cellStyle name="20% - 輔色6 2 5" xfId="323" xr:uid="{00000000-0005-0000-0000-000042010000}"/>
    <cellStyle name="20% - 輔色6 3" xfId="324" xr:uid="{00000000-0005-0000-0000-000043010000}"/>
    <cellStyle name="20% - 輔色6 3 10" xfId="325" xr:uid="{00000000-0005-0000-0000-000044010000}"/>
    <cellStyle name="20% - 輔色6 3 2" xfId="326" xr:uid="{00000000-0005-0000-0000-000045010000}"/>
    <cellStyle name="20% - 輔色6 3 3" xfId="327" xr:uid="{00000000-0005-0000-0000-000046010000}"/>
    <cellStyle name="20% - 輔色6 3 4" xfId="328" xr:uid="{00000000-0005-0000-0000-000047010000}"/>
    <cellStyle name="20% - 輔色6 3 5" xfId="329" xr:uid="{00000000-0005-0000-0000-000048010000}"/>
    <cellStyle name="20% - 輔色6 3 5 2" xfId="330" xr:uid="{00000000-0005-0000-0000-000049010000}"/>
    <cellStyle name="20% - 輔色6 3 5 2 2" xfId="331" xr:uid="{00000000-0005-0000-0000-00004A010000}"/>
    <cellStyle name="20% - 輔色6 3 5 2 2 2" xfId="332" xr:uid="{00000000-0005-0000-0000-00004B010000}"/>
    <cellStyle name="20% - 輔色6 3 5 3" xfId="333" xr:uid="{00000000-0005-0000-0000-00004C010000}"/>
    <cellStyle name="20% - 輔色6 3 5 3 2" xfId="334" xr:uid="{00000000-0005-0000-0000-00004D010000}"/>
    <cellStyle name="20% - 輔色6 3 6" xfId="335" xr:uid="{00000000-0005-0000-0000-00004E010000}"/>
    <cellStyle name="20% - 輔色6 3 7" xfId="336" xr:uid="{00000000-0005-0000-0000-00004F010000}"/>
    <cellStyle name="20% - 輔色6 3 7 2" xfId="337" xr:uid="{00000000-0005-0000-0000-000050010000}"/>
    <cellStyle name="20% - 輔色6 3 7 3" xfId="338" xr:uid="{00000000-0005-0000-0000-000051010000}"/>
    <cellStyle name="20% - 輔色6 3 8" xfId="339" xr:uid="{00000000-0005-0000-0000-000052010000}"/>
    <cellStyle name="20% - 輔色6 3 9" xfId="340" xr:uid="{00000000-0005-0000-0000-000053010000}"/>
    <cellStyle name="20% - 輔色6 4" xfId="341" xr:uid="{00000000-0005-0000-0000-000054010000}"/>
    <cellStyle name="20% - 輔色6 4 2" xfId="342" xr:uid="{00000000-0005-0000-0000-000055010000}"/>
    <cellStyle name="20% - 輔色6 4 3" xfId="343" xr:uid="{00000000-0005-0000-0000-000056010000}"/>
    <cellStyle name="20% - 輔色6 4 4" xfId="344" xr:uid="{00000000-0005-0000-0000-000057010000}"/>
    <cellStyle name="20% - 輔色6 5" xfId="345" xr:uid="{00000000-0005-0000-0000-000058010000}"/>
    <cellStyle name="20% - 輔色6 6" xfId="346" xr:uid="{00000000-0005-0000-0000-000059010000}"/>
    <cellStyle name="20% - 輔色6 7" xfId="347" xr:uid="{00000000-0005-0000-0000-00005A010000}"/>
    <cellStyle name="20% - 輔色6 8" xfId="348" xr:uid="{00000000-0005-0000-0000-00005B010000}"/>
    <cellStyle name="20% - 輔色6 8 2" xfId="349" xr:uid="{00000000-0005-0000-0000-00005C010000}"/>
    <cellStyle name="20% - 輔色6 8 2 2" xfId="350" xr:uid="{00000000-0005-0000-0000-00005D010000}"/>
    <cellStyle name="20% - 輔色6 9" xfId="351" xr:uid="{00000000-0005-0000-0000-00005E010000}"/>
    <cellStyle name="40% - Accent1" xfId="352" xr:uid="{00000000-0005-0000-0000-00005F010000}"/>
    <cellStyle name="40% - Accent2" xfId="353" xr:uid="{00000000-0005-0000-0000-000060010000}"/>
    <cellStyle name="40% - Accent3" xfId="354" xr:uid="{00000000-0005-0000-0000-000061010000}"/>
    <cellStyle name="40% - Accent4" xfId="355" xr:uid="{00000000-0005-0000-0000-000062010000}"/>
    <cellStyle name="40% - Accent5" xfId="356" xr:uid="{00000000-0005-0000-0000-000063010000}"/>
    <cellStyle name="40% - Accent6" xfId="357" xr:uid="{00000000-0005-0000-0000-000064010000}"/>
    <cellStyle name="40% - 輔色1" xfId="358" builtinId="31" customBuiltin="1"/>
    <cellStyle name="40% - 輔色1 10" xfId="359" xr:uid="{00000000-0005-0000-0000-000066010000}"/>
    <cellStyle name="40% - 輔色1 10 2" xfId="360" xr:uid="{00000000-0005-0000-0000-000067010000}"/>
    <cellStyle name="40% - 輔色1 10 3" xfId="361" xr:uid="{00000000-0005-0000-0000-000068010000}"/>
    <cellStyle name="40% - 輔色1 11" xfId="362" xr:uid="{00000000-0005-0000-0000-000069010000}"/>
    <cellStyle name="40% - 輔色1 11 2" xfId="363" xr:uid="{00000000-0005-0000-0000-00006A010000}"/>
    <cellStyle name="40% - 輔色1 11 3" xfId="364" xr:uid="{00000000-0005-0000-0000-00006B010000}"/>
    <cellStyle name="40% - 輔色1 11 4" xfId="365" xr:uid="{00000000-0005-0000-0000-00006C010000}"/>
    <cellStyle name="40% - 輔色1 11 4 2" xfId="366" xr:uid="{00000000-0005-0000-0000-00006D010000}"/>
    <cellStyle name="40% - 輔色1 11 4 3" xfId="367" xr:uid="{00000000-0005-0000-0000-00006E010000}"/>
    <cellStyle name="40% - 輔色1 11 5" xfId="368" xr:uid="{00000000-0005-0000-0000-00006F010000}"/>
    <cellStyle name="40% - 輔色1 11 6" xfId="369" xr:uid="{00000000-0005-0000-0000-000070010000}"/>
    <cellStyle name="40% - 輔色1 12" xfId="370" xr:uid="{00000000-0005-0000-0000-000071010000}"/>
    <cellStyle name="40% - 輔色1 13" xfId="371" xr:uid="{00000000-0005-0000-0000-000072010000}"/>
    <cellStyle name="40% - 輔色1 14" xfId="372" xr:uid="{00000000-0005-0000-0000-000073010000}"/>
    <cellStyle name="40% - 輔色1 15" xfId="373" xr:uid="{00000000-0005-0000-0000-000074010000}"/>
    <cellStyle name="40% - 輔色1 16" xfId="374" xr:uid="{00000000-0005-0000-0000-000075010000}"/>
    <cellStyle name="40% - 輔色1 2" xfId="375" xr:uid="{00000000-0005-0000-0000-000076010000}"/>
    <cellStyle name="40% - 輔色1 2 2" xfId="376" xr:uid="{00000000-0005-0000-0000-000077010000}"/>
    <cellStyle name="40% - 輔色1 2 2 2" xfId="377" xr:uid="{00000000-0005-0000-0000-000078010000}"/>
    <cellStyle name="40% - 輔色1 2 2 2 2" xfId="378" xr:uid="{00000000-0005-0000-0000-000079010000}"/>
    <cellStyle name="40% - 輔色1 2 2 2 3" xfId="379" xr:uid="{00000000-0005-0000-0000-00007A010000}"/>
    <cellStyle name="40% - 輔色1 2 2 3" xfId="380" xr:uid="{00000000-0005-0000-0000-00007B010000}"/>
    <cellStyle name="40% - 輔色1 2 2 4" xfId="381" xr:uid="{00000000-0005-0000-0000-00007C010000}"/>
    <cellStyle name="40% - 輔色1 2 3" xfId="382" xr:uid="{00000000-0005-0000-0000-00007D010000}"/>
    <cellStyle name="40% - 輔色1 2 3 2" xfId="383" xr:uid="{00000000-0005-0000-0000-00007E010000}"/>
    <cellStyle name="40% - 輔色1 2 3 3" xfId="384" xr:uid="{00000000-0005-0000-0000-00007F010000}"/>
    <cellStyle name="40% - 輔色1 2 3 4" xfId="385" xr:uid="{00000000-0005-0000-0000-000080010000}"/>
    <cellStyle name="40% - 輔色1 2 4" xfId="386" xr:uid="{00000000-0005-0000-0000-000081010000}"/>
    <cellStyle name="40% - 輔色1 2 5" xfId="387" xr:uid="{00000000-0005-0000-0000-000082010000}"/>
    <cellStyle name="40% - 輔色1 3" xfId="388" xr:uid="{00000000-0005-0000-0000-000083010000}"/>
    <cellStyle name="40% - 輔色1 3 10" xfId="389" xr:uid="{00000000-0005-0000-0000-000084010000}"/>
    <cellStyle name="40% - 輔色1 3 2" xfId="390" xr:uid="{00000000-0005-0000-0000-000085010000}"/>
    <cellStyle name="40% - 輔色1 3 3" xfId="391" xr:uid="{00000000-0005-0000-0000-000086010000}"/>
    <cellStyle name="40% - 輔色1 3 4" xfId="392" xr:uid="{00000000-0005-0000-0000-000087010000}"/>
    <cellStyle name="40% - 輔色1 3 5" xfId="393" xr:uid="{00000000-0005-0000-0000-000088010000}"/>
    <cellStyle name="40% - 輔色1 3 5 2" xfId="394" xr:uid="{00000000-0005-0000-0000-000089010000}"/>
    <cellStyle name="40% - 輔色1 3 5 2 2" xfId="395" xr:uid="{00000000-0005-0000-0000-00008A010000}"/>
    <cellStyle name="40% - 輔色1 3 5 2 2 2" xfId="396" xr:uid="{00000000-0005-0000-0000-00008B010000}"/>
    <cellStyle name="40% - 輔色1 3 5 3" xfId="397" xr:uid="{00000000-0005-0000-0000-00008C010000}"/>
    <cellStyle name="40% - 輔色1 3 5 3 2" xfId="398" xr:uid="{00000000-0005-0000-0000-00008D010000}"/>
    <cellStyle name="40% - 輔色1 3 6" xfId="399" xr:uid="{00000000-0005-0000-0000-00008E010000}"/>
    <cellStyle name="40% - 輔色1 3 7" xfId="400" xr:uid="{00000000-0005-0000-0000-00008F010000}"/>
    <cellStyle name="40% - 輔色1 3 7 2" xfId="401" xr:uid="{00000000-0005-0000-0000-000090010000}"/>
    <cellStyle name="40% - 輔色1 3 7 3" xfId="402" xr:uid="{00000000-0005-0000-0000-000091010000}"/>
    <cellStyle name="40% - 輔色1 3 8" xfId="403" xr:uid="{00000000-0005-0000-0000-000092010000}"/>
    <cellStyle name="40% - 輔色1 3 9" xfId="404" xr:uid="{00000000-0005-0000-0000-000093010000}"/>
    <cellStyle name="40% - 輔色1 4" xfId="405" xr:uid="{00000000-0005-0000-0000-000094010000}"/>
    <cellStyle name="40% - 輔色1 4 2" xfId="406" xr:uid="{00000000-0005-0000-0000-000095010000}"/>
    <cellStyle name="40% - 輔色1 4 3" xfId="407" xr:uid="{00000000-0005-0000-0000-000096010000}"/>
    <cellStyle name="40% - 輔色1 4 4" xfId="408" xr:uid="{00000000-0005-0000-0000-000097010000}"/>
    <cellStyle name="40% - 輔色1 5" xfId="409" xr:uid="{00000000-0005-0000-0000-000098010000}"/>
    <cellStyle name="40% - 輔色1 6" xfId="410" xr:uid="{00000000-0005-0000-0000-000099010000}"/>
    <cellStyle name="40% - 輔色1 7" xfId="411" xr:uid="{00000000-0005-0000-0000-00009A010000}"/>
    <cellStyle name="40% - 輔色1 8" xfId="412" xr:uid="{00000000-0005-0000-0000-00009B010000}"/>
    <cellStyle name="40% - 輔色1 8 2" xfId="413" xr:uid="{00000000-0005-0000-0000-00009C010000}"/>
    <cellStyle name="40% - 輔色1 8 2 2" xfId="414" xr:uid="{00000000-0005-0000-0000-00009D010000}"/>
    <cellStyle name="40% - 輔色1 9" xfId="415" xr:uid="{00000000-0005-0000-0000-00009E010000}"/>
    <cellStyle name="40% - 輔色2" xfId="416" builtinId="35" customBuiltin="1"/>
    <cellStyle name="40% - 輔色2 10" xfId="417" xr:uid="{00000000-0005-0000-0000-0000A0010000}"/>
    <cellStyle name="40% - 輔色2 10 2" xfId="418" xr:uid="{00000000-0005-0000-0000-0000A1010000}"/>
    <cellStyle name="40% - 輔色2 10 3" xfId="419" xr:uid="{00000000-0005-0000-0000-0000A2010000}"/>
    <cellStyle name="40% - 輔色2 11" xfId="420" xr:uid="{00000000-0005-0000-0000-0000A3010000}"/>
    <cellStyle name="40% - 輔色2 11 2" xfId="421" xr:uid="{00000000-0005-0000-0000-0000A4010000}"/>
    <cellStyle name="40% - 輔色2 11 3" xfId="422" xr:uid="{00000000-0005-0000-0000-0000A5010000}"/>
    <cellStyle name="40% - 輔色2 11 4" xfId="423" xr:uid="{00000000-0005-0000-0000-0000A6010000}"/>
    <cellStyle name="40% - 輔色2 11 4 2" xfId="424" xr:uid="{00000000-0005-0000-0000-0000A7010000}"/>
    <cellStyle name="40% - 輔色2 11 4 3" xfId="425" xr:uid="{00000000-0005-0000-0000-0000A8010000}"/>
    <cellStyle name="40% - 輔色2 11 5" xfId="426" xr:uid="{00000000-0005-0000-0000-0000A9010000}"/>
    <cellStyle name="40% - 輔色2 11 6" xfId="427" xr:uid="{00000000-0005-0000-0000-0000AA010000}"/>
    <cellStyle name="40% - 輔色2 12" xfId="428" xr:uid="{00000000-0005-0000-0000-0000AB010000}"/>
    <cellStyle name="40% - 輔色2 13" xfId="429" xr:uid="{00000000-0005-0000-0000-0000AC010000}"/>
    <cellStyle name="40% - 輔色2 14" xfId="430" xr:uid="{00000000-0005-0000-0000-0000AD010000}"/>
    <cellStyle name="40% - 輔色2 15" xfId="431" xr:uid="{00000000-0005-0000-0000-0000AE010000}"/>
    <cellStyle name="40% - 輔色2 16" xfId="432" xr:uid="{00000000-0005-0000-0000-0000AF010000}"/>
    <cellStyle name="40% - 輔色2 2" xfId="433" xr:uid="{00000000-0005-0000-0000-0000B0010000}"/>
    <cellStyle name="40% - 輔色2 2 2" xfId="434" xr:uid="{00000000-0005-0000-0000-0000B1010000}"/>
    <cellStyle name="40% - 輔色2 2 2 2" xfId="435" xr:uid="{00000000-0005-0000-0000-0000B2010000}"/>
    <cellStyle name="40% - 輔色2 2 2 2 2" xfId="436" xr:uid="{00000000-0005-0000-0000-0000B3010000}"/>
    <cellStyle name="40% - 輔色2 2 2 2 3" xfId="437" xr:uid="{00000000-0005-0000-0000-0000B4010000}"/>
    <cellStyle name="40% - 輔色2 2 2 3" xfId="438" xr:uid="{00000000-0005-0000-0000-0000B5010000}"/>
    <cellStyle name="40% - 輔色2 2 2 4" xfId="439" xr:uid="{00000000-0005-0000-0000-0000B6010000}"/>
    <cellStyle name="40% - 輔色2 2 3" xfId="440" xr:uid="{00000000-0005-0000-0000-0000B7010000}"/>
    <cellStyle name="40% - 輔色2 2 3 2" xfId="441" xr:uid="{00000000-0005-0000-0000-0000B8010000}"/>
    <cellStyle name="40% - 輔色2 2 3 3" xfId="442" xr:uid="{00000000-0005-0000-0000-0000B9010000}"/>
    <cellStyle name="40% - 輔色2 2 3 4" xfId="443" xr:uid="{00000000-0005-0000-0000-0000BA010000}"/>
    <cellStyle name="40% - 輔色2 2 4" xfId="444" xr:uid="{00000000-0005-0000-0000-0000BB010000}"/>
    <cellStyle name="40% - 輔色2 2 5" xfId="445" xr:uid="{00000000-0005-0000-0000-0000BC010000}"/>
    <cellStyle name="40% - 輔色2 3" xfId="446" xr:uid="{00000000-0005-0000-0000-0000BD010000}"/>
    <cellStyle name="40% - 輔色2 3 2" xfId="447" xr:uid="{00000000-0005-0000-0000-0000BE010000}"/>
    <cellStyle name="40% - 輔色2 3 3" xfId="448" xr:uid="{00000000-0005-0000-0000-0000BF010000}"/>
    <cellStyle name="40% - 輔色2 3 4" xfId="449" xr:uid="{00000000-0005-0000-0000-0000C0010000}"/>
    <cellStyle name="40% - 輔色2 3 5" xfId="450" xr:uid="{00000000-0005-0000-0000-0000C1010000}"/>
    <cellStyle name="40% - 輔色2 3 5 2" xfId="451" xr:uid="{00000000-0005-0000-0000-0000C2010000}"/>
    <cellStyle name="40% - 輔色2 3 5 2 2" xfId="452" xr:uid="{00000000-0005-0000-0000-0000C3010000}"/>
    <cellStyle name="40% - 輔色2 3 5 2 2 2" xfId="453" xr:uid="{00000000-0005-0000-0000-0000C4010000}"/>
    <cellStyle name="40% - 輔色2 3 5 3" xfId="454" xr:uid="{00000000-0005-0000-0000-0000C5010000}"/>
    <cellStyle name="40% - 輔色2 3 5 3 2" xfId="455" xr:uid="{00000000-0005-0000-0000-0000C6010000}"/>
    <cellStyle name="40% - 輔色2 3 6" xfId="456" xr:uid="{00000000-0005-0000-0000-0000C7010000}"/>
    <cellStyle name="40% - 輔色2 3 6 2" xfId="457" xr:uid="{00000000-0005-0000-0000-0000C8010000}"/>
    <cellStyle name="40% - 輔色2 3 6 3" xfId="458" xr:uid="{00000000-0005-0000-0000-0000C9010000}"/>
    <cellStyle name="40% - 輔色2 3 7" xfId="459" xr:uid="{00000000-0005-0000-0000-0000CA010000}"/>
    <cellStyle name="40% - 輔色2 4" xfId="460" xr:uid="{00000000-0005-0000-0000-0000CB010000}"/>
    <cellStyle name="40% - 輔色2 4 2" xfId="461" xr:uid="{00000000-0005-0000-0000-0000CC010000}"/>
    <cellStyle name="40% - 輔色2 4 3" xfId="462" xr:uid="{00000000-0005-0000-0000-0000CD010000}"/>
    <cellStyle name="40% - 輔色2 4 4" xfId="463" xr:uid="{00000000-0005-0000-0000-0000CE010000}"/>
    <cellStyle name="40% - 輔色2 5" xfId="464" xr:uid="{00000000-0005-0000-0000-0000CF010000}"/>
    <cellStyle name="40% - 輔色2 6" xfId="465" xr:uid="{00000000-0005-0000-0000-0000D0010000}"/>
    <cellStyle name="40% - 輔色2 7" xfId="466" xr:uid="{00000000-0005-0000-0000-0000D1010000}"/>
    <cellStyle name="40% - 輔色2 8" xfId="467" xr:uid="{00000000-0005-0000-0000-0000D2010000}"/>
    <cellStyle name="40% - 輔色2 8 2" xfId="468" xr:uid="{00000000-0005-0000-0000-0000D3010000}"/>
    <cellStyle name="40% - 輔色2 8 2 2" xfId="469" xr:uid="{00000000-0005-0000-0000-0000D4010000}"/>
    <cellStyle name="40% - 輔色2 9" xfId="470" xr:uid="{00000000-0005-0000-0000-0000D5010000}"/>
    <cellStyle name="40% - 輔色3" xfId="471" builtinId="39" customBuiltin="1"/>
    <cellStyle name="40% - 輔色3 10" xfId="472" xr:uid="{00000000-0005-0000-0000-0000D7010000}"/>
    <cellStyle name="40% - 輔色3 10 2" xfId="473" xr:uid="{00000000-0005-0000-0000-0000D8010000}"/>
    <cellStyle name="40% - 輔色3 10 3" xfId="474" xr:uid="{00000000-0005-0000-0000-0000D9010000}"/>
    <cellStyle name="40% - 輔色3 11" xfId="475" xr:uid="{00000000-0005-0000-0000-0000DA010000}"/>
    <cellStyle name="40% - 輔色3 11 2" xfId="476" xr:uid="{00000000-0005-0000-0000-0000DB010000}"/>
    <cellStyle name="40% - 輔色3 11 3" xfId="477" xr:uid="{00000000-0005-0000-0000-0000DC010000}"/>
    <cellStyle name="40% - 輔色3 11 4" xfId="478" xr:uid="{00000000-0005-0000-0000-0000DD010000}"/>
    <cellStyle name="40% - 輔色3 11 4 2" xfId="479" xr:uid="{00000000-0005-0000-0000-0000DE010000}"/>
    <cellStyle name="40% - 輔色3 11 4 3" xfId="480" xr:uid="{00000000-0005-0000-0000-0000DF010000}"/>
    <cellStyle name="40% - 輔色3 11 5" xfId="481" xr:uid="{00000000-0005-0000-0000-0000E0010000}"/>
    <cellStyle name="40% - 輔色3 11 6" xfId="482" xr:uid="{00000000-0005-0000-0000-0000E1010000}"/>
    <cellStyle name="40% - 輔色3 12" xfId="483" xr:uid="{00000000-0005-0000-0000-0000E2010000}"/>
    <cellStyle name="40% - 輔色3 13" xfId="484" xr:uid="{00000000-0005-0000-0000-0000E3010000}"/>
    <cellStyle name="40% - 輔色3 14" xfId="485" xr:uid="{00000000-0005-0000-0000-0000E4010000}"/>
    <cellStyle name="40% - 輔色3 15" xfId="486" xr:uid="{00000000-0005-0000-0000-0000E5010000}"/>
    <cellStyle name="40% - 輔色3 16" xfId="487" xr:uid="{00000000-0005-0000-0000-0000E6010000}"/>
    <cellStyle name="40% - 輔色3 2" xfId="488" xr:uid="{00000000-0005-0000-0000-0000E7010000}"/>
    <cellStyle name="40% - 輔色3 2 2" xfId="489" xr:uid="{00000000-0005-0000-0000-0000E8010000}"/>
    <cellStyle name="40% - 輔色3 2 2 2" xfId="490" xr:uid="{00000000-0005-0000-0000-0000E9010000}"/>
    <cellStyle name="40% - 輔色3 2 2 2 2" xfId="491" xr:uid="{00000000-0005-0000-0000-0000EA010000}"/>
    <cellStyle name="40% - 輔色3 2 2 2 3" xfId="492" xr:uid="{00000000-0005-0000-0000-0000EB010000}"/>
    <cellStyle name="40% - 輔色3 2 2 3" xfId="493" xr:uid="{00000000-0005-0000-0000-0000EC010000}"/>
    <cellStyle name="40% - 輔色3 2 2 4" xfId="494" xr:uid="{00000000-0005-0000-0000-0000ED010000}"/>
    <cellStyle name="40% - 輔色3 2 3" xfId="495" xr:uid="{00000000-0005-0000-0000-0000EE010000}"/>
    <cellStyle name="40% - 輔色3 2 3 2" xfId="496" xr:uid="{00000000-0005-0000-0000-0000EF010000}"/>
    <cellStyle name="40% - 輔色3 2 3 3" xfId="497" xr:uid="{00000000-0005-0000-0000-0000F0010000}"/>
    <cellStyle name="40% - 輔色3 2 3 4" xfId="498" xr:uid="{00000000-0005-0000-0000-0000F1010000}"/>
    <cellStyle name="40% - 輔色3 2 4" xfId="499" xr:uid="{00000000-0005-0000-0000-0000F2010000}"/>
    <cellStyle name="40% - 輔色3 2 5" xfId="500" xr:uid="{00000000-0005-0000-0000-0000F3010000}"/>
    <cellStyle name="40% - 輔色3 3" xfId="501" xr:uid="{00000000-0005-0000-0000-0000F4010000}"/>
    <cellStyle name="40% - 輔色3 3 10" xfId="502" xr:uid="{00000000-0005-0000-0000-0000F5010000}"/>
    <cellStyle name="40% - 輔色3 3 2" xfId="503" xr:uid="{00000000-0005-0000-0000-0000F6010000}"/>
    <cellStyle name="40% - 輔色3 3 3" xfId="504" xr:uid="{00000000-0005-0000-0000-0000F7010000}"/>
    <cellStyle name="40% - 輔色3 3 4" xfId="505" xr:uid="{00000000-0005-0000-0000-0000F8010000}"/>
    <cellStyle name="40% - 輔色3 3 5" xfId="506" xr:uid="{00000000-0005-0000-0000-0000F9010000}"/>
    <cellStyle name="40% - 輔色3 3 5 2" xfId="507" xr:uid="{00000000-0005-0000-0000-0000FA010000}"/>
    <cellStyle name="40% - 輔色3 3 5 2 2" xfId="508" xr:uid="{00000000-0005-0000-0000-0000FB010000}"/>
    <cellStyle name="40% - 輔色3 3 5 2 2 2" xfId="509" xr:uid="{00000000-0005-0000-0000-0000FC010000}"/>
    <cellStyle name="40% - 輔色3 3 5 3" xfId="510" xr:uid="{00000000-0005-0000-0000-0000FD010000}"/>
    <cellStyle name="40% - 輔色3 3 5 3 2" xfId="511" xr:uid="{00000000-0005-0000-0000-0000FE010000}"/>
    <cellStyle name="40% - 輔色3 3 6" xfId="512" xr:uid="{00000000-0005-0000-0000-0000FF010000}"/>
    <cellStyle name="40% - 輔色3 3 7" xfId="513" xr:uid="{00000000-0005-0000-0000-000000020000}"/>
    <cellStyle name="40% - 輔色3 3 7 2" xfId="514" xr:uid="{00000000-0005-0000-0000-000001020000}"/>
    <cellStyle name="40% - 輔色3 3 7 3" xfId="515" xr:uid="{00000000-0005-0000-0000-000002020000}"/>
    <cellStyle name="40% - 輔色3 3 8" xfId="516" xr:uid="{00000000-0005-0000-0000-000003020000}"/>
    <cellStyle name="40% - 輔色3 3 9" xfId="517" xr:uid="{00000000-0005-0000-0000-000004020000}"/>
    <cellStyle name="40% - 輔色3 4" xfId="518" xr:uid="{00000000-0005-0000-0000-000005020000}"/>
    <cellStyle name="40% - 輔色3 4 2" xfId="519" xr:uid="{00000000-0005-0000-0000-000006020000}"/>
    <cellStyle name="40% - 輔色3 4 3" xfId="520" xr:uid="{00000000-0005-0000-0000-000007020000}"/>
    <cellStyle name="40% - 輔色3 4 4" xfId="521" xr:uid="{00000000-0005-0000-0000-000008020000}"/>
    <cellStyle name="40% - 輔色3 5" xfId="522" xr:uid="{00000000-0005-0000-0000-000009020000}"/>
    <cellStyle name="40% - 輔色3 6" xfId="523" xr:uid="{00000000-0005-0000-0000-00000A020000}"/>
    <cellStyle name="40% - 輔色3 7" xfId="524" xr:uid="{00000000-0005-0000-0000-00000B020000}"/>
    <cellStyle name="40% - 輔色3 8" xfId="525" xr:uid="{00000000-0005-0000-0000-00000C020000}"/>
    <cellStyle name="40% - 輔色3 8 2" xfId="526" xr:uid="{00000000-0005-0000-0000-00000D020000}"/>
    <cellStyle name="40% - 輔色3 8 2 2" xfId="527" xr:uid="{00000000-0005-0000-0000-00000E020000}"/>
    <cellStyle name="40% - 輔色3 9" xfId="528" xr:uid="{00000000-0005-0000-0000-00000F020000}"/>
    <cellStyle name="40% - 輔色4" xfId="529" builtinId="43" customBuiltin="1"/>
    <cellStyle name="40% - 輔色4 10" xfId="530" xr:uid="{00000000-0005-0000-0000-000011020000}"/>
    <cellStyle name="40% - 輔色4 10 2" xfId="531" xr:uid="{00000000-0005-0000-0000-000012020000}"/>
    <cellStyle name="40% - 輔色4 10 3" xfId="532" xr:uid="{00000000-0005-0000-0000-000013020000}"/>
    <cellStyle name="40% - 輔色4 11" xfId="533" xr:uid="{00000000-0005-0000-0000-000014020000}"/>
    <cellStyle name="40% - 輔色4 11 2" xfId="534" xr:uid="{00000000-0005-0000-0000-000015020000}"/>
    <cellStyle name="40% - 輔色4 11 3" xfId="535" xr:uid="{00000000-0005-0000-0000-000016020000}"/>
    <cellStyle name="40% - 輔色4 11 4" xfId="536" xr:uid="{00000000-0005-0000-0000-000017020000}"/>
    <cellStyle name="40% - 輔色4 11 4 2" xfId="537" xr:uid="{00000000-0005-0000-0000-000018020000}"/>
    <cellStyle name="40% - 輔色4 11 4 3" xfId="538" xr:uid="{00000000-0005-0000-0000-000019020000}"/>
    <cellStyle name="40% - 輔色4 11 5" xfId="539" xr:uid="{00000000-0005-0000-0000-00001A020000}"/>
    <cellStyle name="40% - 輔色4 11 6" xfId="540" xr:uid="{00000000-0005-0000-0000-00001B020000}"/>
    <cellStyle name="40% - 輔色4 12" xfId="541" xr:uid="{00000000-0005-0000-0000-00001C020000}"/>
    <cellStyle name="40% - 輔色4 13" xfId="542" xr:uid="{00000000-0005-0000-0000-00001D020000}"/>
    <cellStyle name="40% - 輔色4 14" xfId="543" xr:uid="{00000000-0005-0000-0000-00001E020000}"/>
    <cellStyle name="40% - 輔色4 15" xfId="544" xr:uid="{00000000-0005-0000-0000-00001F020000}"/>
    <cellStyle name="40% - 輔色4 16" xfId="545" xr:uid="{00000000-0005-0000-0000-000020020000}"/>
    <cellStyle name="40% - 輔色4 2" xfId="546" xr:uid="{00000000-0005-0000-0000-000021020000}"/>
    <cellStyle name="40% - 輔色4 2 2" xfId="547" xr:uid="{00000000-0005-0000-0000-000022020000}"/>
    <cellStyle name="40% - 輔色4 2 2 2" xfId="548" xr:uid="{00000000-0005-0000-0000-000023020000}"/>
    <cellStyle name="40% - 輔色4 2 2 2 2" xfId="549" xr:uid="{00000000-0005-0000-0000-000024020000}"/>
    <cellStyle name="40% - 輔色4 2 2 2 3" xfId="550" xr:uid="{00000000-0005-0000-0000-000025020000}"/>
    <cellStyle name="40% - 輔色4 2 2 3" xfId="551" xr:uid="{00000000-0005-0000-0000-000026020000}"/>
    <cellStyle name="40% - 輔色4 2 2 4" xfId="552" xr:uid="{00000000-0005-0000-0000-000027020000}"/>
    <cellStyle name="40% - 輔色4 2 3" xfId="553" xr:uid="{00000000-0005-0000-0000-000028020000}"/>
    <cellStyle name="40% - 輔色4 2 3 2" xfId="554" xr:uid="{00000000-0005-0000-0000-000029020000}"/>
    <cellStyle name="40% - 輔色4 2 3 3" xfId="555" xr:uid="{00000000-0005-0000-0000-00002A020000}"/>
    <cellStyle name="40% - 輔色4 2 3 4" xfId="556" xr:uid="{00000000-0005-0000-0000-00002B020000}"/>
    <cellStyle name="40% - 輔色4 2 4" xfId="557" xr:uid="{00000000-0005-0000-0000-00002C020000}"/>
    <cellStyle name="40% - 輔色4 2 5" xfId="558" xr:uid="{00000000-0005-0000-0000-00002D020000}"/>
    <cellStyle name="40% - 輔色4 3" xfId="559" xr:uid="{00000000-0005-0000-0000-00002E020000}"/>
    <cellStyle name="40% - 輔色4 3 10" xfId="560" xr:uid="{00000000-0005-0000-0000-00002F020000}"/>
    <cellStyle name="40% - 輔色4 3 2" xfId="561" xr:uid="{00000000-0005-0000-0000-000030020000}"/>
    <cellStyle name="40% - 輔色4 3 3" xfId="562" xr:uid="{00000000-0005-0000-0000-000031020000}"/>
    <cellStyle name="40% - 輔色4 3 4" xfId="563" xr:uid="{00000000-0005-0000-0000-000032020000}"/>
    <cellStyle name="40% - 輔色4 3 5" xfId="564" xr:uid="{00000000-0005-0000-0000-000033020000}"/>
    <cellStyle name="40% - 輔色4 3 5 2" xfId="565" xr:uid="{00000000-0005-0000-0000-000034020000}"/>
    <cellStyle name="40% - 輔色4 3 5 2 2" xfId="566" xr:uid="{00000000-0005-0000-0000-000035020000}"/>
    <cellStyle name="40% - 輔色4 3 5 2 2 2" xfId="567" xr:uid="{00000000-0005-0000-0000-000036020000}"/>
    <cellStyle name="40% - 輔色4 3 5 3" xfId="568" xr:uid="{00000000-0005-0000-0000-000037020000}"/>
    <cellStyle name="40% - 輔色4 3 5 3 2" xfId="569" xr:uid="{00000000-0005-0000-0000-000038020000}"/>
    <cellStyle name="40% - 輔色4 3 6" xfId="570" xr:uid="{00000000-0005-0000-0000-000039020000}"/>
    <cellStyle name="40% - 輔色4 3 7" xfId="571" xr:uid="{00000000-0005-0000-0000-00003A020000}"/>
    <cellStyle name="40% - 輔色4 3 7 2" xfId="572" xr:uid="{00000000-0005-0000-0000-00003B020000}"/>
    <cellStyle name="40% - 輔色4 3 7 3" xfId="573" xr:uid="{00000000-0005-0000-0000-00003C020000}"/>
    <cellStyle name="40% - 輔色4 3 8" xfId="574" xr:uid="{00000000-0005-0000-0000-00003D020000}"/>
    <cellStyle name="40% - 輔色4 3 9" xfId="575" xr:uid="{00000000-0005-0000-0000-00003E020000}"/>
    <cellStyle name="40% - 輔色4 4" xfId="576" xr:uid="{00000000-0005-0000-0000-00003F020000}"/>
    <cellStyle name="40% - 輔色4 4 2" xfId="577" xr:uid="{00000000-0005-0000-0000-000040020000}"/>
    <cellStyle name="40% - 輔色4 4 3" xfId="578" xr:uid="{00000000-0005-0000-0000-000041020000}"/>
    <cellStyle name="40% - 輔色4 4 4" xfId="579" xr:uid="{00000000-0005-0000-0000-000042020000}"/>
    <cellStyle name="40% - 輔色4 5" xfId="580" xr:uid="{00000000-0005-0000-0000-000043020000}"/>
    <cellStyle name="40% - 輔色4 6" xfId="581" xr:uid="{00000000-0005-0000-0000-000044020000}"/>
    <cellStyle name="40% - 輔色4 7" xfId="582" xr:uid="{00000000-0005-0000-0000-000045020000}"/>
    <cellStyle name="40% - 輔色4 8" xfId="583" xr:uid="{00000000-0005-0000-0000-000046020000}"/>
    <cellStyle name="40% - 輔色4 8 2" xfId="584" xr:uid="{00000000-0005-0000-0000-000047020000}"/>
    <cellStyle name="40% - 輔色4 8 2 2" xfId="585" xr:uid="{00000000-0005-0000-0000-000048020000}"/>
    <cellStyle name="40% - 輔色4 9" xfId="586" xr:uid="{00000000-0005-0000-0000-000049020000}"/>
    <cellStyle name="40% - 輔色5" xfId="587" builtinId="47" customBuiltin="1"/>
    <cellStyle name="40% - 輔色5 10" xfId="588" xr:uid="{00000000-0005-0000-0000-00004B020000}"/>
    <cellStyle name="40% - 輔色5 10 2" xfId="589" xr:uid="{00000000-0005-0000-0000-00004C020000}"/>
    <cellStyle name="40% - 輔色5 10 3" xfId="590" xr:uid="{00000000-0005-0000-0000-00004D020000}"/>
    <cellStyle name="40% - 輔色5 11" xfId="591" xr:uid="{00000000-0005-0000-0000-00004E020000}"/>
    <cellStyle name="40% - 輔色5 11 2" xfId="592" xr:uid="{00000000-0005-0000-0000-00004F020000}"/>
    <cellStyle name="40% - 輔色5 11 3" xfId="593" xr:uid="{00000000-0005-0000-0000-000050020000}"/>
    <cellStyle name="40% - 輔色5 11 4" xfId="594" xr:uid="{00000000-0005-0000-0000-000051020000}"/>
    <cellStyle name="40% - 輔色5 11 4 2" xfId="595" xr:uid="{00000000-0005-0000-0000-000052020000}"/>
    <cellStyle name="40% - 輔色5 11 4 3" xfId="596" xr:uid="{00000000-0005-0000-0000-000053020000}"/>
    <cellStyle name="40% - 輔色5 11 5" xfId="597" xr:uid="{00000000-0005-0000-0000-000054020000}"/>
    <cellStyle name="40% - 輔色5 11 6" xfId="598" xr:uid="{00000000-0005-0000-0000-000055020000}"/>
    <cellStyle name="40% - 輔色5 12" xfId="599" xr:uid="{00000000-0005-0000-0000-000056020000}"/>
    <cellStyle name="40% - 輔色5 13" xfId="600" xr:uid="{00000000-0005-0000-0000-000057020000}"/>
    <cellStyle name="40% - 輔色5 14" xfId="601" xr:uid="{00000000-0005-0000-0000-000058020000}"/>
    <cellStyle name="40% - 輔色5 15" xfId="602" xr:uid="{00000000-0005-0000-0000-000059020000}"/>
    <cellStyle name="40% - 輔色5 16" xfId="603" xr:uid="{00000000-0005-0000-0000-00005A020000}"/>
    <cellStyle name="40% - 輔色5 2" xfId="604" xr:uid="{00000000-0005-0000-0000-00005B020000}"/>
    <cellStyle name="40% - 輔色5 2 2" xfId="605" xr:uid="{00000000-0005-0000-0000-00005C020000}"/>
    <cellStyle name="40% - 輔色5 2 2 2" xfId="606" xr:uid="{00000000-0005-0000-0000-00005D020000}"/>
    <cellStyle name="40% - 輔色5 2 2 2 2" xfId="607" xr:uid="{00000000-0005-0000-0000-00005E020000}"/>
    <cellStyle name="40% - 輔色5 2 2 2 3" xfId="608" xr:uid="{00000000-0005-0000-0000-00005F020000}"/>
    <cellStyle name="40% - 輔色5 2 2 3" xfId="609" xr:uid="{00000000-0005-0000-0000-000060020000}"/>
    <cellStyle name="40% - 輔色5 2 2 4" xfId="610" xr:uid="{00000000-0005-0000-0000-000061020000}"/>
    <cellStyle name="40% - 輔色5 2 3" xfId="611" xr:uid="{00000000-0005-0000-0000-000062020000}"/>
    <cellStyle name="40% - 輔色5 2 3 2" xfId="612" xr:uid="{00000000-0005-0000-0000-000063020000}"/>
    <cellStyle name="40% - 輔色5 2 3 3" xfId="613" xr:uid="{00000000-0005-0000-0000-000064020000}"/>
    <cellStyle name="40% - 輔色5 2 3 4" xfId="614" xr:uid="{00000000-0005-0000-0000-000065020000}"/>
    <cellStyle name="40% - 輔色5 2 4" xfId="615" xr:uid="{00000000-0005-0000-0000-000066020000}"/>
    <cellStyle name="40% - 輔色5 2 5" xfId="616" xr:uid="{00000000-0005-0000-0000-000067020000}"/>
    <cellStyle name="40% - 輔色5 3" xfId="617" xr:uid="{00000000-0005-0000-0000-000068020000}"/>
    <cellStyle name="40% - 輔色5 3 10" xfId="618" xr:uid="{00000000-0005-0000-0000-000069020000}"/>
    <cellStyle name="40% - 輔色5 3 2" xfId="619" xr:uid="{00000000-0005-0000-0000-00006A020000}"/>
    <cellStyle name="40% - 輔色5 3 3" xfId="620" xr:uid="{00000000-0005-0000-0000-00006B020000}"/>
    <cellStyle name="40% - 輔色5 3 4" xfId="621" xr:uid="{00000000-0005-0000-0000-00006C020000}"/>
    <cellStyle name="40% - 輔色5 3 5" xfId="622" xr:uid="{00000000-0005-0000-0000-00006D020000}"/>
    <cellStyle name="40% - 輔色5 3 5 2" xfId="623" xr:uid="{00000000-0005-0000-0000-00006E020000}"/>
    <cellStyle name="40% - 輔色5 3 5 2 2" xfId="624" xr:uid="{00000000-0005-0000-0000-00006F020000}"/>
    <cellStyle name="40% - 輔色5 3 5 2 2 2" xfId="625" xr:uid="{00000000-0005-0000-0000-000070020000}"/>
    <cellStyle name="40% - 輔色5 3 5 3" xfId="626" xr:uid="{00000000-0005-0000-0000-000071020000}"/>
    <cellStyle name="40% - 輔色5 3 5 3 2" xfId="627" xr:uid="{00000000-0005-0000-0000-000072020000}"/>
    <cellStyle name="40% - 輔色5 3 6" xfId="628" xr:uid="{00000000-0005-0000-0000-000073020000}"/>
    <cellStyle name="40% - 輔色5 3 7" xfId="629" xr:uid="{00000000-0005-0000-0000-000074020000}"/>
    <cellStyle name="40% - 輔色5 3 7 2" xfId="630" xr:uid="{00000000-0005-0000-0000-000075020000}"/>
    <cellStyle name="40% - 輔色5 3 7 3" xfId="631" xr:uid="{00000000-0005-0000-0000-000076020000}"/>
    <cellStyle name="40% - 輔色5 3 8" xfId="632" xr:uid="{00000000-0005-0000-0000-000077020000}"/>
    <cellStyle name="40% - 輔色5 3 9" xfId="633" xr:uid="{00000000-0005-0000-0000-000078020000}"/>
    <cellStyle name="40% - 輔色5 4" xfId="634" xr:uid="{00000000-0005-0000-0000-000079020000}"/>
    <cellStyle name="40% - 輔色5 4 2" xfId="635" xr:uid="{00000000-0005-0000-0000-00007A020000}"/>
    <cellStyle name="40% - 輔色5 4 3" xfId="636" xr:uid="{00000000-0005-0000-0000-00007B020000}"/>
    <cellStyle name="40% - 輔色5 4 4" xfId="637" xr:uid="{00000000-0005-0000-0000-00007C020000}"/>
    <cellStyle name="40% - 輔色5 5" xfId="638" xr:uid="{00000000-0005-0000-0000-00007D020000}"/>
    <cellStyle name="40% - 輔色5 6" xfId="639" xr:uid="{00000000-0005-0000-0000-00007E020000}"/>
    <cellStyle name="40% - 輔色5 7" xfId="640" xr:uid="{00000000-0005-0000-0000-00007F020000}"/>
    <cellStyle name="40% - 輔色5 8" xfId="641" xr:uid="{00000000-0005-0000-0000-000080020000}"/>
    <cellStyle name="40% - 輔色5 8 2" xfId="642" xr:uid="{00000000-0005-0000-0000-000081020000}"/>
    <cellStyle name="40% - 輔色5 8 2 2" xfId="643" xr:uid="{00000000-0005-0000-0000-000082020000}"/>
    <cellStyle name="40% - 輔色5 9" xfId="644" xr:uid="{00000000-0005-0000-0000-000083020000}"/>
    <cellStyle name="40% - 輔色6" xfId="645" builtinId="51" customBuiltin="1"/>
    <cellStyle name="40% - 輔色6 10" xfId="646" xr:uid="{00000000-0005-0000-0000-000085020000}"/>
    <cellStyle name="40% - 輔色6 10 2" xfId="647" xr:uid="{00000000-0005-0000-0000-000086020000}"/>
    <cellStyle name="40% - 輔色6 10 3" xfId="648" xr:uid="{00000000-0005-0000-0000-000087020000}"/>
    <cellStyle name="40% - 輔色6 11" xfId="649" xr:uid="{00000000-0005-0000-0000-000088020000}"/>
    <cellStyle name="40% - 輔色6 11 2" xfId="650" xr:uid="{00000000-0005-0000-0000-000089020000}"/>
    <cellStyle name="40% - 輔色6 11 3" xfId="651" xr:uid="{00000000-0005-0000-0000-00008A020000}"/>
    <cellStyle name="40% - 輔色6 11 4" xfId="652" xr:uid="{00000000-0005-0000-0000-00008B020000}"/>
    <cellStyle name="40% - 輔色6 11 4 2" xfId="653" xr:uid="{00000000-0005-0000-0000-00008C020000}"/>
    <cellStyle name="40% - 輔色6 11 4 3" xfId="654" xr:uid="{00000000-0005-0000-0000-00008D020000}"/>
    <cellStyle name="40% - 輔色6 11 5" xfId="655" xr:uid="{00000000-0005-0000-0000-00008E020000}"/>
    <cellStyle name="40% - 輔色6 11 6" xfId="656" xr:uid="{00000000-0005-0000-0000-00008F020000}"/>
    <cellStyle name="40% - 輔色6 12" xfId="657" xr:uid="{00000000-0005-0000-0000-000090020000}"/>
    <cellStyle name="40% - 輔色6 13" xfId="658" xr:uid="{00000000-0005-0000-0000-000091020000}"/>
    <cellStyle name="40% - 輔色6 14" xfId="659" xr:uid="{00000000-0005-0000-0000-000092020000}"/>
    <cellStyle name="40% - 輔色6 15" xfId="660" xr:uid="{00000000-0005-0000-0000-000093020000}"/>
    <cellStyle name="40% - 輔色6 16" xfId="661" xr:uid="{00000000-0005-0000-0000-000094020000}"/>
    <cellStyle name="40% - 輔色6 2" xfId="662" xr:uid="{00000000-0005-0000-0000-000095020000}"/>
    <cellStyle name="40% - 輔色6 2 2" xfId="663" xr:uid="{00000000-0005-0000-0000-000096020000}"/>
    <cellStyle name="40% - 輔色6 2 2 2" xfId="664" xr:uid="{00000000-0005-0000-0000-000097020000}"/>
    <cellStyle name="40% - 輔色6 2 2 2 2" xfId="665" xr:uid="{00000000-0005-0000-0000-000098020000}"/>
    <cellStyle name="40% - 輔色6 2 2 2 3" xfId="666" xr:uid="{00000000-0005-0000-0000-000099020000}"/>
    <cellStyle name="40% - 輔色6 2 2 3" xfId="667" xr:uid="{00000000-0005-0000-0000-00009A020000}"/>
    <cellStyle name="40% - 輔色6 2 2 4" xfId="668" xr:uid="{00000000-0005-0000-0000-00009B020000}"/>
    <cellStyle name="40% - 輔色6 2 3" xfId="669" xr:uid="{00000000-0005-0000-0000-00009C020000}"/>
    <cellStyle name="40% - 輔色6 2 3 2" xfId="670" xr:uid="{00000000-0005-0000-0000-00009D020000}"/>
    <cellStyle name="40% - 輔色6 2 3 3" xfId="671" xr:uid="{00000000-0005-0000-0000-00009E020000}"/>
    <cellStyle name="40% - 輔色6 2 3 4" xfId="672" xr:uid="{00000000-0005-0000-0000-00009F020000}"/>
    <cellStyle name="40% - 輔色6 2 4" xfId="673" xr:uid="{00000000-0005-0000-0000-0000A0020000}"/>
    <cellStyle name="40% - 輔色6 2 5" xfId="674" xr:uid="{00000000-0005-0000-0000-0000A1020000}"/>
    <cellStyle name="40% - 輔色6 3" xfId="675" xr:uid="{00000000-0005-0000-0000-0000A2020000}"/>
    <cellStyle name="40% - 輔色6 3 10" xfId="676" xr:uid="{00000000-0005-0000-0000-0000A3020000}"/>
    <cellStyle name="40% - 輔色6 3 2" xfId="677" xr:uid="{00000000-0005-0000-0000-0000A4020000}"/>
    <cellStyle name="40% - 輔色6 3 3" xfId="678" xr:uid="{00000000-0005-0000-0000-0000A5020000}"/>
    <cellStyle name="40% - 輔色6 3 4" xfId="679" xr:uid="{00000000-0005-0000-0000-0000A6020000}"/>
    <cellStyle name="40% - 輔色6 3 5" xfId="680" xr:uid="{00000000-0005-0000-0000-0000A7020000}"/>
    <cellStyle name="40% - 輔色6 3 5 2" xfId="681" xr:uid="{00000000-0005-0000-0000-0000A8020000}"/>
    <cellStyle name="40% - 輔色6 3 5 2 2" xfId="682" xr:uid="{00000000-0005-0000-0000-0000A9020000}"/>
    <cellStyle name="40% - 輔色6 3 5 2 2 2" xfId="683" xr:uid="{00000000-0005-0000-0000-0000AA020000}"/>
    <cellStyle name="40% - 輔色6 3 5 3" xfId="684" xr:uid="{00000000-0005-0000-0000-0000AB020000}"/>
    <cellStyle name="40% - 輔色6 3 5 3 2" xfId="685" xr:uid="{00000000-0005-0000-0000-0000AC020000}"/>
    <cellStyle name="40% - 輔色6 3 6" xfId="686" xr:uid="{00000000-0005-0000-0000-0000AD020000}"/>
    <cellStyle name="40% - 輔色6 3 7" xfId="687" xr:uid="{00000000-0005-0000-0000-0000AE020000}"/>
    <cellStyle name="40% - 輔色6 3 7 2" xfId="688" xr:uid="{00000000-0005-0000-0000-0000AF020000}"/>
    <cellStyle name="40% - 輔色6 3 7 3" xfId="689" xr:uid="{00000000-0005-0000-0000-0000B0020000}"/>
    <cellStyle name="40% - 輔色6 3 8" xfId="690" xr:uid="{00000000-0005-0000-0000-0000B1020000}"/>
    <cellStyle name="40% - 輔色6 3 9" xfId="691" xr:uid="{00000000-0005-0000-0000-0000B2020000}"/>
    <cellStyle name="40% - 輔色6 4" xfId="692" xr:uid="{00000000-0005-0000-0000-0000B3020000}"/>
    <cellStyle name="40% - 輔色6 4 2" xfId="693" xr:uid="{00000000-0005-0000-0000-0000B4020000}"/>
    <cellStyle name="40% - 輔色6 4 3" xfId="694" xr:uid="{00000000-0005-0000-0000-0000B5020000}"/>
    <cellStyle name="40% - 輔色6 4 4" xfId="695" xr:uid="{00000000-0005-0000-0000-0000B6020000}"/>
    <cellStyle name="40% - 輔色6 5" xfId="696" xr:uid="{00000000-0005-0000-0000-0000B7020000}"/>
    <cellStyle name="40% - 輔色6 6" xfId="697" xr:uid="{00000000-0005-0000-0000-0000B8020000}"/>
    <cellStyle name="40% - 輔色6 7" xfId="698" xr:uid="{00000000-0005-0000-0000-0000B9020000}"/>
    <cellStyle name="40% - 輔色6 8" xfId="699" xr:uid="{00000000-0005-0000-0000-0000BA020000}"/>
    <cellStyle name="40% - 輔色6 8 2" xfId="700" xr:uid="{00000000-0005-0000-0000-0000BB020000}"/>
    <cellStyle name="40% - 輔色6 8 2 2" xfId="701" xr:uid="{00000000-0005-0000-0000-0000BC020000}"/>
    <cellStyle name="40% - 輔色6 9" xfId="702" xr:uid="{00000000-0005-0000-0000-0000BD020000}"/>
    <cellStyle name="60% - Accent1" xfId="703" xr:uid="{00000000-0005-0000-0000-0000BE020000}"/>
    <cellStyle name="60% - Accent2" xfId="704" xr:uid="{00000000-0005-0000-0000-0000BF020000}"/>
    <cellStyle name="60% - Accent3" xfId="705" xr:uid="{00000000-0005-0000-0000-0000C0020000}"/>
    <cellStyle name="60% - Accent4" xfId="706" xr:uid="{00000000-0005-0000-0000-0000C1020000}"/>
    <cellStyle name="60% - Accent5" xfId="707" xr:uid="{00000000-0005-0000-0000-0000C2020000}"/>
    <cellStyle name="60% - Accent6" xfId="708" xr:uid="{00000000-0005-0000-0000-0000C3020000}"/>
    <cellStyle name="60% - 輔色1" xfId="709" builtinId="32" customBuiltin="1"/>
    <cellStyle name="60% - 輔色1 10" xfId="710" xr:uid="{00000000-0005-0000-0000-0000C5020000}"/>
    <cellStyle name="60% - 輔色1 2" xfId="711" xr:uid="{00000000-0005-0000-0000-0000C6020000}"/>
    <cellStyle name="60% - 輔色1 2 2" xfId="712" xr:uid="{00000000-0005-0000-0000-0000C7020000}"/>
    <cellStyle name="60% - 輔色1 2 2 2" xfId="713" xr:uid="{00000000-0005-0000-0000-0000C8020000}"/>
    <cellStyle name="60% - 輔色1 2 2 3" xfId="714" xr:uid="{00000000-0005-0000-0000-0000C9020000}"/>
    <cellStyle name="60% - 輔色1 2 2 4" xfId="715" xr:uid="{00000000-0005-0000-0000-0000CA020000}"/>
    <cellStyle name="60% - 輔色1 2 3" xfId="716" xr:uid="{00000000-0005-0000-0000-0000CB020000}"/>
    <cellStyle name="60% - 輔色1 2 3 2" xfId="717" xr:uid="{00000000-0005-0000-0000-0000CC020000}"/>
    <cellStyle name="60% - 輔色1 2 3 3" xfId="718" xr:uid="{00000000-0005-0000-0000-0000CD020000}"/>
    <cellStyle name="60% - 輔色1 2 3 4" xfId="719" xr:uid="{00000000-0005-0000-0000-0000CE020000}"/>
    <cellStyle name="60% - 輔色1 3" xfId="720" xr:uid="{00000000-0005-0000-0000-0000CF020000}"/>
    <cellStyle name="60% - 輔色1 3 2" xfId="721" xr:uid="{00000000-0005-0000-0000-0000D0020000}"/>
    <cellStyle name="60% - 輔色1 3 3" xfId="722" xr:uid="{00000000-0005-0000-0000-0000D1020000}"/>
    <cellStyle name="60% - 輔色1 4" xfId="723" xr:uid="{00000000-0005-0000-0000-0000D2020000}"/>
    <cellStyle name="60% - 輔色1 4 2" xfId="724" xr:uid="{00000000-0005-0000-0000-0000D3020000}"/>
    <cellStyle name="60% - 輔色1 5" xfId="725" xr:uid="{00000000-0005-0000-0000-0000D4020000}"/>
    <cellStyle name="60% - 輔色1 6" xfId="726" xr:uid="{00000000-0005-0000-0000-0000D5020000}"/>
    <cellStyle name="60% - 輔色1 6 2" xfId="727" xr:uid="{00000000-0005-0000-0000-0000D6020000}"/>
    <cellStyle name="60% - 輔色1 6 3" xfId="728" xr:uid="{00000000-0005-0000-0000-0000D7020000}"/>
    <cellStyle name="60% - 輔色1 6 4" xfId="729" xr:uid="{00000000-0005-0000-0000-0000D8020000}"/>
    <cellStyle name="60% - 輔色1 6 4 2" xfId="730" xr:uid="{00000000-0005-0000-0000-0000D9020000}"/>
    <cellStyle name="60% - 輔色1 6 4 3" xfId="731" xr:uid="{00000000-0005-0000-0000-0000DA020000}"/>
    <cellStyle name="60% - 輔色1 6 5" xfId="732" xr:uid="{00000000-0005-0000-0000-0000DB020000}"/>
    <cellStyle name="60% - 輔色1 6 6" xfId="733" xr:uid="{00000000-0005-0000-0000-0000DC020000}"/>
    <cellStyle name="60% - 輔色1 7" xfId="734" xr:uid="{00000000-0005-0000-0000-0000DD020000}"/>
    <cellStyle name="60% - 輔色1 8" xfId="735" xr:uid="{00000000-0005-0000-0000-0000DE020000}"/>
    <cellStyle name="60% - 輔色1 9" xfId="736" xr:uid="{00000000-0005-0000-0000-0000DF020000}"/>
    <cellStyle name="60% - 輔色2" xfId="737" builtinId="36" customBuiltin="1"/>
    <cellStyle name="60% - 輔色2 10" xfId="738" xr:uid="{00000000-0005-0000-0000-0000E1020000}"/>
    <cellStyle name="60% - 輔色2 2" xfId="739" xr:uid="{00000000-0005-0000-0000-0000E2020000}"/>
    <cellStyle name="60% - 輔色2 2 2" xfId="740" xr:uid="{00000000-0005-0000-0000-0000E3020000}"/>
    <cellStyle name="60% - 輔色2 2 2 2" xfId="741" xr:uid="{00000000-0005-0000-0000-0000E4020000}"/>
    <cellStyle name="60% - 輔色2 2 2 3" xfId="742" xr:uid="{00000000-0005-0000-0000-0000E5020000}"/>
    <cellStyle name="60% - 輔色2 2 2 4" xfId="743" xr:uid="{00000000-0005-0000-0000-0000E6020000}"/>
    <cellStyle name="60% - 輔色2 2 3" xfId="744" xr:uid="{00000000-0005-0000-0000-0000E7020000}"/>
    <cellStyle name="60% - 輔色2 2 3 2" xfId="745" xr:uid="{00000000-0005-0000-0000-0000E8020000}"/>
    <cellStyle name="60% - 輔色2 2 3 3" xfId="746" xr:uid="{00000000-0005-0000-0000-0000E9020000}"/>
    <cellStyle name="60% - 輔色2 2 3 4" xfId="747" xr:uid="{00000000-0005-0000-0000-0000EA020000}"/>
    <cellStyle name="60% - 輔色2 3" xfId="748" xr:uid="{00000000-0005-0000-0000-0000EB020000}"/>
    <cellStyle name="60% - 輔色2 3 2" xfId="749" xr:uid="{00000000-0005-0000-0000-0000EC020000}"/>
    <cellStyle name="60% - 輔色2 3 3" xfId="750" xr:uid="{00000000-0005-0000-0000-0000ED020000}"/>
    <cellStyle name="60% - 輔色2 4" xfId="751" xr:uid="{00000000-0005-0000-0000-0000EE020000}"/>
    <cellStyle name="60% - 輔色2 4 2" xfId="752" xr:uid="{00000000-0005-0000-0000-0000EF020000}"/>
    <cellStyle name="60% - 輔色2 5" xfId="753" xr:uid="{00000000-0005-0000-0000-0000F0020000}"/>
    <cellStyle name="60% - 輔色2 6" xfId="754" xr:uid="{00000000-0005-0000-0000-0000F1020000}"/>
    <cellStyle name="60% - 輔色2 6 2" xfId="755" xr:uid="{00000000-0005-0000-0000-0000F2020000}"/>
    <cellStyle name="60% - 輔色2 6 3" xfId="756" xr:uid="{00000000-0005-0000-0000-0000F3020000}"/>
    <cellStyle name="60% - 輔色2 6 4" xfId="757" xr:uid="{00000000-0005-0000-0000-0000F4020000}"/>
    <cellStyle name="60% - 輔色2 6 4 2" xfId="758" xr:uid="{00000000-0005-0000-0000-0000F5020000}"/>
    <cellStyle name="60% - 輔色2 6 4 3" xfId="759" xr:uid="{00000000-0005-0000-0000-0000F6020000}"/>
    <cellStyle name="60% - 輔色2 6 5" xfId="760" xr:uid="{00000000-0005-0000-0000-0000F7020000}"/>
    <cellStyle name="60% - 輔色2 6 6" xfId="761" xr:uid="{00000000-0005-0000-0000-0000F8020000}"/>
    <cellStyle name="60% - 輔色2 7" xfId="762" xr:uid="{00000000-0005-0000-0000-0000F9020000}"/>
    <cellStyle name="60% - 輔色2 8" xfId="763" xr:uid="{00000000-0005-0000-0000-0000FA020000}"/>
    <cellStyle name="60% - 輔色2 9" xfId="764" xr:uid="{00000000-0005-0000-0000-0000FB020000}"/>
    <cellStyle name="60% - 輔色3" xfId="765" builtinId="40" customBuiltin="1"/>
    <cellStyle name="60% - 輔色3 10" xfId="766" xr:uid="{00000000-0005-0000-0000-0000FD020000}"/>
    <cellStyle name="60% - 輔色3 2" xfId="767" xr:uid="{00000000-0005-0000-0000-0000FE020000}"/>
    <cellStyle name="60% - 輔色3 2 2" xfId="768" xr:uid="{00000000-0005-0000-0000-0000FF020000}"/>
    <cellStyle name="60% - 輔色3 2 2 2" xfId="769" xr:uid="{00000000-0005-0000-0000-000000030000}"/>
    <cellStyle name="60% - 輔色3 2 2 3" xfId="770" xr:uid="{00000000-0005-0000-0000-000001030000}"/>
    <cellStyle name="60% - 輔色3 2 2 4" xfId="771" xr:uid="{00000000-0005-0000-0000-000002030000}"/>
    <cellStyle name="60% - 輔色3 2 3" xfId="772" xr:uid="{00000000-0005-0000-0000-000003030000}"/>
    <cellStyle name="60% - 輔色3 2 3 2" xfId="773" xr:uid="{00000000-0005-0000-0000-000004030000}"/>
    <cellStyle name="60% - 輔色3 2 3 3" xfId="774" xr:uid="{00000000-0005-0000-0000-000005030000}"/>
    <cellStyle name="60% - 輔色3 2 3 4" xfId="775" xr:uid="{00000000-0005-0000-0000-000006030000}"/>
    <cellStyle name="60% - 輔色3 3" xfId="776" xr:uid="{00000000-0005-0000-0000-000007030000}"/>
    <cellStyle name="60% - 輔色3 3 2" xfId="777" xr:uid="{00000000-0005-0000-0000-000008030000}"/>
    <cellStyle name="60% - 輔色3 3 3" xfId="778" xr:uid="{00000000-0005-0000-0000-000009030000}"/>
    <cellStyle name="60% - 輔色3 4" xfId="779" xr:uid="{00000000-0005-0000-0000-00000A030000}"/>
    <cellStyle name="60% - 輔色3 4 2" xfId="780" xr:uid="{00000000-0005-0000-0000-00000B030000}"/>
    <cellStyle name="60% - 輔色3 5" xfId="781" xr:uid="{00000000-0005-0000-0000-00000C030000}"/>
    <cellStyle name="60% - 輔色3 6" xfId="782" xr:uid="{00000000-0005-0000-0000-00000D030000}"/>
    <cellStyle name="60% - 輔色3 6 2" xfId="783" xr:uid="{00000000-0005-0000-0000-00000E030000}"/>
    <cellStyle name="60% - 輔色3 6 3" xfId="784" xr:uid="{00000000-0005-0000-0000-00000F030000}"/>
    <cellStyle name="60% - 輔色3 6 4" xfId="785" xr:uid="{00000000-0005-0000-0000-000010030000}"/>
    <cellStyle name="60% - 輔色3 6 4 2" xfId="786" xr:uid="{00000000-0005-0000-0000-000011030000}"/>
    <cellStyle name="60% - 輔色3 6 4 3" xfId="787" xr:uid="{00000000-0005-0000-0000-000012030000}"/>
    <cellStyle name="60% - 輔色3 6 5" xfId="788" xr:uid="{00000000-0005-0000-0000-000013030000}"/>
    <cellStyle name="60% - 輔色3 6 6" xfId="789" xr:uid="{00000000-0005-0000-0000-000014030000}"/>
    <cellStyle name="60% - 輔色3 7" xfId="790" xr:uid="{00000000-0005-0000-0000-000015030000}"/>
    <cellStyle name="60% - 輔色3 8" xfId="791" xr:uid="{00000000-0005-0000-0000-000016030000}"/>
    <cellStyle name="60% - 輔色3 9" xfId="792" xr:uid="{00000000-0005-0000-0000-000017030000}"/>
    <cellStyle name="60% - 輔色4" xfId="793" builtinId="44" customBuiltin="1"/>
    <cellStyle name="60% - 輔色4 10" xfId="794" xr:uid="{00000000-0005-0000-0000-000019030000}"/>
    <cellStyle name="60% - 輔色4 2" xfId="795" xr:uid="{00000000-0005-0000-0000-00001A030000}"/>
    <cellStyle name="60% - 輔色4 2 2" xfId="796" xr:uid="{00000000-0005-0000-0000-00001B030000}"/>
    <cellStyle name="60% - 輔色4 2 2 2" xfId="797" xr:uid="{00000000-0005-0000-0000-00001C030000}"/>
    <cellStyle name="60% - 輔色4 2 2 3" xfId="798" xr:uid="{00000000-0005-0000-0000-00001D030000}"/>
    <cellStyle name="60% - 輔色4 2 2 4" xfId="799" xr:uid="{00000000-0005-0000-0000-00001E030000}"/>
    <cellStyle name="60% - 輔色4 2 3" xfId="800" xr:uid="{00000000-0005-0000-0000-00001F030000}"/>
    <cellStyle name="60% - 輔色4 2 3 2" xfId="801" xr:uid="{00000000-0005-0000-0000-000020030000}"/>
    <cellStyle name="60% - 輔色4 2 3 3" xfId="802" xr:uid="{00000000-0005-0000-0000-000021030000}"/>
    <cellStyle name="60% - 輔色4 2 3 4" xfId="803" xr:uid="{00000000-0005-0000-0000-000022030000}"/>
    <cellStyle name="60% - 輔色4 3" xfId="804" xr:uid="{00000000-0005-0000-0000-000023030000}"/>
    <cellStyle name="60% - 輔色4 3 2" xfId="805" xr:uid="{00000000-0005-0000-0000-000024030000}"/>
    <cellStyle name="60% - 輔色4 3 3" xfId="806" xr:uid="{00000000-0005-0000-0000-000025030000}"/>
    <cellStyle name="60% - 輔色4 4" xfId="807" xr:uid="{00000000-0005-0000-0000-000026030000}"/>
    <cellStyle name="60% - 輔色4 4 2" xfId="808" xr:uid="{00000000-0005-0000-0000-000027030000}"/>
    <cellStyle name="60% - 輔色4 5" xfId="809" xr:uid="{00000000-0005-0000-0000-000028030000}"/>
    <cellStyle name="60% - 輔色4 6" xfId="810" xr:uid="{00000000-0005-0000-0000-000029030000}"/>
    <cellStyle name="60% - 輔色4 6 2" xfId="811" xr:uid="{00000000-0005-0000-0000-00002A030000}"/>
    <cellStyle name="60% - 輔色4 6 3" xfId="812" xr:uid="{00000000-0005-0000-0000-00002B030000}"/>
    <cellStyle name="60% - 輔色4 6 4" xfId="813" xr:uid="{00000000-0005-0000-0000-00002C030000}"/>
    <cellStyle name="60% - 輔色4 6 4 2" xfId="814" xr:uid="{00000000-0005-0000-0000-00002D030000}"/>
    <cellStyle name="60% - 輔色4 6 4 3" xfId="815" xr:uid="{00000000-0005-0000-0000-00002E030000}"/>
    <cellStyle name="60% - 輔色4 6 5" xfId="816" xr:uid="{00000000-0005-0000-0000-00002F030000}"/>
    <cellStyle name="60% - 輔色4 6 6" xfId="817" xr:uid="{00000000-0005-0000-0000-000030030000}"/>
    <cellStyle name="60% - 輔色4 7" xfId="818" xr:uid="{00000000-0005-0000-0000-000031030000}"/>
    <cellStyle name="60% - 輔色4 8" xfId="819" xr:uid="{00000000-0005-0000-0000-000032030000}"/>
    <cellStyle name="60% - 輔色4 9" xfId="820" xr:uid="{00000000-0005-0000-0000-000033030000}"/>
    <cellStyle name="60% - 輔色5" xfId="821" builtinId="48" customBuiltin="1"/>
    <cellStyle name="60% - 輔色5 10" xfId="822" xr:uid="{00000000-0005-0000-0000-000035030000}"/>
    <cellStyle name="60% - 輔色5 2" xfId="823" xr:uid="{00000000-0005-0000-0000-000036030000}"/>
    <cellStyle name="60% - 輔色5 2 2" xfId="824" xr:uid="{00000000-0005-0000-0000-000037030000}"/>
    <cellStyle name="60% - 輔色5 2 2 2" xfId="825" xr:uid="{00000000-0005-0000-0000-000038030000}"/>
    <cellStyle name="60% - 輔色5 2 2 3" xfId="826" xr:uid="{00000000-0005-0000-0000-000039030000}"/>
    <cellStyle name="60% - 輔色5 2 2 4" xfId="827" xr:uid="{00000000-0005-0000-0000-00003A030000}"/>
    <cellStyle name="60% - 輔色5 2 3" xfId="828" xr:uid="{00000000-0005-0000-0000-00003B030000}"/>
    <cellStyle name="60% - 輔色5 2 3 2" xfId="829" xr:uid="{00000000-0005-0000-0000-00003C030000}"/>
    <cellStyle name="60% - 輔色5 2 3 3" xfId="830" xr:uid="{00000000-0005-0000-0000-00003D030000}"/>
    <cellStyle name="60% - 輔色5 2 3 4" xfId="831" xr:uid="{00000000-0005-0000-0000-00003E030000}"/>
    <cellStyle name="60% - 輔色5 3" xfId="832" xr:uid="{00000000-0005-0000-0000-00003F030000}"/>
    <cellStyle name="60% - 輔色5 3 2" xfId="833" xr:uid="{00000000-0005-0000-0000-000040030000}"/>
    <cellStyle name="60% - 輔色5 3 3" xfId="834" xr:uid="{00000000-0005-0000-0000-000041030000}"/>
    <cellStyle name="60% - 輔色5 4" xfId="835" xr:uid="{00000000-0005-0000-0000-000042030000}"/>
    <cellStyle name="60% - 輔色5 4 2" xfId="836" xr:uid="{00000000-0005-0000-0000-000043030000}"/>
    <cellStyle name="60% - 輔色5 5" xfId="837" xr:uid="{00000000-0005-0000-0000-000044030000}"/>
    <cellStyle name="60% - 輔色5 6" xfId="838" xr:uid="{00000000-0005-0000-0000-000045030000}"/>
    <cellStyle name="60% - 輔色5 6 2" xfId="839" xr:uid="{00000000-0005-0000-0000-000046030000}"/>
    <cellStyle name="60% - 輔色5 6 3" xfId="840" xr:uid="{00000000-0005-0000-0000-000047030000}"/>
    <cellStyle name="60% - 輔色5 6 4" xfId="841" xr:uid="{00000000-0005-0000-0000-000048030000}"/>
    <cellStyle name="60% - 輔色5 6 4 2" xfId="842" xr:uid="{00000000-0005-0000-0000-000049030000}"/>
    <cellStyle name="60% - 輔色5 6 4 3" xfId="843" xr:uid="{00000000-0005-0000-0000-00004A030000}"/>
    <cellStyle name="60% - 輔色5 6 5" xfId="844" xr:uid="{00000000-0005-0000-0000-00004B030000}"/>
    <cellStyle name="60% - 輔色5 6 6" xfId="845" xr:uid="{00000000-0005-0000-0000-00004C030000}"/>
    <cellStyle name="60% - 輔色5 7" xfId="846" xr:uid="{00000000-0005-0000-0000-00004D030000}"/>
    <cellStyle name="60% - 輔色5 8" xfId="847" xr:uid="{00000000-0005-0000-0000-00004E030000}"/>
    <cellStyle name="60% - 輔色5 9" xfId="848" xr:uid="{00000000-0005-0000-0000-00004F030000}"/>
    <cellStyle name="60% - 輔色6" xfId="849" builtinId="52" customBuiltin="1"/>
    <cellStyle name="60% - 輔色6 10" xfId="850" xr:uid="{00000000-0005-0000-0000-000051030000}"/>
    <cellStyle name="60% - 輔色6 2" xfId="851" xr:uid="{00000000-0005-0000-0000-000052030000}"/>
    <cellStyle name="60% - 輔色6 2 2" xfId="852" xr:uid="{00000000-0005-0000-0000-000053030000}"/>
    <cellStyle name="60% - 輔色6 2 2 2" xfId="853" xr:uid="{00000000-0005-0000-0000-000054030000}"/>
    <cellStyle name="60% - 輔色6 2 2 3" xfId="854" xr:uid="{00000000-0005-0000-0000-000055030000}"/>
    <cellStyle name="60% - 輔色6 2 2 4" xfId="855" xr:uid="{00000000-0005-0000-0000-000056030000}"/>
    <cellStyle name="60% - 輔色6 2 3" xfId="856" xr:uid="{00000000-0005-0000-0000-000057030000}"/>
    <cellStyle name="60% - 輔色6 2 3 2" xfId="857" xr:uid="{00000000-0005-0000-0000-000058030000}"/>
    <cellStyle name="60% - 輔色6 2 3 3" xfId="858" xr:uid="{00000000-0005-0000-0000-000059030000}"/>
    <cellStyle name="60% - 輔色6 2 3 4" xfId="859" xr:uid="{00000000-0005-0000-0000-00005A030000}"/>
    <cellStyle name="60% - 輔色6 3" xfId="860" xr:uid="{00000000-0005-0000-0000-00005B030000}"/>
    <cellStyle name="60% - 輔色6 3 2" xfId="861" xr:uid="{00000000-0005-0000-0000-00005C030000}"/>
    <cellStyle name="60% - 輔色6 3 3" xfId="862" xr:uid="{00000000-0005-0000-0000-00005D030000}"/>
    <cellStyle name="60% - 輔色6 4" xfId="863" xr:uid="{00000000-0005-0000-0000-00005E030000}"/>
    <cellStyle name="60% - 輔色6 4 2" xfId="864" xr:uid="{00000000-0005-0000-0000-00005F030000}"/>
    <cellStyle name="60% - 輔色6 5" xfId="865" xr:uid="{00000000-0005-0000-0000-000060030000}"/>
    <cellStyle name="60% - 輔色6 6" xfId="866" xr:uid="{00000000-0005-0000-0000-000061030000}"/>
    <cellStyle name="60% - 輔色6 6 2" xfId="867" xr:uid="{00000000-0005-0000-0000-000062030000}"/>
    <cellStyle name="60% - 輔色6 6 3" xfId="868" xr:uid="{00000000-0005-0000-0000-000063030000}"/>
    <cellStyle name="60% - 輔色6 6 4" xfId="869" xr:uid="{00000000-0005-0000-0000-000064030000}"/>
    <cellStyle name="60% - 輔色6 6 4 2" xfId="870" xr:uid="{00000000-0005-0000-0000-000065030000}"/>
    <cellStyle name="60% - 輔色6 6 4 3" xfId="871" xr:uid="{00000000-0005-0000-0000-000066030000}"/>
    <cellStyle name="60% - 輔色6 6 5" xfId="872" xr:uid="{00000000-0005-0000-0000-000067030000}"/>
    <cellStyle name="60% - 輔色6 6 6" xfId="873" xr:uid="{00000000-0005-0000-0000-000068030000}"/>
    <cellStyle name="60% - 輔色6 7" xfId="874" xr:uid="{00000000-0005-0000-0000-000069030000}"/>
    <cellStyle name="60% - 輔色6 8" xfId="875" xr:uid="{00000000-0005-0000-0000-00006A030000}"/>
    <cellStyle name="60% - 輔色6 9" xfId="876" xr:uid="{00000000-0005-0000-0000-00006B030000}"/>
    <cellStyle name="Accent1" xfId="877" xr:uid="{00000000-0005-0000-0000-00006C030000}"/>
    <cellStyle name="Accent2" xfId="878" xr:uid="{00000000-0005-0000-0000-00006D030000}"/>
    <cellStyle name="Accent3" xfId="879" xr:uid="{00000000-0005-0000-0000-00006E030000}"/>
    <cellStyle name="Accent4" xfId="880" xr:uid="{00000000-0005-0000-0000-00006F030000}"/>
    <cellStyle name="Accent5" xfId="881" xr:uid="{00000000-0005-0000-0000-000070030000}"/>
    <cellStyle name="Accent6" xfId="882" xr:uid="{00000000-0005-0000-0000-000071030000}"/>
    <cellStyle name="Bad" xfId="883" xr:uid="{00000000-0005-0000-0000-000072030000}"/>
    <cellStyle name="Calculation" xfId="884" xr:uid="{00000000-0005-0000-0000-000073030000}"/>
    <cellStyle name="Check Cell" xfId="885" xr:uid="{00000000-0005-0000-0000-000074030000}"/>
    <cellStyle name="Explanatory Text" xfId="886" xr:uid="{00000000-0005-0000-0000-000075030000}"/>
    <cellStyle name="Good" xfId="887" xr:uid="{00000000-0005-0000-0000-000076030000}"/>
    <cellStyle name="Heading 1" xfId="888" xr:uid="{00000000-0005-0000-0000-000077030000}"/>
    <cellStyle name="Heading 2" xfId="889" xr:uid="{00000000-0005-0000-0000-000078030000}"/>
    <cellStyle name="Heading 3" xfId="890" xr:uid="{00000000-0005-0000-0000-000079030000}"/>
    <cellStyle name="Heading 4" xfId="891" xr:uid="{00000000-0005-0000-0000-00007A030000}"/>
    <cellStyle name="Input" xfId="892" xr:uid="{00000000-0005-0000-0000-00007B030000}"/>
    <cellStyle name="Linked Cell" xfId="893" xr:uid="{00000000-0005-0000-0000-00007C030000}"/>
    <cellStyle name="Neutral" xfId="894" xr:uid="{00000000-0005-0000-0000-00007D030000}"/>
    <cellStyle name="Note" xfId="895" xr:uid="{00000000-0005-0000-0000-00007E030000}"/>
    <cellStyle name="Note 2" xfId="896" xr:uid="{00000000-0005-0000-0000-00007F030000}"/>
    <cellStyle name="Note 3" xfId="897" xr:uid="{00000000-0005-0000-0000-000080030000}"/>
    <cellStyle name="Output" xfId="898" xr:uid="{00000000-0005-0000-0000-000081030000}"/>
    <cellStyle name="Style名單" xfId="899" xr:uid="{00000000-0005-0000-0000-000082030000}"/>
    <cellStyle name="Style抬頭" xfId="900" xr:uid="{00000000-0005-0000-0000-000083030000}"/>
    <cellStyle name="Style表頭" xfId="901" xr:uid="{00000000-0005-0000-0000-000084030000}"/>
    <cellStyle name="Style班級" xfId="902" xr:uid="{00000000-0005-0000-0000-000085030000}"/>
    <cellStyle name="Style級任" xfId="903" xr:uid="{00000000-0005-0000-0000-000086030000}"/>
    <cellStyle name="Title" xfId="904" xr:uid="{00000000-0005-0000-0000-000087030000}"/>
    <cellStyle name="Total" xfId="905" xr:uid="{00000000-0005-0000-0000-000088030000}"/>
    <cellStyle name="Warning Text" xfId="906" xr:uid="{00000000-0005-0000-0000-000089030000}"/>
    <cellStyle name="一般" xfId="0" builtinId="0"/>
    <cellStyle name="一般 10" xfId="907" xr:uid="{00000000-0005-0000-0000-00008B030000}"/>
    <cellStyle name="一般 10 2" xfId="908" xr:uid="{00000000-0005-0000-0000-00008C030000}"/>
    <cellStyle name="一般 10 3" xfId="909" xr:uid="{00000000-0005-0000-0000-00008D030000}"/>
    <cellStyle name="一般 10 4" xfId="910" xr:uid="{00000000-0005-0000-0000-00008E030000}"/>
    <cellStyle name="一般 11" xfId="911" xr:uid="{00000000-0005-0000-0000-00008F030000}"/>
    <cellStyle name="一般 12" xfId="912" xr:uid="{00000000-0005-0000-0000-000090030000}"/>
    <cellStyle name="一般 12 2" xfId="913" xr:uid="{00000000-0005-0000-0000-000091030000}"/>
    <cellStyle name="一般 13" xfId="914" xr:uid="{00000000-0005-0000-0000-000092030000}"/>
    <cellStyle name="一般 14" xfId="915" xr:uid="{00000000-0005-0000-0000-000093030000}"/>
    <cellStyle name="一般 15" xfId="916" xr:uid="{00000000-0005-0000-0000-000094030000}"/>
    <cellStyle name="一般 15 2" xfId="917" xr:uid="{00000000-0005-0000-0000-000095030000}"/>
    <cellStyle name="一般 16" xfId="918" xr:uid="{00000000-0005-0000-0000-000096030000}"/>
    <cellStyle name="一般 17" xfId="919" xr:uid="{00000000-0005-0000-0000-000097030000}"/>
    <cellStyle name="一般 17 2" xfId="920" xr:uid="{00000000-0005-0000-0000-000098030000}"/>
    <cellStyle name="一般 17 3" xfId="921" xr:uid="{00000000-0005-0000-0000-000099030000}"/>
    <cellStyle name="一般 17 4" xfId="922" xr:uid="{00000000-0005-0000-0000-00009A030000}"/>
    <cellStyle name="一般 18" xfId="923" xr:uid="{00000000-0005-0000-0000-00009B030000}"/>
    <cellStyle name="一般 18 2" xfId="924" xr:uid="{00000000-0005-0000-0000-00009C030000}"/>
    <cellStyle name="一般 18 3" xfId="925" xr:uid="{00000000-0005-0000-0000-00009D030000}"/>
    <cellStyle name="一般 18 4" xfId="926" xr:uid="{00000000-0005-0000-0000-00009E030000}"/>
    <cellStyle name="一般 19" xfId="927" xr:uid="{00000000-0005-0000-0000-00009F030000}"/>
    <cellStyle name="一般 19 2" xfId="928" xr:uid="{00000000-0005-0000-0000-0000A0030000}"/>
    <cellStyle name="一般 19 3" xfId="929" xr:uid="{00000000-0005-0000-0000-0000A1030000}"/>
    <cellStyle name="一般 2" xfId="930" xr:uid="{00000000-0005-0000-0000-0000A2030000}"/>
    <cellStyle name="一般 2 10" xfId="931" xr:uid="{00000000-0005-0000-0000-0000A3030000}"/>
    <cellStyle name="一般 2 10 2" xfId="932" xr:uid="{00000000-0005-0000-0000-0000A4030000}"/>
    <cellStyle name="一般 2 10 2 2" xfId="933" xr:uid="{00000000-0005-0000-0000-0000A5030000}"/>
    <cellStyle name="一般 2 10 2 3" xfId="934" xr:uid="{00000000-0005-0000-0000-0000A6030000}"/>
    <cellStyle name="一般 2 11" xfId="935" xr:uid="{00000000-0005-0000-0000-0000A7030000}"/>
    <cellStyle name="一般 2 11 2" xfId="936" xr:uid="{00000000-0005-0000-0000-0000A8030000}"/>
    <cellStyle name="一般 2 11 2 2" xfId="937" xr:uid="{00000000-0005-0000-0000-0000A9030000}"/>
    <cellStyle name="一般 2 12" xfId="938" xr:uid="{00000000-0005-0000-0000-0000AA030000}"/>
    <cellStyle name="一般 2 12 2" xfId="939" xr:uid="{00000000-0005-0000-0000-0000AB030000}"/>
    <cellStyle name="一般 2 12 2 2" xfId="940" xr:uid="{00000000-0005-0000-0000-0000AC030000}"/>
    <cellStyle name="一般 2 13" xfId="941" xr:uid="{00000000-0005-0000-0000-0000AD030000}"/>
    <cellStyle name="一般 2 14" xfId="942" xr:uid="{00000000-0005-0000-0000-0000AE030000}"/>
    <cellStyle name="一般 2 15" xfId="943" xr:uid="{00000000-0005-0000-0000-0000AF030000}"/>
    <cellStyle name="一般 2 15 2" xfId="944" xr:uid="{00000000-0005-0000-0000-0000B0030000}"/>
    <cellStyle name="一般 2 15 3" xfId="945" xr:uid="{00000000-0005-0000-0000-0000B1030000}"/>
    <cellStyle name="一般 2 15 4" xfId="946" xr:uid="{00000000-0005-0000-0000-0000B2030000}"/>
    <cellStyle name="一般 2 15 4 2" xfId="947" xr:uid="{00000000-0005-0000-0000-0000B3030000}"/>
    <cellStyle name="一般 2 15 5" xfId="948" xr:uid="{00000000-0005-0000-0000-0000B4030000}"/>
    <cellStyle name="一般 2 15 5 2" xfId="949" xr:uid="{00000000-0005-0000-0000-0000B5030000}"/>
    <cellStyle name="一般 2 15 6" xfId="950" xr:uid="{00000000-0005-0000-0000-0000B6030000}"/>
    <cellStyle name="一般 2 15 7" xfId="951" xr:uid="{00000000-0005-0000-0000-0000B7030000}"/>
    <cellStyle name="一般 2 16" xfId="952" xr:uid="{00000000-0005-0000-0000-0000B8030000}"/>
    <cellStyle name="一般 2 17" xfId="953" xr:uid="{00000000-0005-0000-0000-0000B9030000}"/>
    <cellStyle name="一般 2 18" xfId="954" xr:uid="{00000000-0005-0000-0000-0000BA030000}"/>
    <cellStyle name="一般 2 2" xfId="955" xr:uid="{00000000-0005-0000-0000-0000BB030000}"/>
    <cellStyle name="一般 2 2 2" xfId="956" xr:uid="{00000000-0005-0000-0000-0000BC030000}"/>
    <cellStyle name="一般 2 2 2 2" xfId="957" xr:uid="{00000000-0005-0000-0000-0000BD030000}"/>
    <cellStyle name="一般 2 2 2 2 2" xfId="958" xr:uid="{00000000-0005-0000-0000-0000BE030000}"/>
    <cellStyle name="一般 2 2 2 2 2 2" xfId="959" xr:uid="{00000000-0005-0000-0000-0000BF030000}"/>
    <cellStyle name="一般 2 2 2 3" xfId="960" xr:uid="{00000000-0005-0000-0000-0000C0030000}"/>
    <cellStyle name="一般 2 2 2 3 2" xfId="961" xr:uid="{00000000-0005-0000-0000-0000C1030000}"/>
    <cellStyle name="一般 2 2 2 3 2 2" xfId="962" xr:uid="{00000000-0005-0000-0000-0000C2030000}"/>
    <cellStyle name="一般 2 2 2 4" xfId="963" xr:uid="{00000000-0005-0000-0000-0000C3030000}"/>
    <cellStyle name="一般 2 2 2 5" xfId="964" xr:uid="{00000000-0005-0000-0000-0000C4030000}"/>
    <cellStyle name="一般 2 2 2 5 2" xfId="965" xr:uid="{00000000-0005-0000-0000-0000C5030000}"/>
    <cellStyle name="一般 2 2 3" xfId="966" xr:uid="{00000000-0005-0000-0000-0000C6030000}"/>
    <cellStyle name="一般 2 2 3 2" xfId="967" xr:uid="{00000000-0005-0000-0000-0000C7030000}"/>
    <cellStyle name="一般 2 2 3 2 2" xfId="968" xr:uid="{00000000-0005-0000-0000-0000C8030000}"/>
    <cellStyle name="一般 2 2 3 2 2 2" xfId="969" xr:uid="{00000000-0005-0000-0000-0000C9030000}"/>
    <cellStyle name="一般 2 2 3 3" xfId="970" xr:uid="{00000000-0005-0000-0000-0000CA030000}"/>
    <cellStyle name="一般 2 2 3 3 2" xfId="971" xr:uid="{00000000-0005-0000-0000-0000CB030000}"/>
    <cellStyle name="一般 2 2 3 3 2 2" xfId="972" xr:uid="{00000000-0005-0000-0000-0000CC030000}"/>
    <cellStyle name="一般 2 2 3 4" xfId="973" xr:uid="{00000000-0005-0000-0000-0000CD030000}"/>
    <cellStyle name="一般 2 2 3 5" xfId="974" xr:uid="{00000000-0005-0000-0000-0000CE030000}"/>
    <cellStyle name="一般 2 2 3 5 2" xfId="975" xr:uid="{00000000-0005-0000-0000-0000CF030000}"/>
    <cellStyle name="一般 2 2 4" xfId="976" xr:uid="{00000000-0005-0000-0000-0000D0030000}"/>
    <cellStyle name="一般 2 2 4 2" xfId="977" xr:uid="{00000000-0005-0000-0000-0000D1030000}"/>
    <cellStyle name="一般 2 2 4 2 2" xfId="978" xr:uid="{00000000-0005-0000-0000-0000D2030000}"/>
    <cellStyle name="一般 2 2 4 2 2 2" xfId="979" xr:uid="{00000000-0005-0000-0000-0000D3030000}"/>
    <cellStyle name="一般 2 2 4 3" xfId="980" xr:uid="{00000000-0005-0000-0000-0000D4030000}"/>
    <cellStyle name="一般 2 2 4 4" xfId="981" xr:uid="{00000000-0005-0000-0000-0000D5030000}"/>
    <cellStyle name="一般 2 2 4 5" xfId="982" xr:uid="{00000000-0005-0000-0000-0000D6030000}"/>
    <cellStyle name="一般 2 2 4 5 2" xfId="983" xr:uid="{00000000-0005-0000-0000-0000D7030000}"/>
    <cellStyle name="一般 2 2 4 6" xfId="984" xr:uid="{00000000-0005-0000-0000-0000D8030000}"/>
    <cellStyle name="一般 2 2 4 6 2" xfId="985" xr:uid="{00000000-0005-0000-0000-0000D9030000}"/>
    <cellStyle name="一般 2 2 4 7" xfId="986" xr:uid="{00000000-0005-0000-0000-0000DA030000}"/>
    <cellStyle name="一般 2 2 4 8" xfId="987" xr:uid="{00000000-0005-0000-0000-0000DB030000}"/>
    <cellStyle name="一般 2 2 4 9" xfId="988" xr:uid="{00000000-0005-0000-0000-0000DC030000}"/>
    <cellStyle name="一般 2 2 5" xfId="989" xr:uid="{00000000-0005-0000-0000-0000DD030000}"/>
    <cellStyle name="一般 2 2 6" xfId="990" xr:uid="{00000000-0005-0000-0000-0000DE030000}"/>
    <cellStyle name="一般 2 2 7" xfId="991" xr:uid="{00000000-0005-0000-0000-0000DF030000}"/>
    <cellStyle name="一般 2 2 8" xfId="992" xr:uid="{00000000-0005-0000-0000-0000E0030000}"/>
    <cellStyle name="一般 2 2 8 2" xfId="993" xr:uid="{00000000-0005-0000-0000-0000E1030000}"/>
    <cellStyle name="一般 2 2 9" xfId="994" xr:uid="{00000000-0005-0000-0000-0000E2030000}"/>
    <cellStyle name="一般 2 3" xfId="995" xr:uid="{00000000-0005-0000-0000-0000E3030000}"/>
    <cellStyle name="一般 2 3 10" xfId="996" xr:uid="{00000000-0005-0000-0000-0000E4030000}"/>
    <cellStyle name="一般 2 3 10 2" xfId="997" xr:uid="{00000000-0005-0000-0000-0000E5030000}"/>
    <cellStyle name="一般 2 3 11" xfId="998" xr:uid="{00000000-0005-0000-0000-0000E6030000}"/>
    <cellStyle name="一般 2 3 11 2" xfId="999" xr:uid="{00000000-0005-0000-0000-0000E7030000}"/>
    <cellStyle name="一般 2 3 2" xfId="1000" xr:uid="{00000000-0005-0000-0000-0000E8030000}"/>
    <cellStyle name="一般 2 3 2 2" xfId="1001" xr:uid="{00000000-0005-0000-0000-0000E9030000}"/>
    <cellStyle name="一般 2 3 2 2 2" xfId="1002" xr:uid="{00000000-0005-0000-0000-0000EA030000}"/>
    <cellStyle name="一般 2 3 2 2 2 2" xfId="1003" xr:uid="{00000000-0005-0000-0000-0000EB030000}"/>
    <cellStyle name="一般 2 3 2 2 2 2 2" xfId="1004" xr:uid="{00000000-0005-0000-0000-0000EC030000}"/>
    <cellStyle name="一般 2 3 2 2 3" xfId="1005" xr:uid="{00000000-0005-0000-0000-0000ED030000}"/>
    <cellStyle name="一般 2 3 2 2 3 2" xfId="1006" xr:uid="{00000000-0005-0000-0000-0000EE030000}"/>
    <cellStyle name="一般 2 3 2 3" xfId="1007" xr:uid="{00000000-0005-0000-0000-0000EF030000}"/>
    <cellStyle name="一般 2 3 2 4" xfId="1008" xr:uid="{00000000-0005-0000-0000-0000F0030000}"/>
    <cellStyle name="一般 2 3 2 5" xfId="1009" xr:uid="{00000000-0005-0000-0000-0000F1030000}"/>
    <cellStyle name="一般 2 3 2 5 2" xfId="1010" xr:uid="{00000000-0005-0000-0000-0000F2030000}"/>
    <cellStyle name="一般 2 3 3" xfId="1011" xr:uid="{00000000-0005-0000-0000-0000F3030000}"/>
    <cellStyle name="一般 2 3 3 2" xfId="1012" xr:uid="{00000000-0005-0000-0000-0000F4030000}"/>
    <cellStyle name="一般 2 3 3 2 2" xfId="1013" xr:uid="{00000000-0005-0000-0000-0000F5030000}"/>
    <cellStyle name="一般 2 3 3 2 2 2" xfId="1014" xr:uid="{00000000-0005-0000-0000-0000F6030000}"/>
    <cellStyle name="一般 2 3 3 2 2 2 2" xfId="1015" xr:uid="{00000000-0005-0000-0000-0000F7030000}"/>
    <cellStyle name="一般 2 3 3 2 3" xfId="1016" xr:uid="{00000000-0005-0000-0000-0000F8030000}"/>
    <cellStyle name="一般 2 3 3 2 3 2" xfId="1017" xr:uid="{00000000-0005-0000-0000-0000F9030000}"/>
    <cellStyle name="一般 2 3 3 3" xfId="1018" xr:uid="{00000000-0005-0000-0000-0000FA030000}"/>
    <cellStyle name="一般 2 3 3 4" xfId="1019" xr:uid="{00000000-0005-0000-0000-0000FB030000}"/>
    <cellStyle name="一般 2 3 3 5" xfId="1020" xr:uid="{00000000-0005-0000-0000-0000FC030000}"/>
    <cellStyle name="一般 2 3 3 5 2" xfId="1021" xr:uid="{00000000-0005-0000-0000-0000FD030000}"/>
    <cellStyle name="一般 2 3 4" xfId="1022" xr:uid="{00000000-0005-0000-0000-0000FE030000}"/>
    <cellStyle name="一般 2 3 5" xfId="1023" xr:uid="{00000000-0005-0000-0000-0000FF030000}"/>
    <cellStyle name="一般 2 3 5 2" xfId="1024" xr:uid="{00000000-0005-0000-0000-000000040000}"/>
    <cellStyle name="一般 2 3 5 2 2" xfId="1025" xr:uid="{00000000-0005-0000-0000-000001040000}"/>
    <cellStyle name="一般 2 3 5 2 2 2" xfId="1026" xr:uid="{00000000-0005-0000-0000-000002040000}"/>
    <cellStyle name="一般 2 3 5 3" xfId="1027" xr:uid="{00000000-0005-0000-0000-000003040000}"/>
    <cellStyle name="一般 2 3 5 4" xfId="1028" xr:uid="{00000000-0005-0000-0000-000004040000}"/>
    <cellStyle name="一般 2 3 5 4 2" xfId="1029" xr:uid="{00000000-0005-0000-0000-000005040000}"/>
    <cellStyle name="一般 2 3 5 4 3" xfId="1030" xr:uid="{00000000-0005-0000-0000-000006040000}"/>
    <cellStyle name="一般 2 3 5 5" xfId="1031" xr:uid="{00000000-0005-0000-0000-000007040000}"/>
    <cellStyle name="一般 2 3 5 5 2" xfId="1032" xr:uid="{00000000-0005-0000-0000-000008040000}"/>
    <cellStyle name="一般 2 3 5 6" xfId="1033" xr:uid="{00000000-0005-0000-0000-000009040000}"/>
    <cellStyle name="一般 2 3 5 7" xfId="1034" xr:uid="{00000000-0005-0000-0000-00000A040000}"/>
    <cellStyle name="一般 2 3 6" xfId="1035" xr:uid="{00000000-0005-0000-0000-00000B040000}"/>
    <cellStyle name="一般 2 3 6 2" xfId="1036" xr:uid="{00000000-0005-0000-0000-00000C040000}"/>
    <cellStyle name="一般 2 3 6 3" xfId="1037" xr:uid="{00000000-0005-0000-0000-00000D040000}"/>
    <cellStyle name="一般 2 3 6 4" xfId="1038" xr:uid="{00000000-0005-0000-0000-00000E040000}"/>
    <cellStyle name="一般 2 3 7" xfId="1039" xr:uid="{00000000-0005-0000-0000-00000F040000}"/>
    <cellStyle name="一般 2 3 8" xfId="1040" xr:uid="{00000000-0005-0000-0000-000010040000}"/>
    <cellStyle name="一般 2 3 9" xfId="1041" xr:uid="{00000000-0005-0000-0000-000011040000}"/>
    <cellStyle name="一般 2 3 9 2" xfId="1042" xr:uid="{00000000-0005-0000-0000-000012040000}"/>
    <cellStyle name="一般 2 3 9 3" xfId="1043" xr:uid="{00000000-0005-0000-0000-000013040000}"/>
    <cellStyle name="一般 2 4" xfId="1044" xr:uid="{00000000-0005-0000-0000-000014040000}"/>
    <cellStyle name="一般 2 4 2" xfId="1045" xr:uid="{00000000-0005-0000-0000-000015040000}"/>
    <cellStyle name="一般 2 4 3" xfId="1046" xr:uid="{00000000-0005-0000-0000-000016040000}"/>
    <cellStyle name="一般 2 4 4" xfId="1047" xr:uid="{00000000-0005-0000-0000-000017040000}"/>
    <cellStyle name="一般 2 4 5" xfId="1048" xr:uid="{00000000-0005-0000-0000-000018040000}"/>
    <cellStyle name="一般 2 4 5 2" xfId="1049" xr:uid="{00000000-0005-0000-0000-000019040000}"/>
    <cellStyle name="一般 2 4 5 2 2" xfId="1050" xr:uid="{00000000-0005-0000-0000-00001A040000}"/>
    <cellStyle name="一般 2 4 5 2 2 2" xfId="1051" xr:uid="{00000000-0005-0000-0000-00001B040000}"/>
    <cellStyle name="一般 2 4 5 3" xfId="1052" xr:uid="{00000000-0005-0000-0000-00001C040000}"/>
    <cellStyle name="一般 2 4 5 3 2" xfId="1053" xr:uid="{00000000-0005-0000-0000-00001D040000}"/>
    <cellStyle name="一般 2 4 6" xfId="1054" xr:uid="{00000000-0005-0000-0000-00001E040000}"/>
    <cellStyle name="一般 2 4 7" xfId="1055" xr:uid="{00000000-0005-0000-0000-00001F040000}"/>
    <cellStyle name="一般 2 4 8" xfId="1056" xr:uid="{00000000-0005-0000-0000-000020040000}"/>
    <cellStyle name="一般 2 4 8 2" xfId="1057" xr:uid="{00000000-0005-0000-0000-000021040000}"/>
    <cellStyle name="一般 2 4 8 3" xfId="1058" xr:uid="{00000000-0005-0000-0000-000022040000}"/>
    <cellStyle name="一般 2 4 9" xfId="1059" xr:uid="{00000000-0005-0000-0000-000023040000}"/>
    <cellStyle name="一般 2 4 9 2" xfId="1060" xr:uid="{00000000-0005-0000-0000-000024040000}"/>
    <cellStyle name="一般 2 5" xfId="1061" xr:uid="{00000000-0005-0000-0000-000025040000}"/>
    <cellStyle name="一般 2 5 2" xfId="1062" xr:uid="{00000000-0005-0000-0000-000026040000}"/>
    <cellStyle name="一般 2 5 3" xfId="1063" xr:uid="{00000000-0005-0000-0000-000027040000}"/>
    <cellStyle name="一般 2 6" xfId="1064" xr:uid="{00000000-0005-0000-0000-000028040000}"/>
    <cellStyle name="一般 2 6 2" xfId="1065" xr:uid="{00000000-0005-0000-0000-000029040000}"/>
    <cellStyle name="一般 2 6 2 2" xfId="1066" xr:uid="{00000000-0005-0000-0000-00002A040000}"/>
    <cellStyle name="一般 2 6 2 2 2" xfId="1067" xr:uid="{00000000-0005-0000-0000-00002B040000}"/>
    <cellStyle name="一般 2 6 2 2 2 2" xfId="1068" xr:uid="{00000000-0005-0000-0000-00002C040000}"/>
    <cellStyle name="一般 2 6 2 3" xfId="1069" xr:uid="{00000000-0005-0000-0000-00002D040000}"/>
    <cellStyle name="一般 2 6 2 3 2" xfId="1070" xr:uid="{00000000-0005-0000-0000-00002E040000}"/>
    <cellStyle name="一般 2 6 3" xfId="1071" xr:uid="{00000000-0005-0000-0000-00002F040000}"/>
    <cellStyle name="一般 2 6 4" xfId="1072" xr:uid="{00000000-0005-0000-0000-000030040000}"/>
    <cellStyle name="一般 2 6 5" xfId="1073" xr:uid="{00000000-0005-0000-0000-000031040000}"/>
    <cellStyle name="一般 2 6 5 2" xfId="1074" xr:uid="{00000000-0005-0000-0000-000032040000}"/>
    <cellStyle name="一般 2 7" xfId="1075" xr:uid="{00000000-0005-0000-0000-000033040000}"/>
    <cellStyle name="一般 2 7 2" xfId="1076" xr:uid="{00000000-0005-0000-0000-000034040000}"/>
    <cellStyle name="一般 2 7 2 2" xfId="1077" xr:uid="{00000000-0005-0000-0000-000035040000}"/>
    <cellStyle name="一般 2 7 2 2 2" xfId="1078" xr:uid="{00000000-0005-0000-0000-000036040000}"/>
    <cellStyle name="一般 2 8" xfId="1079" xr:uid="{00000000-0005-0000-0000-000037040000}"/>
    <cellStyle name="一般 2 8 2" xfId="1080" xr:uid="{00000000-0005-0000-0000-000038040000}"/>
    <cellStyle name="一般 2 8 2 2" xfId="1081" xr:uid="{00000000-0005-0000-0000-000039040000}"/>
    <cellStyle name="一般 2 8 2 3" xfId="1082" xr:uid="{00000000-0005-0000-0000-00003A040000}"/>
    <cellStyle name="一般 2 8 3" xfId="1083" xr:uid="{00000000-0005-0000-0000-00003B040000}"/>
    <cellStyle name="一般 2 9" xfId="1084" xr:uid="{00000000-0005-0000-0000-00003C040000}"/>
    <cellStyle name="一般 2 9 2" xfId="1085" xr:uid="{00000000-0005-0000-0000-00003D040000}"/>
    <cellStyle name="一般 20" xfId="1086" xr:uid="{00000000-0005-0000-0000-00003E040000}"/>
    <cellStyle name="一般 20 2" xfId="1087" xr:uid="{00000000-0005-0000-0000-00003F040000}"/>
    <cellStyle name="一般 21" xfId="1088" xr:uid="{00000000-0005-0000-0000-000040040000}"/>
    <cellStyle name="一般 21 10" xfId="1089" xr:uid="{00000000-0005-0000-0000-000041040000}"/>
    <cellStyle name="一般 21 10 2" xfId="1090" xr:uid="{00000000-0005-0000-0000-000042040000}"/>
    <cellStyle name="一般 21 10 3" xfId="1091" xr:uid="{00000000-0005-0000-0000-000043040000}"/>
    <cellStyle name="一般 21 11" xfId="1092" xr:uid="{00000000-0005-0000-0000-000044040000}"/>
    <cellStyle name="一般 21 11 2" xfId="1093" xr:uid="{00000000-0005-0000-0000-000045040000}"/>
    <cellStyle name="一般 21 11 3" xfId="1094" xr:uid="{00000000-0005-0000-0000-000046040000}"/>
    <cellStyle name="一般 21 12" xfId="1095" xr:uid="{00000000-0005-0000-0000-000047040000}"/>
    <cellStyle name="一般 21 13" xfId="1096" xr:uid="{00000000-0005-0000-0000-000048040000}"/>
    <cellStyle name="一般 21 2" xfId="1097" xr:uid="{00000000-0005-0000-0000-000049040000}"/>
    <cellStyle name="一般 21 2 10" xfId="1098" xr:uid="{00000000-0005-0000-0000-00004A040000}"/>
    <cellStyle name="一般 21 2 2" xfId="1099" xr:uid="{00000000-0005-0000-0000-00004B040000}"/>
    <cellStyle name="一般 21 2 3" xfId="1100" xr:uid="{00000000-0005-0000-0000-00004C040000}"/>
    <cellStyle name="一般 21 2 4" xfId="1101" xr:uid="{00000000-0005-0000-0000-00004D040000}"/>
    <cellStyle name="一般 21 2 5" xfId="1102" xr:uid="{00000000-0005-0000-0000-00004E040000}"/>
    <cellStyle name="一般 21 2 6" xfId="1103" xr:uid="{00000000-0005-0000-0000-00004F040000}"/>
    <cellStyle name="一般 21 2 7" xfId="1104" xr:uid="{00000000-0005-0000-0000-000050040000}"/>
    <cellStyle name="一般 21 2 7 2" xfId="1105" xr:uid="{00000000-0005-0000-0000-000051040000}"/>
    <cellStyle name="一般 21 2 7 3" xfId="1106" xr:uid="{00000000-0005-0000-0000-000052040000}"/>
    <cellStyle name="一般 21 2 8" xfId="1107" xr:uid="{00000000-0005-0000-0000-000053040000}"/>
    <cellStyle name="一般 21 2 8 2" xfId="1108" xr:uid="{00000000-0005-0000-0000-000054040000}"/>
    <cellStyle name="一般 21 2 8 3" xfId="1109" xr:uid="{00000000-0005-0000-0000-000055040000}"/>
    <cellStyle name="一般 21 2 9" xfId="1110" xr:uid="{00000000-0005-0000-0000-000056040000}"/>
    <cellStyle name="一般 21 3" xfId="1111" xr:uid="{00000000-0005-0000-0000-000057040000}"/>
    <cellStyle name="一般 21 4" xfId="1112" xr:uid="{00000000-0005-0000-0000-000058040000}"/>
    <cellStyle name="一般 21 5" xfId="1113" xr:uid="{00000000-0005-0000-0000-000059040000}"/>
    <cellStyle name="一般 21 6" xfId="1114" xr:uid="{00000000-0005-0000-0000-00005A040000}"/>
    <cellStyle name="一般 21 7" xfId="1115" xr:uid="{00000000-0005-0000-0000-00005B040000}"/>
    <cellStyle name="一般 21 8" xfId="1116" xr:uid="{00000000-0005-0000-0000-00005C040000}"/>
    <cellStyle name="一般 21 9" xfId="1117" xr:uid="{00000000-0005-0000-0000-00005D040000}"/>
    <cellStyle name="一般 22" xfId="1118" xr:uid="{00000000-0005-0000-0000-00005E040000}"/>
    <cellStyle name="一般 22 10" xfId="1119" xr:uid="{00000000-0005-0000-0000-00005F040000}"/>
    <cellStyle name="一般 22 10 2" xfId="1120" xr:uid="{00000000-0005-0000-0000-000060040000}"/>
    <cellStyle name="一般 22 10 3" xfId="1121" xr:uid="{00000000-0005-0000-0000-000061040000}"/>
    <cellStyle name="一般 22 11" xfId="1122" xr:uid="{00000000-0005-0000-0000-000062040000}"/>
    <cellStyle name="一般 22 11 2" xfId="1123" xr:uid="{00000000-0005-0000-0000-000063040000}"/>
    <cellStyle name="一般 22 11 3" xfId="1124" xr:uid="{00000000-0005-0000-0000-000064040000}"/>
    <cellStyle name="一般 22 12" xfId="1125" xr:uid="{00000000-0005-0000-0000-000065040000}"/>
    <cellStyle name="一般 22 13" xfId="1126" xr:uid="{00000000-0005-0000-0000-000066040000}"/>
    <cellStyle name="一般 22 2" xfId="1127" xr:uid="{00000000-0005-0000-0000-000067040000}"/>
    <cellStyle name="一般 22 2 2" xfId="1128" xr:uid="{00000000-0005-0000-0000-000068040000}"/>
    <cellStyle name="一般 22 2 3" xfId="1129" xr:uid="{00000000-0005-0000-0000-000069040000}"/>
    <cellStyle name="一般 22 2 4" xfId="1130" xr:uid="{00000000-0005-0000-0000-00006A040000}"/>
    <cellStyle name="一般 22 2 4 2" xfId="1131" xr:uid="{00000000-0005-0000-0000-00006B040000}"/>
    <cellStyle name="一般 22 2 4 3" xfId="1132" xr:uid="{00000000-0005-0000-0000-00006C040000}"/>
    <cellStyle name="一般 22 2 5" xfId="1133" xr:uid="{00000000-0005-0000-0000-00006D040000}"/>
    <cellStyle name="一般 22 2 6" xfId="1134" xr:uid="{00000000-0005-0000-0000-00006E040000}"/>
    <cellStyle name="一般 22 3" xfId="1135" xr:uid="{00000000-0005-0000-0000-00006F040000}"/>
    <cellStyle name="一般 22 4" xfId="1136" xr:uid="{00000000-0005-0000-0000-000070040000}"/>
    <cellStyle name="一般 22 5" xfId="1137" xr:uid="{00000000-0005-0000-0000-000071040000}"/>
    <cellStyle name="一般 22 6" xfId="1138" xr:uid="{00000000-0005-0000-0000-000072040000}"/>
    <cellStyle name="一般 22 7" xfId="1139" xr:uid="{00000000-0005-0000-0000-000073040000}"/>
    <cellStyle name="一般 22 8" xfId="1140" xr:uid="{00000000-0005-0000-0000-000074040000}"/>
    <cellStyle name="一般 22 9" xfId="1141" xr:uid="{00000000-0005-0000-0000-000075040000}"/>
    <cellStyle name="一般 22 9 2" xfId="1142" xr:uid="{00000000-0005-0000-0000-000076040000}"/>
    <cellStyle name="一般 22 9 2 2" xfId="1143" xr:uid="{00000000-0005-0000-0000-000077040000}"/>
    <cellStyle name="一般 22 9 2 3" xfId="1144" xr:uid="{00000000-0005-0000-0000-000078040000}"/>
    <cellStyle name="一般 22 9 3" xfId="1145" xr:uid="{00000000-0005-0000-0000-000079040000}"/>
    <cellStyle name="一般 22 9 4" xfId="1146" xr:uid="{00000000-0005-0000-0000-00007A040000}"/>
    <cellStyle name="一般 23" xfId="1147" xr:uid="{00000000-0005-0000-0000-00007B040000}"/>
    <cellStyle name="一般 23 2" xfId="1148" xr:uid="{00000000-0005-0000-0000-00007C040000}"/>
    <cellStyle name="一般 23 3" xfId="1149" xr:uid="{00000000-0005-0000-0000-00007D040000}"/>
    <cellStyle name="一般 23 4" xfId="1150" xr:uid="{00000000-0005-0000-0000-00007E040000}"/>
    <cellStyle name="一般 24" xfId="1151" xr:uid="{00000000-0005-0000-0000-00007F040000}"/>
    <cellStyle name="一般 24 2" xfId="1152" xr:uid="{00000000-0005-0000-0000-000080040000}"/>
    <cellStyle name="一般 24 3" xfId="1153" xr:uid="{00000000-0005-0000-0000-000081040000}"/>
    <cellStyle name="一般 24 4" xfId="1154" xr:uid="{00000000-0005-0000-0000-000082040000}"/>
    <cellStyle name="一般 25" xfId="1155" xr:uid="{00000000-0005-0000-0000-000083040000}"/>
    <cellStyle name="一般 25 2" xfId="1156" xr:uid="{00000000-0005-0000-0000-000084040000}"/>
    <cellStyle name="一般 25 3" xfId="1157" xr:uid="{00000000-0005-0000-0000-000085040000}"/>
    <cellStyle name="一般 26" xfId="1158" xr:uid="{00000000-0005-0000-0000-000086040000}"/>
    <cellStyle name="一般 27" xfId="1159" xr:uid="{00000000-0005-0000-0000-000087040000}"/>
    <cellStyle name="一般 28" xfId="1160" xr:uid="{00000000-0005-0000-0000-000088040000}"/>
    <cellStyle name="一般 29" xfId="1161" xr:uid="{00000000-0005-0000-0000-000089040000}"/>
    <cellStyle name="一般 3" xfId="1162" xr:uid="{00000000-0005-0000-0000-00008A040000}"/>
    <cellStyle name="一般 3 10" xfId="1163" xr:uid="{00000000-0005-0000-0000-00008B040000}"/>
    <cellStyle name="一般 3 10 2" xfId="1164" xr:uid="{00000000-0005-0000-0000-00008C040000}"/>
    <cellStyle name="一般 3 11" xfId="1165" xr:uid="{00000000-0005-0000-0000-00008D040000}"/>
    <cellStyle name="一般 3 2" xfId="1166" xr:uid="{00000000-0005-0000-0000-00008E040000}"/>
    <cellStyle name="一般 3 2 2" xfId="1167" xr:uid="{00000000-0005-0000-0000-00008F040000}"/>
    <cellStyle name="一般 3 2 2 2" xfId="1168" xr:uid="{00000000-0005-0000-0000-000090040000}"/>
    <cellStyle name="一般 3 2 2 2 2" xfId="1169" xr:uid="{00000000-0005-0000-0000-000091040000}"/>
    <cellStyle name="一般 3 2 2 2 2 2" xfId="1170" xr:uid="{00000000-0005-0000-0000-000092040000}"/>
    <cellStyle name="一般 3 2 2 3" xfId="1171" xr:uid="{00000000-0005-0000-0000-000093040000}"/>
    <cellStyle name="一般 3 2 2 3 2" xfId="1172" xr:uid="{00000000-0005-0000-0000-000094040000}"/>
    <cellStyle name="一般 3 2 2 3 2 2" xfId="1173" xr:uid="{00000000-0005-0000-0000-000095040000}"/>
    <cellStyle name="一般 3 2 2 4" xfId="1174" xr:uid="{00000000-0005-0000-0000-000096040000}"/>
    <cellStyle name="一般 3 2 2 5" xfId="1175" xr:uid="{00000000-0005-0000-0000-000097040000}"/>
    <cellStyle name="一般 3 2 2 5 2" xfId="1176" xr:uid="{00000000-0005-0000-0000-000098040000}"/>
    <cellStyle name="一般 3 2 3" xfId="1177" xr:uid="{00000000-0005-0000-0000-000099040000}"/>
    <cellStyle name="一般 3 2 3 2" xfId="1178" xr:uid="{00000000-0005-0000-0000-00009A040000}"/>
    <cellStyle name="一般 3 2 3 2 2" xfId="1179" xr:uid="{00000000-0005-0000-0000-00009B040000}"/>
    <cellStyle name="一般 3 2 3 2 2 2" xfId="1180" xr:uid="{00000000-0005-0000-0000-00009C040000}"/>
    <cellStyle name="一般 3 2 3 3" xfId="1181" xr:uid="{00000000-0005-0000-0000-00009D040000}"/>
    <cellStyle name="一般 3 2 3 3 2" xfId="1182" xr:uid="{00000000-0005-0000-0000-00009E040000}"/>
    <cellStyle name="一般 3 2 3 3 2 2" xfId="1183" xr:uid="{00000000-0005-0000-0000-00009F040000}"/>
    <cellStyle name="一般 3 2 3 4" xfId="1184" xr:uid="{00000000-0005-0000-0000-0000A0040000}"/>
    <cellStyle name="一般 3 2 3 5" xfId="1185" xr:uid="{00000000-0005-0000-0000-0000A1040000}"/>
    <cellStyle name="一般 3 2 3 5 2" xfId="1186" xr:uid="{00000000-0005-0000-0000-0000A2040000}"/>
    <cellStyle name="一般 3 2 4" xfId="1187" xr:uid="{00000000-0005-0000-0000-0000A3040000}"/>
    <cellStyle name="一般 3 2 4 2" xfId="1188" xr:uid="{00000000-0005-0000-0000-0000A4040000}"/>
    <cellStyle name="一般 3 2 4 2 2" xfId="1189" xr:uid="{00000000-0005-0000-0000-0000A5040000}"/>
    <cellStyle name="一般 3 2 4 2 2 2" xfId="1190" xr:uid="{00000000-0005-0000-0000-0000A6040000}"/>
    <cellStyle name="一般 3 2 4 3" xfId="1191" xr:uid="{00000000-0005-0000-0000-0000A7040000}"/>
    <cellStyle name="一般 3 2 4 4" xfId="1192" xr:uid="{00000000-0005-0000-0000-0000A8040000}"/>
    <cellStyle name="一般 3 2 4 4 2" xfId="1193" xr:uid="{00000000-0005-0000-0000-0000A9040000}"/>
    <cellStyle name="一般 3 2 5" xfId="1194" xr:uid="{00000000-0005-0000-0000-0000AA040000}"/>
    <cellStyle name="一般 3 2 6" xfId="1195" xr:uid="{00000000-0005-0000-0000-0000AB040000}"/>
    <cellStyle name="一般 3 2 7" xfId="1196" xr:uid="{00000000-0005-0000-0000-0000AC040000}"/>
    <cellStyle name="一般 3 2 8" xfId="1197" xr:uid="{00000000-0005-0000-0000-0000AD040000}"/>
    <cellStyle name="一般 3 2 8 2" xfId="1198" xr:uid="{00000000-0005-0000-0000-0000AE040000}"/>
    <cellStyle name="一般 3 3" xfId="1199" xr:uid="{00000000-0005-0000-0000-0000AF040000}"/>
    <cellStyle name="一般 3 3 2" xfId="1200" xr:uid="{00000000-0005-0000-0000-0000B0040000}"/>
    <cellStyle name="一般 3 3 2 2" xfId="1201" xr:uid="{00000000-0005-0000-0000-0000B1040000}"/>
    <cellStyle name="一般 3 3 2 2 2" xfId="1202" xr:uid="{00000000-0005-0000-0000-0000B2040000}"/>
    <cellStyle name="一般 3 3 3" xfId="1203" xr:uid="{00000000-0005-0000-0000-0000B3040000}"/>
    <cellStyle name="一般 3 3 3 2" xfId="1204" xr:uid="{00000000-0005-0000-0000-0000B4040000}"/>
    <cellStyle name="一般 3 3 3 2 2" xfId="1205" xr:uid="{00000000-0005-0000-0000-0000B5040000}"/>
    <cellStyle name="一般 3 3 4" xfId="1206" xr:uid="{00000000-0005-0000-0000-0000B6040000}"/>
    <cellStyle name="一般 3 3 5" xfId="1207" xr:uid="{00000000-0005-0000-0000-0000B7040000}"/>
    <cellStyle name="一般 3 3 5 2" xfId="1208" xr:uid="{00000000-0005-0000-0000-0000B8040000}"/>
    <cellStyle name="一般 3 4" xfId="1209" xr:uid="{00000000-0005-0000-0000-0000B9040000}"/>
    <cellStyle name="一般 3 4 2" xfId="1210" xr:uid="{00000000-0005-0000-0000-0000BA040000}"/>
    <cellStyle name="一般 3 4 2 2" xfId="1211" xr:uid="{00000000-0005-0000-0000-0000BB040000}"/>
    <cellStyle name="一般 3 4 2 2 2" xfId="1212" xr:uid="{00000000-0005-0000-0000-0000BC040000}"/>
    <cellStyle name="一般 3 4 2 2 2 2" xfId="1213" xr:uid="{00000000-0005-0000-0000-0000BD040000}"/>
    <cellStyle name="一般 3 4 2 3" xfId="1214" xr:uid="{00000000-0005-0000-0000-0000BE040000}"/>
    <cellStyle name="一般 3 4 2 3 2" xfId="1215" xr:uid="{00000000-0005-0000-0000-0000BF040000}"/>
    <cellStyle name="一般 3 4 3" xfId="1216" xr:uid="{00000000-0005-0000-0000-0000C0040000}"/>
    <cellStyle name="一般 3 4 4" xfId="1217" xr:uid="{00000000-0005-0000-0000-0000C1040000}"/>
    <cellStyle name="一般 3 4 5" xfId="1218" xr:uid="{00000000-0005-0000-0000-0000C2040000}"/>
    <cellStyle name="一般 3 4 5 2" xfId="1219" xr:uid="{00000000-0005-0000-0000-0000C3040000}"/>
    <cellStyle name="一般 3 5" xfId="1220" xr:uid="{00000000-0005-0000-0000-0000C4040000}"/>
    <cellStyle name="一般 3 5 2" xfId="1221" xr:uid="{00000000-0005-0000-0000-0000C5040000}"/>
    <cellStyle name="一般 3 5 3" xfId="1222" xr:uid="{00000000-0005-0000-0000-0000C6040000}"/>
    <cellStyle name="一般 3 6" xfId="1223" xr:uid="{00000000-0005-0000-0000-0000C7040000}"/>
    <cellStyle name="一般 3 6 2" xfId="1224" xr:uid="{00000000-0005-0000-0000-0000C8040000}"/>
    <cellStyle name="一般 3 6 3" xfId="1225" xr:uid="{00000000-0005-0000-0000-0000C9040000}"/>
    <cellStyle name="一般 3 6 4" xfId="1226" xr:uid="{00000000-0005-0000-0000-0000CA040000}"/>
    <cellStyle name="一般 3 6 5" xfId="1227" xr:uid="{00000000-0005-0000-0000-0000CB040000}"/>
    <cellStyle name="一般 3 7" xfId="1228" xr:uid="{00000000-0005-0000-0000-0000CC040000}"/>
    <cellStyle name="一般 3 8" xfId="1229" xr:uid="{00000000-0005-0000-0000-0000CD040000}"/>
    <cellStyle name="一般 3 9" xfId="1230" xr:uid="{00000000-0005-0000-0000-0000CE040000}"/>
    <cellStyle name="一般 30" xfId="1231" xr:uid="{00000000-0005-0000-0000-0000CF040000}"/>
    <cellStyle name="一般 31" xfId="1232" xr:uid="{00000000-0005-0000-0000-0000D0040000}"/>
    <cellStyle name="一般 31 10" xfId="1233" xr:uid="{00000000-0005-0000-0000-0000D1040000}"/>
    <cellStyle name="一般 31 2" xfId="1234" xr:uid="{00000000-0005-0000-0000-0000D2040000}"/>
    <cellStyle name="一般 31 3" xfId="1235" xr:uid="{00000000-0005-0000-0000-0000D3040000}"/>
    <cellStyle name="一般 31 4" xfId="1236" xr:uid="{00000000-0005-0000-0000-0000D4040000}"/>
    <cellStyle name="一般 31 5" xfId="1237" xr:uid="{00000000-0005-0000-0000-0000D5040000}"/>
    <cellStyle name="一般 31 6" xfId="1238" xr:uid="{00000000-0005-0000-0000-0000D6040000}"/>
    <cellStyle name="一般 31 7" xfId="1239" xr:uid="{00000000-0005-0000-0000-0000D7040000}"/>
    <cellStyle name="一般 31 7 2" xfId="1240" xr:uid="{00000000-0005-0000-0000-0000D8040000}"/>
    <cellStyle name="一般 31 7 3" xfId="1241" xr:uid="{00000000-0005-0000-0000-0000D9040000}"/>
    <cellStyle name="一般 31 8" xfId="1242" xr:uid="{00000000-0005-0000-0000-0000DA040000}"/>
    <cellStyle name="一般 31 8 2" xfId="1243" xr:uid="{00000000-0005-0000-0000-0000DB040000}"/>
    <cellStyle name="一般 31 8 3" xfId="1244" xr:uid="{00000000-0005-0000-0000-0000DC040000}"/>
    <cellStyle name="一般 31 9" xfId="1245" xr:uid="{00000000-0005-0000-0000-0000DD040000}"/>
    <cellStyle name="一般 32" xfId="1246" xr:uid="{00000000-0005-0000-0000-0000DE040000}"/>
    <cellStyle name="一般 32 2" xfId="1247" xr:uid="{00000000-0005-0000-0000-0000DF040000}"/>
    <cellStyle name="一般 32 3" xfId="1248" xr:uid="{00000000-0005-0000-0000-0000E0040000}"/>
    <cellStyle name="一般 32 4" xfId="1249" xr:uid="{00000000-0005-0000-0000-0000E1040000}"/>
    <cellStyle name="一般 32 5" xfId="1250" xr:uid="{00000000-0005-0000-0000-0000E2040000}"/>
    <cellStyle name="一般 33" xfId="1251" xr:uid="{00000000-0005-0000-0000-0000E3040000}"/>
    <cellStyle name="一般 33 2" xfId="1252" xr:uid="{00000000-0005-0000-0000-0000E4040000}"/>
    <cellStyle name="一般 33 3" xfId="1253" xr:uid="{00000000-0005-0000-0000-0000E5040000}"/>
    <cellStyle name="一般 33 4" xfId="1254" xr:uid="{00000000-0005-0000-0000-0000E6040000}"/>
    <cellStyle name="一般 34" xfId="1255" xr:uid="{00000000-0005-0000-0000-0000E7040000}"/>
    <cellStyle name="一般 34 2" xfId="1256" xr:uid="{00000000-0005-0000-0000-0000E8040000}"/>
    <cellStyle name="一般 34 3" xfId="1257" xr:uid="{00000000-0005-0000-0000-0000E9040000}"/>
    <cellStyle name="一般 34 4" xfId="1258" xr:uid="{00000000-0005-0000-0000-0000EA040000}"/>
    <cellStyle name="一般 35" xfId="1259" xr:uid="{00000000-0005-0000-0000-0000EB040000}"/>
    <cellStyle name="一般 35 2" xfId="1260" xr:uid="{00000000-0005-0000-0000-0000EC040000}"/>
    <cellStyle name="一般 35 3" xfId="1261" xr:uid="{00000000-0005-0000-0000-0000ED040000}"/>
    <cellStyle name="一般 35 4" xfId="1262" xr:uid="{00000000-0005-0000-0000-0000EE040000}"/>
    <cellStyle name="一般 36" xfId="1263" xr:uid="{00000000-0005-0000-0000-0000EF040000}"/>
    <cellStyle name="一般 36 2" xfId="1264" xr:uid="{00000000-0005-0000-0000-0000F0040000}"/>
    <cellStyle name="一般 36 3" xfId="1265" xr:uid="{00000000-0005-0000-0000-0000F1040000}"/>
    <cellStyle name="一般 36 4" xfId="1266" xr:uid="{00000000-0005-0000-0000-0000F2040000}"/>
    <cellStyle name="一般 37" xfId="1267" xr:uid="{00000000-0005-0000-0000-0000F3040000}"/>
    <cellStyle name="一般 37 2" xfId="1268" xr:uid="{00000000-0005-0000-0000-0000F4040000}"/>
    <cellStyle name="一般 37 3" xfId="1269" xr:uid="{00000000-0005-0000-0000-0000F5040000}"/>
    <cellStyle name="一般 38" xfId="1270" xr:uid="{00000000-0005-0000-0000-0000F6040000}"/>
    <cellStyle name="一般 38 2" xfId="1271" xr:uid="{00000000-0005-0000-0000-0000F7040000}"/>
    <cellStyle name="一般 38 3" xfId="1272" xr:uid="{00000000-0005-0000-0000-0000F8040000}"/>
    <cellStyle name="一般 39" xfId="1273" xr:uid="{00000000-0005-0000-0000-0000F9040000}"/>
    <cellStyle name="一般 39 2" xfId="1274" xr:uid="{00000000-0005-0000-0000-0000FA040000}"/>
    <cellStyle name="一般 39 3" xfId="1275" xr:uid="{00000000-0005-0000-0000-0000FB040000}"/>
    <cellStyle name="一般 4" xfId="1276" xr:uid="{00000000-0005-0000-0000-0000FC040000}"/>
    <cellStyle name="一般 4 10" xfId="1277" xr:uid="{00000000-0005-0000-0000-0000FD040000}"/>
    <cellStyle name="一般 4 11" xfId="1278" xr:uid="{00000000-0005-0000-0000-0000FE040000}"/>
    <cellStyle name="一般 4 12" xfId="1279" xr:uid="{00000000-0005-0000-0000-0000FF040000}"/>
    <cellStyle name="一般 4 13" xfId="1280" xr:uid="{00000000-0005-0000-0000-000000050000}"/>
    <cellStyle name="一般 4 13 2" xfId="1281" xr:uid="{00000000-0005-0000-0000-000001050000}"/>
    <cellStyle name="一般 4 13 3" xfId="1282" xr:uid="{00000000-0005-0000-0000-000002050000}"/>
    <cellStyle name="一般 4 13 4" xfId="1283" xr:uid="{00000000-0005-0000-0000-000003050000}"/>
    <cellStyle name="一般 4 13 4 2" xfId="1284" xr:uid="{00000000-0005-0000-0000-000004050000}"/>
    <cellStyle name="一般 4 13 5" xfId="1285" xr:uid="{00000000-0005-0000-0000-000005050000}"/>
    <cellStyle name="一般 4 13 5 2" xfId="1286" xr:uid="{00000000-0005-0000-0000-000006050000}"/>
    <cellStyle name="一般 4 13 6" xfId="1287" xr:uid="{00000000-0005-0000-0000-000007050000}"/>
    <cellStyle name="一般 4 13 7" xfId="1288" xr:uid="{00000000-0005-0000-0000-000008050000}"/>
    <cellStyle name="一般 4 14" xfId="1289" xr:uid="{00000000-0005-0000-0000-000009050000}"/>
    <cellStyle name="一般 4 14 2" xfId="1290" xr:uid="{00000000-0005-0000-0000-00000A050000}"/>
    <cellStyle name="一般 4 15" xfId="1291" xr:uid="{00000000-0005-0000-0000-00000B050000}"/>
    <cellStyle name="一般 4 16" xfId="1292" xr:uid="{00000000-0005-0000-0000-00000C050000}"/>
    <cellStyle name="一般 4 2" xfId="1293" xr:uid="{00000000-0005-0000-0000-00000D050000}"/>
    <cellStyle name="一般 4 2 2" xfId="1294" xr:uid="{00000000-0005-0000-0000-00000E050000}"/>
    <cellStyle name="一般 4 2 2 2" xfId="1295" xr:uid="{00000000-0005-0000-0000-00000F050000}"/>
    <cellStyle name="一般 4 2 2 2 2" xfId="1296" xr:uid="{00000000-0005-0000-0000-000010050000}"/>
    <cellStyle name="一般 4 2 2 2 2 2" xfId="1297" xr:uid="{00000000-0005-0000-0000-000011050000}"/>
    <cellStyle name="一般 4 2 2 3" xfId="1298" xr:uid="{00000000-0005-0000-0000-000012050000}"/>
    <cellStyle name="一般 4 2 2 4" xfId="1299" xr:uid="{00000000-0005-0000-0000-000013050000}"/>
    <cellStyle name="一般 4 2 2 4 2" xfId="1300" xr:uid="{00000000-0005-0000-0000-000014050000}"/>
    <cellStyle name="一般 4 2 3" xfId="1301" xr:uid="{00000000-0005-0000-0000-000015050000}"/>
    <cellStyle name="一般 4 2 4" xfId="1302" xr:uid="{00000000-0005-0000-0000-000016050000}"/>
    <cellStyle name="一般 4 2 5" xfId="1303" xr:uid="{00000000-0005-0000-0000-000017050000}"/>
    <cellStyle name="一般 4 2 5 2" xfId="1304" xr:uid="{00000000-0005-0000-0000-000018050000}"/>
    <cellStyle name="一般 4 3" xfId="1305" xr:uid="{00000000-0005-0000-0000-000019050000}"/>
    <cellStyle name="一般 4 3 2" xfId="1306" xr:uid="{00000000-0005-0000-0000-00001A050000}"/>
    <cellStyle name="一般 4 3 3" xfId="1307" xr:uid="{00000000-0005-0000-0000-00001B050000}"/>
    <cellStyle name="一般 4 3 4" xfId="1308" xr:uid="{00000000-0005-0000-0000-00001C050000}"/>
    <cellStyle name="一般 4 3 5" xfId="1309" xr:uid="{00000000-0005-0000-0000-00001D050000}"/>
    <cellStyle name="一般 4 3 5 2" xfId="1310" xr:uid="{00000000-0005-0000-0000-00001E050000}"/>
    <cellStyle name="一般 4 3 5 2 2" xfId="1311" xr:uid="{00000000-0005-0000-0000-00001F050000}"/>
    <cellStyle name="一般 4 3 5 2 2 2" xfId="1312" xr:uid="{00000000-0005-0000-0000-000020050000}"/>
    <cellStyle name="一般 4 3 5 3" xfId="1313" xr:uid="{00000000-0005-0000-0000-000021050000}"/>
    <cellStyle name="一般 4 3 5 3 2" xfId="1314" xr:uid="{00000000-0005-0000-0000-000022050000}"/>
    <cellStyle name="一般 4 3 6" xfId="1315" xr:uid="{00000000-0005-0000-0000-000023050000}"/>
    <cellStyle name="一般 4 3 7" xfId="1316" xr:uid="{00000000-0005-0000-0000-000024050000}"/>
    <cellStyle name="一般 4 3 8" xfId="1317" xr:uid="{00000000-0005-0000-0000-000025050000}"/>
    <cellStyle name="一般 4 3 8 2" xfId="1318" xr:uid="{00000000-0005-0000-0000-000026050000}"/>
    <cellStyle name="一般 4 3 8 3" xfId="1319" xr:uid="{00000000-0005-0000-0000-000027050000}"/>
    <cellStyle name="一般 4 3 9" xfId="1320" xr:uid="{00000000-0005-0000-0000-000028050000}"/>
    <cellStyle name="一般 4 3 9 2" xfId="1321" xr:uid="{00000000-0005-0000-0000-000029050000}"/>
    <cellStyle name="一般 4 4" xfId="1322" xr:uid="{00000000-0005-0000-0000-00002A050000}"/>
    <cellStyle name="一般 4 4 2" xfId="1323" xr:uid="{00000000-0005-0000-0000-00002B050000}"/>
    <cellStyle name="一般 4 4 3" xfId="1324" xr:uid="{00000000-0005-0000-0000-00002C050000}"/>
    <cellStyle name="一般 4 4 4" xfId="1325" xr:uid="{00000000-0005-0000-0000-00002D050000}"/>
    <cellStyle name="一般 4 4 4 2" xfId="1326" xr:uid="{00000000-0005-0000-0000-00002E050000}"/>
    <cellStyle name="一般 4 4 4 3" xfId="1327" xr:uid="{00000000-0005-0000-0000-00002F050000}"/>
    <cellStyle name="一般 4 5" xfId="1328" xr:uid="{00000000-0005-0000-0000-000030050000}"/>
    <cellStyle name="一般 4 6" xfId="1329" xr:uid="{00000000-0005-0000-0000-000031050000}"/>
    <cellStyle name="一般 4 7" xfId="1330" xr:uid="{00000000-0005-0000-0000-000032050000}"/>
    <cellStyle name="一般 4 8" xfId="1331" xr:uid="{00000000-0005-0000-0000-000033050000}"/>
    <cellStyle name="一般 4 9" xfId="1332" xr:uid="{00000000-0005-0000-0000-000034050000}"/>
    <cellStyle name="一般 4 9 2" xfId="1333" xr:uid="{00000000-0005-0000-0000-000035050000}"/>
    <cellStyle name="一般 4 9 2 2" xfId="1334" xr:uid="{00000000-0005-0000-0000-000036050000}"/>
    <cellStyle name="一般 4 9 2 2 2" xfId="1335" xr:uid="{00000000-0005-0000-0000-000037050000}"/>
    <cellStyle name="一般 4 9 3" xfId="1336" xr:uid="{00000000-0005-0000-0000-000038050000}"/>
    <cellStyle name="一般 4 9 3 2" xfId="1337" xr:uid="{00000000-0005-0000-0000-000039050000}"/>
    <cellStyle name="一般 40" xfId="1338" xr:uid="{00000000-0005-0000-0000-00003A050000}"/>
    <cellStyle name="一般 40 2" xfId="1339" xr:uid="{00000000-0005-0000-0000-00003B050000}"/>
    <cellStyle name="一般 40 3" xfId="1340" xr:uid="{00000000-0005-0000-0000-00003C050000}"/>
    <cellStyle name="一般 41" xfId="1341" xr:uid="{00000000-0005-0000-0000-00003D050000}"/>
    <cellStyle name="一般 42" xfId="1342" xr:uid="{00000000-0005-0000-0000-00003E050000}"/>
    <cellStyle name="一般 43" xfId="1343" xr:uid="{00000000-0005-0000-0000-00003F050000}"/>
    <cellStyle name="一般 44" xfId="1344" xr:uid="{00000000-0005-0000-0000-000040050000}"/>
    <cellStyle name="一般 45" xfId="1345" xr:uid="{00000000-0005-0000-0000-000041050000}"/>
    <cellStyle name="一般 46" xfId="1346" xr:uid="{00000000-0005-0000-0000-000042050000}"/>
    <cellStyle name="一般 47" xfId="1347" xr:uid="{00000000-0005-0000-0000-000043050000}"/>
    <cellStyle name="一般 48" xfId="1348" xr:uid="{00000000-0005-0000-0000-000044050000}"/>
    <cellStyle name="一般 49" xfId="1349" xr:uid="{00000000-0005-0000-0000-000045050000}"/>
    <cellStyle name="一般 5" xfId="1350" xr:uid="{00000000-0005-0000-0000-000046050000}"/>
    <cellStyle name="一般 5 2" xfId="1351" xr:uid="{00000000-0005-0000-0000-000047050000}"/>
    <cellStyle name="一般 5 2 2" xfId="1352" xr:uid="{00000000-0005-0000-0000-000048050000}"/>
    <cellStyle name="一般 5 2 2 2" xfId="1353" xr:uid="{00000000-0005-0000-0000-000049050000}"/>
    <cellStyle name="一般 5 2 2 3" xfId="1354" xr:uid="{00000000-0005-0000-0000-00004A050000}"/>
    <cellStyle name="一般 5 2 2 3 2" xfId="1355" xr:uid="{00000000-0005-0000-0000-00004B050000}"/>
    <cellStyle name="一般 5 2 3" xfId="1356" xr:uid="{00000000-0005-0000-0000-00004C050000}"/>
    <cellStyle name="一般 5 2 3 2" xfId="1357" xr:uid="{00000000-0005-0000-0000-00004D050000}"/>
    <cellStyle name="一般 5 2 3 2 2" xfId="1358" xr:uid="{00000000-0005-0000-0000-00004E050000}"/>
    <cellStyle name="一般 5 2 4" xfId="1359" xr:uid="{00000000-0005-0000-0000-00004F050000}"/>
    <cellStyle name="一般 5 2 5" xfId="1360" xr:uid="{00000000-0005-0000-0000-000050050000}"/>
    <cellStyle name="一般 5 2 5 2" xfId="1361" xr:uid="{00000000-0005-0000-0000-000051050000}"/>
    <cellStyle name="一般 5 3" xfId="1362" xr:uid="{00000000-0005-0000-0000-000052050000}"/>
    <cellStyle name="一般 5 3 2" xfId="1363" xr:uid="{00000000-0005-0000-0000-000053050000}"/>
    <cellStyle name="一般 5 3 2 2" xfId="1364" xr:uid="{00000000-0005-0000-0000-000054050000}"/>
    <cellStyle name="一般 5 3 2 3" xfId="1365" xr:uid="{00000000-0005-0000-0000-000055050000}"/>
    <cellStyle name="一般 5 3 2 3 2" xfId="1366" xr:uid="{00000000-0005-0000-0000-000056050000}"/>
    <cellStyle name="一般 5 3 3" xfId="1367" xr:uid="{00000000-0005-0000-0000-000057050000}"/>
    <cellStyle name="一般 5 3 3 2" xfId="1368" xr:uid="{00000000-0005-0000-0000-000058050000}"/>
    <cellStyle name="一般 5 3 3 2 2" xfId="1369" xr:uid="{00000000-0005-0000-0000-000059050000}"/>
    <cellStyle name="一般 5 3 4" xfId="1370" xr:uid="{00000000-0005-0000-0000-00005A050000}"/>
    <cellStyle name="一般 5 3 5" xfId="1371" xr:uid="{00000000-0005-0000-0000-00005B050000}"/>
    <cellStyle name="一般 5 3 5 2" xfId="1372" xr:uid="{00000000-0005-0000-0000-00005C050000}"/>
    <cellStyle name="一般 5 4" xfId="1373" xr:uid="{00000000-0005-0000-0000-00005D050000}"/>
    <cellStyle name="一般 5 4 2" xfId="1374" xr:uid="{00000000-0005-0000-0000-00005E050000}"/>
    <cellStyle name="一般 5 4 2 2" xfId="1375" xr:uid="{00000000-0005-0000-0000-00005F050000}"/>
    <cellStyle name="一般 5 4 2 2 2" xfId="1376" xr:uid="{00000000-0005-0000-0000-000060050000}"/>
    <cellStyle name="一般 5 4 3" xfId="1377" xr:uid="{00000000-0005-0000-0000-000061050000}"/>
    <cellStyle name="一般 5 4 4" xfId="1378" xr:uid="{00000000-0005-0000-0000-000062050000}"/>
    <cellStyle name="一般 5 4 5" xfId="1379" xr:uid="{00000000-0005-0000-0000-000063050000}"/>
    <cellStyle name="一般 5 4 6" xfId="1380" xr:uid="{00000000-0005-0000-0000-000064050000}"/>
    <cellStyle name="一般 5 4 6 2" xfId="1381" xr:uid="{00000000-0005-0000-0000-000065050000}"/>
    <cellStyle name="一般 5 4 7" xfId="1382" xr:uid="{00000000-0005-0000-0000-000066050000}"/>
    <cellStyle name="一般 5 5" xfId="1383" xr:uid="{00000000-0005-0000-0000-000067050000}"/>
    <cellStyle name="一般 5 6" xfId="1384" xr:uid="{00000000-0005-0000-0000-000068050000}"/>
    <cellStyle name="一般 5 7" xfId="1385" xr:uid="{00000000-0005-0000-0000-000069050000}"/>
    <cellStyle name="一般 5 7 2" xfId="1386" xr:uid="{00000000-0005-0000-0000-00006A050000}"/>
    <cellStyle name="一般 50" xfId="1387" xr:uid="{00000000-0005-0000-0000-00006B050000}"/>
    <cellStyle name="一般 51" xfId="1388" xr:uid="{00000000-0005-0000-0000-00006C050000}"/>
    <cellStyle name="一般 51 2" xfId="1389" xr:uid="{00000000-0005-0000-0000-00006D050000}"/>
    <cellStyle name="一般 51 2 2" xfId="1390" xr:uid="{00000000-0005-0000-0000-00006E050000}"/>
    <cellStyle name="一般 51 2 3" xfId="1391" xr:uid="{00000000-0005-0000-0000-00006F050000}"/>
    <cellStyle name="一般 51 3" xfId="1392" xr:uid="{00000000-0005-0000-0000-000070050000}"/>
    <cellStyle name="一般 51 4" xfId="1393" xr:uid="{00000000-0005-0000-0000-000071050000}"/>
    <cellStyle name="一般 52" xfId="1394" xr:uid="{00000000-0005-0000-0000-000072050000}"/>
    <cellStyle name="一般 52 2" xfId="1395" xr:uid="{00000000-0005-0000-0000-000073050000}"/>
    <cellStyle name="一般 52 2 2" xfId="1396" xr:uid="{00000000-0005-0000-0000-000074050000}"/>
    <cellStyle name="一般 52 2 3" xfId="1397" xr:uid="{00000000-0005-0000-0000-000075050000}"/>
    <cellStyle name="一般 52 3" xfId="1398" xr:uid="{00000000-0005-0000-0000-000076050000}"/>
    <cellStyle name="一般 52 4" xfId="1399" xr:uid="{00000000-0005-0000-0000-000077050000}"/>
    <cellStyle name="一般 53" xfId="1400" xr:uid="{00000000-0005-0000-0000-000078050000}"/>
    <cellStyle name="一般 53 2" xfId="1401" xr:uid="{00000000-0005-0000-0000-000079050000}"/>
    <cellStyle name="一般 6" xfId="1402" xr:uid="{00000000-0005-0000-0000-00007A050000}"/>
    <cellStyle name="一般 6 2" xfId="1403" xr:uid="{00000000-0005-0000-0000-00007B050000}"/>
    <cellStyle name="一般 6 3" xfId="1404" xr:uid="{00000000-0005-0000-0000-00007C050000}"/>
    <cellStyle name="一般 6 4" xfId="1405" xr:uid="{00000000-0005-0000-0000-00007D050000}"/>
    <cellStyle name="一般 6 5" xfId="1406" xr:uid="{00000000-0005-0000-0000-00007E050000}"/>
    <cellStyle name="一般 6 6" xfId="1407" xr:uid="{00000000-0005-0000-0000-00007F050000}"/>
    <cellStyle name="一般 6 6 2" xfId="1408" xr:uid="{00000000-0005-0000-0000-000080050000}"/>
    <cellStyle name="一般 6 6 3" xfId="1409" xr:uid="{00000000-0005-0000-0000-000081050000}"/>
    <cellStyle name="一般 6 6 4" xfId="1410" xr:uid="{00000000-0005-0000-0000-000082050000}"/>
    <cellStyle name="一般 6 6 5" xfId="1411" xr:uid="{00000000-0005-0000-0000-000083050000}"/>
    <cellStyle name="一般 6 6 6" xfId="1412" xr:uid="{00000000-0005-0000-0000-000084050000}"/>
    <cellStyle name="一般 6 6 7" xfId="1413" xr:uid="{00000000-0005-0000-0000-000085050000}"/>
    <cellStyle name="一般 6 6 8" xfId="1414" xr:uid="{00000000-0005-0000-0000-000086050000}"/>
    <cellStyle name="一般 6 7" xfId="1415" xr:uid="{00000000-0005-0000-0000-000087050000}"/>
    <cellStyle name="一般 7" xfId="1416" xr:uid="{00000000-0005-0000-0000-000088050000}"/>
    <cellStyle name="一般 7 2" xfId="1417" xr:uid="{00000000-0005-0000-0000-000089050000}"/>
    <cellStyle name="一般 7 2 2" xfId="1418" xr:uid="{00000000-0005-0000-0000-00008A050000}"/>
    <cellStyle name="一般 7 2 3" xfId="1419" xr:uid="{00000000-0005-0000-0000-00008B050000}"/>
    <cellStyle name="一般 7 2 4" xfId="1420" xr:uid="{00000000-0005-0000-0000-00008C050000}"/>
    <cellStyle name="一般 7 3" xfId="1421" xr:uid="{00000000-0005-0000-0000-00008D050000}"/>
    <cellStyle name="一般 7 4" xfId="1422" xr:uid="{00000000-0005-0000-0000-00008E050000}"/>
    <cellStyle name="一般 7 4 2" xfId="1423" xr:uid="{00000000-0005-0000-0000-00008F050000}"/>
    <cellStyle name="一般 7 4 3" xfId="1424" xr:uid="{00000000-0005-0000-0000-000090050000}"/>
    <cellStyle name="一般 7 4 4" xfId="1425" xr:uid="{00000000-0005-0000-0000-000091050000}"/>
    <cellStyle name="一般 7 4 5" xfId="1426" xr:uid="{00000000-0005-0000-0000-000092050000}"/>
    <cellStyle name="一般 8" xfId="1427" xr:uid="{00000000-0005-0000-0000-000093050000}"/>
    <cellStyle name="一般 8 2" xfId="1428" xr:uid="{00000000-0005-0000-0000-000094050000}"/>
    <cellStyle name="一般 8 3" xfId="1429" xr:uid="{00000000-0005-0000-0000-000095050000}"/>
    <cellStyle name="一般 9" xfId="1430" xr:uid="{00000000-0005-0000-0000-000096050000}"/>
    <cellStyle name="一般 9 2" xfId="1431" xr:uid="{00000000-0005-0000-0000-000097050000}"/>
    <cellStyle name="一般 9 3" xfId="1432" xr:uid="{00000000-0005-0000-0000-000098050000}"/>
    <cellStyle name="一般 9 3 2" xfId="1433" xr:uid="{00000000-0005-0000-0000-000099050000}"/>
    <cellStyle name="一般_1031學生名條(含統計)1030828" xfId="1434" xr:uid="{00000000-0005-0000-0000-00009A050000}"/>
    <cellStyle name="一般_911五科名條" xfId="1435" xr:uid="{00000000-0005-0000-0000-00009B050000}"/>
    <cellStyle name="一般_931一年級名條(完整版)" xfId="1436" xr:uid="{00000000-0005-0000-0000-00009C050000}"/>
    <cellStyle name="一般_98申請入學報到單ok" xfId="1437" xr:uid="{00000000-0005-0000-0000-00009D050000}"/>
    <cellStyle name="一般_九十三學年度高中高職聯合登記分發錄取本校名單(已報到編班用)" xfId="1438" xr:uid="{00000000-0005-0000-0000-00009E050000}"/>
    <cellStyle name="千分位 2" xfId="1439" xr:uid="{00000000-0005-0000-0000-00009F050000}"/>
    <cellStyle name="中等" xfId="1440" builtinId="28" customBuiltin="1"/>
    <cellStyle name="中等 10" xfId="1441" xr:uid="{00000000-0005-0000-0000-0000A1050000}"/>
    <cellStyle name="中等 2" xfId="1442" xr:uid="{00000000-0005-0000-0000-0000A2050000}"/>
    <cellStyle name="中等 2 2" xfId="1443" xr:uid="{00000000-0005-0000-0000-0000A3050000}"/>
    <cellStyle name="中等 2 2 2" xfId="1444" xr:uid="{00000000-0005-0000-0000-0000A4050000}"/>
    <cellStyle name="中等 2 2 3" xfId="1445" xr:uid="{00000000-0005-0000-0000-0000A5050000}"/>
    <cellStyle name="中等 2 2 4" xfId="1446" xr:uid="{00000000-0005-0000-0000-0000A6050000}"/>
    <cellStyle name="中等 2 3" xfId="1447" xr:uid="{00000000-0005-0000-0000-0000A7050000}"/>
    <cellStyle name="中等 2 3 2" xfId="1448" xr:uid="{00000000-0005-0000-0000-0000A8050000}"/>
    <cellStyle name="中等 2 3 3" xfId="1449" xr:uid="{00000000-0005-0000-0000-0000A9050000}"/>
    <cellStyle name="中等 2 3 4" xfId="1450" xr:uid="{00000000-0005-0000-0000-0000AA050000}"/>
    <cellStyle name="中等 3" xfId="1451" xr:uid="{00000000-0005-0000-0000-0000AB050000}"/>
    <cellStyle name="中等 3 2" xfId="1452" xr:uid="{00000000-0005-0000-0000-0000AC050000}"/>
    <cellStyle name="中等 3 3" xfId="1453" xr:uid="{00000000-0005-0000-0000-0000AD050000}"/>
    <cellStyle name="中等 4" xfId="1454" xr:uid="{00000000-0005-0000-0000-0000AE050000}"/>
    <cellStyle name="中等 4 2" xfId="1455" xr:uid="{00000000-0005-0000-0000-0000AF050000}"/>
    <cellStyle name="中等 5" xfId="1456" xr:uid="{00000000-0005-0000-0000-0000B0050000}"/>
    <cellStyle name="中等 6" xfId="1457" xr:uid="{00000000-0005-0000-0000-0000B1050000}"/>
    <cellStyle name="中等 6 2" xfId="1458" xr:uid="{00000000-0005-0000-0000-0000B2050000}"/>
    <cellStyle name="中等 6 3" xfId="1459" xr:uid="{00000000-0005-0000-0000-0000B3050000}"/>
    <cellStyle name="中等 6 4" xfId="1460" xr:uid="{00000000-0005-0000-0000-0000B4050000}"/>
    <cellStyle name="中等 6 4 2" xfId="1461" xr:uid="{00000000-0005-0000-0000-0000B5050000}"/>
    <cellStyle name="中等 6 4 3" xfId="1462" xr:uid="{00000000-0005-0000-0000-0000B6050000}"/>
    <cellStyle name="中等 6 5" xfId="1463" xr:uid="{00000000-0005-0000-0000-0000B7050000}"/>
    <cellStyle name="中等 6 6" xfId="1464" xr:uid="{00000000-0005-0000-0000-0000B8050000}"/>
    <cellStyle name="中等 7" xfId="1465" xr:uid="{00000000-0005-0000-0000-0000B9050000}"/>
    <cellStyle name="中等 8" xfId="1466" xr:uid="{00000000-0005-0000-0000-0000BA050000}"/>
    <cellStyle name="中等 9" xfId="1467" xr:uid="{00000000-0005-0000-0000-0000BB050000}"/>
    <cellStyle name="合計" xfId="1468" builtinId="25" customBuiltin="1"/>
    <cellStyle name="合計 10" xfId="1469" xr:uid="{00000000-0005-0000-0000-0000BD050000}"/>
    <cellStyle name="合計 2" xfId="1470" xr:uid="{00000000-0005-0000-0000-0000BE050000}"/>
    <cellStyle name="合計 2 2" xfId="1471" xr:uid="{00000000-0005-0000-0000-0000BF050000}"/>
    <cellStyle name="合計 2 2 2" xfId="1472" xr:uid="{00000000-0005-0000-0000-0000C0050000}"/>
    <cellStyle name="合計 2 2 3" xfId="1473" xr:uid="{00000000-0005-0000-0000-0000C1050000}"/>
    <cellStyle name="合計 2 2 4" xfId="1474" xr:uid="{00000000-0005-0000-0000-0000C2050000}"/>
    <cellStyle name="合計 2 3" xfId="1475" xr:uid="{00000000-0005-0000-0000-0000C3050000}"/>
    <cellStyle name="合計 2 3 2" xfId="1476" xr:uid="{00000000-0005-0000-0000-0000C4050000}"/>
    <cellStyle name="合計 2 3 3" xfId="1477" xr:uid="{00000000-0005-0000-0000-0000C5050000}"/>
    <cellStyle name="合計 2 3 4" xfId="1478" xr:uid="{00000000-0005-0000-0000-0000C6050000}"/>
    <cellStyle name="合計 3" xfId="1479" xr:uid="{00000000-0005-0000-0000-0000C7050000}"/>
    <cellStyle name="合計 3 2" xfId="1480" xr:uid="{00000000-0005-0000-0000-0000C8050000}"/>
    <cellStyle name="合計 3 3" xfId="1481" xr:uid="{00000000-0005-0000-0000-0000C9050000}"/>
    <cellStyle name="合計 4" xfId="1482" xr:uid="{00000000-0005-0000-0000-0000CA050000}"/>
    <cellStyle name="合計 4 2" xfId="1483" xr:uid="{00000000-0005-0000-0000-0000CB050000}"/>
    <cellStyle name="合計 5" xfId="1484" xr:uid="{00000000-0005-0000-0000-0000CC050000}"/>
    <cellStyle name="合計 6" xfId="1485" xr:uid="{00000000-0005-0000-0000-0000CD050000}"/>
    <cellStyle name="合計 6 2" xfId="1486" xr:uid="{00000000-0005-0000-0000-0000CE050000}"/>
    <cellStyle name="合計 6 3" xfId="1487" xr:uid="{00000000-0005-0000-0000-0000CF050000}"/>
    <cellStyle name="合計 6 4" xfId="1488" xr:uid="{00000000-0005-0000-0000-0000D0050000}"/>
    <cellStyle name="合計 6 4 2" xfId="1489" xr:uid="{00000000-0005-0000-0000-0000D1050000}"/>
    <cellStyle name="合計 6 4 3" xfId="1490" xr:uid="{00000000-0005-0000-0000-0000D2050000}"/>
    <cellStyle name="合計 6 5" xfId="1491" xr:uid="{00000000-0005-0000-0000-0000D3050000}"/>
    <cellStyle name="合計 6 6" xfId="1492" xr:uid="{00000000-0005-0000-0000-0000D4050000}"/>
    <cellStyle name="合計 7" xfId="1493" xr:uid="{00000000-0005-0000-0000-0000D5050000}"/>
    <cellStyle name="合計 8" xfId="1494" xr:uid="{00000000-0005-0000-0000-0000D6050000}"/>
    <cellStyle name="合計 9" xfId="1495" xr:uid="{00000000-0005-0000-0000-0000D7050000}"/>
    <cellStyle name="好" xfId="1496" builtinId="26" customBuiltin="1"/>
    <cellStyle name="好 10" xfId="1497" xr:uid="{00000000-0005-0000-0000-0000D9050000}"/>
    <cellStyle name="好 2" xfId="1498" xr:uid="{00000000-0005-0000-0000-0000DA050000}"/>
    <cellStyle name="好 2 2" xfId="1499" xr:uid="{00000000-0005-0000-0000-0000DB050000}"/>
    <cellStyle name="好 2 2 2" xfId="1500" xr:uid="{00000000-0005-0000-0000-0000DC050000}"/>
    <cellStyle name="好 2 2 3" xfId="1501" xr:uid="{00000000-0005-0000-0000-0000DD050000}"/>
    <cellStyle name="好 2 2 4" xfId="1502" xr:uid="{00000000-0005-0000-0000-0000DE050000}"/>
    <cellStyle name="好 2 3" xfId="1503" xr:uid="{00000000-0005-0000-0000-0000DF050000}"/>
    <cellStyle name="好 2 3 2" xfId="1504" xr:uid="{00000000-0005-0000-0000-0000E0050000}"/>
    <cellStyle name="好 2 3 3" xfId="1505" xr:uid="{00000000-0005-0000-0000-0000E1050000}"/>
    <cellStyle name="好 2 3 4" xfId="1506" xr:uid="{00000000-0005-0000-0000-0000E2050000}"/>
    <cellStyle name="好 3" xfId="1507" xr:uid="{00000000-0005-0000-0000-0000E3050000}"/>
    <cellStyle name="好 3 2" xfId="1508" xr:uid="{00000000-0005-0000-0000-0000E4050000}"/>
    <cellStyle name="好 3 3" xfId="1509" xr:uid="{00000000-0005-0000-0000-0000E5050000}"/>
    <cellStyle name="好 4" xfId="1510" xr:uid="{00000000-0005-0000-0000-0000E6050000}"/>
    <cellStyle name="好 4 2" xfId="1511" xr:uid="{00000000-0005-0000-0000-0000E7050000}"/>
    <cellStyle name="好 5" xfId="1512" xr:uid="{00000000-0005-0000-0000-0000E8050000}"/>
    <cellStyle name="好 6" xfId="1513" xr:uid="{00000000-0005-0000-0000-0000E9050000}"/>
    <cellStyle name="好 6 2" xfId="1514" xr:uid="{00000000-0005-0000-0000-0000EA050000}"/>
    <cellStyle name="好 6 3" xfId="1515" xr:uid="{00000000-0005-0000-0000-0000EB050000}"/>
    <cellStyle name="好 6 4" xfId="1516" xr:uid="{00000000-0005-0000-0000-0000EC050000}"/>
    <cellStyle name="好 6 4 2" xfId="1517" xr:uid="{00000000-0005-0000-0000-0000ED050000}"/>
    <cellStyle name="好 6 4 3" xfId="1518" xr:uid="{00000000-0005-0000-0000-0000EE050000}"/>
    <cellStyle name="好 6 5" xfId="1519" xr:uid="{00000000-0005-0000-0000-0000EF050000}"/>
    <cellStyle name="好 6 6" xfId="1520" xr:uid="{00000000-0005-0000-0000-0000F0050000}"/>
    <cellStyle name="好 7" xfId="1521" xr:uid="{00000000-0005-0000-0000-0000F1050000}"/>
    <cellStyle name="好 8" xfId="1522" xr:uid="{00000000-0005-0000-0000-0000F2050000}"/>
    <cellStyle name="好 9" xfId="1523" xr:uid="{00000000-0005-0000-0000-0000F3050000}"/>
    <cellStyle name="好_1011學生名條(教師版)0903" xfId="1524" xr:uid="{00000000-0005-0000-0000-0000F4050000}"/>
    <cellStyle name="好_1031免學費及各類減免學雜費(有公式)-電子資訊應外體育23年級" xfId="1525" xr:uid="{00000000-0005-0000-0000-0000F5050000}"/>
    <cellStyle name="好_Sheet1" xfId="1526" xr:uid="{00000000-0005-0000-0000-0000F6050000}"/>
    <cellStyle name="好_Sheet1_Sheet2" xfId="1527" xr:uid="{00000000-0005-0000-0000-0000F7050000}"/>
    <cellStyle name="好_Sheet2" xfId="1528" xr:uid="{00000000-0005-0000-0000-0000F8050000}"/>
    <cellStyle name="好_工作表1" xfId="1529" xr:uid="{00000000-0005-0000-0000-0000F9050000}"/>
    <cellStyle name="好_各項簡章購買" xfId="1530" xr:uid="{00000000-0005-0000-0000-0000FA050000}"/>
    <cellStyle name="好_查用表" xfId="1531" xr:uid="{00000000-0005-0000-0000-0000FB050000}"/>
    <cellStyle name="好_查用表_1" xfId="1532" xr:uid="{00000000-0005-0000-0000-0000FC050000}"/>
    <cellStyle name="好_查表" xfId="1533" xr:uid="{00000000-0005-0000-0000-0000FD050000}"/>
    <cellStyle name="好_復學重讀名冊" xfId="1534" xr:uid="{00000000-0005-0000-0000-0000FE050000}"/>
    <cellStyle name="百分比 2" xfId="1535" xr:uid="{00000000-0005-0000-0000-0000FF050000}"/>
    <cellStyle name="百分比 2 2" xfId="1536" xr:uid="{00000000-0005-0000-0000-000000060000}"/>
    <cellStyle name="百分比 2 3" xfId="1537" xr:uid="{00000000-0005-0000-0000-000001060000}"/>
    <cellStyle name="百分比 2 4" xfId="1538" xr:uid="{00000000-0005-0000-0000-000002060000}"/>
    <cellStyle name="百分比 3" xfId="1539" xr:uid="{00000000-0005-0000-0000-000003060000}"/>
    <cellStyle name="百分比 4" xfId="1540" xr:uid="{00000000-0005-0000-0000-000004060000}"/>
    <cellStyle name="百分比 5" xfId="1541" xr:uid="{00000000-0005-0000-0000-000005060000}"/>
    <cellStyle name="計算方式" xfId="1542" builtinId="22" customBuiltin="1"/>
    <cellStyle name="計算方式 10" xfId="1543" xr:uid="{00000000-0005-0000-0000-000007060000}"/>
    <cellStyle name="計算方式 2" xfId="1544" xr:uid="{00000000-0005-0000-0000-000008060000}"/>
    <cellStyle name="計算方式 2 2" xfId="1545" xr:uid="{00000000-0005-0000-0000-000009060000}"/>
    <cellStyle name="計算方式 2 2 2" xfId="1546" xr:uid="{00000000-0005-0000-0000-00000A060000}"/>
    <cellStyle name="計算方式 2 2 3" xfId="1547" xr:uid="{00000000-0005-0000-0000-00000B060000}"/>
    <cellStyle name="計算方式 2 2 4" xfId="1548" xr:uid="{00000000-0005-0000-0000-00000C060000}"/>
    <cellStyle name="計算方式 2 3" xfId="1549" xr:uid="{00000000-0005-0000-0000-00000D060000}"/>
    <cellStyle name="計算方式 2 3 2" xfId="1550" xr:uid="{00000000-0005-0000-0000-00000E060000}"/>
    <cellStyle name="計算方式 2 3 3" xfId="1551" xr:uid="{00000000-0005-0000-0000-00000F060000}"/>
    <cellStyle name="計算方式 2 3 4" xfId="1552" xr:uid="{00000000-0005-0000-0000-000010060000}"/>
    <cellStyle name="計算方式 3" xfId="1553" xr:uid="{00000000-0005-0000-0000-000011060000}"/>
    <cellStyle name="計算方式 3 2" xfId="1554" xr:uid="{00000000-0005-0000-0000-000012060000}"/>
    <cellStyle name="計算方式 3 3" xfId="1555" xr:uid="{00000000-0005-0000-0000-000013060000}"/>
    <cellStyle name="計算方式 4" xfId="1556" xr:uid="{00000000-0005-0000-0000-000014060000}"/>
    <cellStyle name="計算方式 4 2" xfId="1557" xr:uid="{00000000-0005-0000-0000-000015060000}"/>
    <cellStyle name="計算方式 5" xfId="1558" xr:uid="{00000000-0005-0000-0000-000016060000}"/>
    <cellStyle name="計算方式 6" xfId="1559" xr:uid="{00000000-0005-0000-0000-000017060000}"/>
    <cellStyle name="計算方式 6 2" xfId="1560" xr:uid="{00000000-0005-0000-0000-000018060000}"/>
    <cellStyle name="計算方式 6 3" xfId="1561" xr:uid="{00000000-0005-0000-0000-000019060000}"/>
    <cellStyle name="計算方式 6 4" xfId="1562" xr:uid="{00000000-0005-0000-0000-00001A060000}"/>
    <cellStyle name="計算方式 6 4 2" xfId="1563" xr:uid="{00000000-0005-0000-0000-00001B060000}"/>
    <cellStyle name="計算方式 6 4 3" xfId="1564" xr:uid="{00000000-0005-0000-0000-00001C060000}"/>
    <cellStyle name="計算方式 6 5" xfId="1565" xr:uid="{00000000-0005-0000-0000-00001D060000}"/>
    <cellStyle name="計算方式 6 6" xfId="1566" xr:uid="{00000000-0005-0000-0000-00001E060000}"/>
    <cellStyle name="計算方式 7" xfId="1567" xr:uid="{00000000-0005-0000-0000-00001F060000}"/>
    <cellStyle name="計算方式 8" xfId="1568" xr:uid="{00000000-0005-0000-0000-000020060000}"/>
    <cellStyle name="計算方式 9" xfId="1569" xr:uid="{00000000-0005-0000-0000-000021060000}"/>
    <cellStyle name="連結的儲存格" xfId="1570" builtinId="24" customBuiltin="1"/>
    <cellStyle name="連結的儲存格 10" xfId="1571" xr:uid="{00000000-0005-0000-0000-000023060000}"/>
    <cellStyle name="連結的儲存格 2" xfId="1572" xr:uid="{00000000-0005-0000-0000-000024060000}"/>
    <cellStyle name="連結的儲存格 2 2" xfId="1573" xr:uid="{00000000-0005-0000-0000-000025060000}"/>
    <cellStyle name="連結的儲存格 2 2 2" xfId="1574" xr:uid="{00000000-0005-0000-0000-000026060000}"/>
    <cellStyle name="連結的儲存格 2 2 3" xfId="1575" xr:uid="{00000000-0005-0000-0000-000027060000}"/>
    <cellStyle name="連結的儲存格 2 2 4" xfId="1576" xr:uid="{00000000-0005-0000-0000-000028060000}"/>
    <cellStyle name="連結的儲存格 2 3" xfId="1577" xr:uid="{00000000-0005-0000-0000-000029060000}"/>
    <cellStyle name="連結的儲存格 2 3 2" xfId="1578" xr:uid="{00000000-0005-0000-0000-00002A060000}"/>
    <cellStyle name="連結的儲存格 2 3 3" xfId="1579" xr:uid="{00000000-0005-0000-0000-00002B060000}"/>
    <cellStyle name="連結的儲存格 2 3 4" xfId="1580" xr:uid="{00000000-0005-0000-0000-00002C060000}"/>
    <cellStyle name="連結的儲存格 3" xfId="1581" xr:uid="{00000000-0005-0000-0000-00002D060000}"/>
    <cellStyle name="連結的儲存格 3 2" xfId="1582" xr:uid="{00000000-0005-0000-0000-00002E060000}"/>
    <cellStyle name="連結的儲存格 3 3" xfId="1583" xr:uid="{00000000-0005-0000-0000-00002F060000}"/>
    <cellStyle name="連結的儲存格 4" xfId="1584" xr:uid="{00000000-0005-0000-0000-000030060000}"/>
    <cellStyle name="連結的儲存格 4 2" xfId="1585" xr:uid="{00000000-0005-0000-0000-000031060000}"/>
    <cellStyle name="連結的儲存格 5" xfId="1586" xr:uid="{00000000-0005-0000-0000-000032060000}"/>
    <cellStyle name="連結的儲存格 6" xfId="1587" xr:uid="{00000000-0005-0000-0000-000033060000}"/>
    <cellStyle name="連結的儲存格 6 2" xfId="1588" xr:uid="{00000000-0005-0000-0000-000034060000}"/>
    <cellStyle name="連結的儲存格 6 3" xfId="1589" xr:uid="{00000000-0005-0000-0000-000035060000}"/>
    <cellStyle name="連結的儲存格 6 4" xfId="1590" xr:uid="{00000000-0005-0000-0000-000036060000}"/>
    <cellStyle name="連結的儲存格 6 4 2" xfId="1591" xr:uid="{00000000-0005-0000-0000-000037060000}"/>
    <cellStyle name="連結的儲存格 6 4 3" xfId="1592" xr:uid="{00000000-0005-0000-0000-000038060000}"/>
    <cellStyle name="連結的儲存格 6 5" xfId="1593" xr:uid="{00000000-0005-0000-0000-000039060000}"/>
    <cellStyle name="連結的儲存格 6 6" xfId="1594" xr:uid="{00000000-0005-0000-0000-00003A060000}"/>
    <cellStyle name="連結的儲存格 7" xfId="1595" xr:uid="{00000000-0005-0000-0000-00003B060000}"/>
    <cellStyle name="連結的儲存格 8" xfId="1596" xr:uid="{00000000-0005-0000-0000-00003C060000}"/>
    <cellStyle name="連結的儲存格 9" xfId="1597" xr:uid="{00000000-0005-0000-0000-00003D060000}"/>
    <cellStyle name="備註" xfId="1598" builtinId="10" customBuiltin="1"/>
    <cellStyle name="備註 2" xfId="1599" xr:uid="{00000000-0005-0000-0000-00003F060000}"/>
    <cellStyle name="備註 2 10" xfId="1600" xr:uid="{00000000-0005-0000-0000-000040060000}"/>
    <cellStyle name="備註 2 10 2" xfId="1601" xr:uid="{00000000-0005-0000-0000-000041060000}"/>
    <cellStyle name="備註 2 10 3" xfId="1602" xr:uid="{00000000-0005-0000-0000-000042060000}"/>
    <cellStyle name="備註 2 11" xfId="1603" xr:uid="{00000000-0005-0000-0000-000043060000}"/>
    <cellStyle name="備註 2 12" xfId="1604" xr:uid="{00000000-0005-0000-0000-000044060000}"/>
    <cellStyle name="備註 2 13" xfId="1605" xr:uid="{00000000-0005-0000-0000-000045060000}"/>
    <cellStyle name="備註 2 2" xfId="1606" xr:uid="{00000000-0005-0000-0000-000046060000}"/>
    <cellStyle name="備註 2 2 2" xfId="1607" xr:uid="{00000000-0005-0000-0000-000047060000}"/>
    <cellStyle name="備註 2 2 2 2" xfId="1608" xr:uid="{00000000-0005-0000-0000-000048060000}"/>
    <cellStyle name="備註 2 2 2 3" xfId="1609" xr:uid="{00000000-0005-0000-0000-000049060000}"/>
    <cellStyle name="備註 2 2 3" xfId="1610" xr:uid="{00000000-0005-0000-0000-00004A060000}"/>
    <cellStyle name="備註 2 2 4" xfId="1611" xr:uid="{00000000-0005-0000-0000-00004B060000}"/>
    <cellStyle name="備註 2 3" xfId="1612" xr:uid="{00000000-0005-0000-0000-00004C060000}"/>
    <cellStyle name="備註 2 3 2" xfId="1613" xr:uid="{00000000-0005-0000-0000-00004D060000}"/>
    <cellStyle name="備註 2 3 3" xfId="1614" xr:uid="{00000000-0005-0000-0000-00004E060000}"/>
    <cellStyle name="備註 2 3 4" xfId="1615" xr:uid="{00000000-0005-0000-0000-00004F060000}"/>
    <cellStyle name="備註 2 3 5" xfId="1616" xr:uid="{00000000-0005-0000-0000-000050060000}"/>
    <cellStyle name="備註 2 3 5 2" xfId="1617" xr:uid="{00000000-0005-0000-0000-000051060000}"/>
    <cellStyle name="備註 2 3 5 2 2" xfId="1618" xr:uid="{00000000-0005-0000-0000-000052060000}"/>
    <cellStyle name="備註 2 3 5 2 2 2" xfId="1619" xr:uid="{00000000-0005-0000-0000-000053060000}"/>
    <cellStyle name="備註 2 3 5 3" xfId="1620" xr:uid="{00000000-0005-0000-0000-000054060000}"/>
    <cellStyle name="備註 2 3 5 3 2" xfId="1621" xr:uid="{00000000-0005-0000-0000-000055060000}"/>
    <cellStyle name="備註 2 3 6" xfId="1622" xr:uid="{00000000-0005-0000-0000-000056060000}"/>
    <cellStyle name="備註 2 3 7" xfId="1623" xr:uid="{00000000-0005-0000-0000-000057060000}"/>
    <cellStyle name="備註 2 3 8" xfId="1624" xr:uid="{00000000-0005-0000-0000-000058060000}"/>
    <cellStyle name="備註 2 4" xfId="1625" xr:uid="{00000000-0005-0000-0000-000059060000}"/>
    <cellStyle name="備註 2 4 2" xfId="1626" xr:uid="{00000000-0005-0000-0000-00005A060000}"/>
    <cellStyle name="備註 2 4 3" xfId="1627" xr:uid="{00000000-0005-0000-0000-00005B060000}"/>
    <cellStyle name="備註 2 5" xfId="1628" xr:uid="{00000000-0005-0000-0000-00005C060000}"/>
    <cellStyle name="備註 2 6" xfId="1629" xr:uid="{00000000-0005-0000-0000-00005D060000}"/>
    <cellStyle name="備註 2 7" xfId="1630" xr:uid="{00000000-0005-0000-0000-00005E060000}"/>
    <cellStyle name="備註 2 7 2" xfId="1631" xr:uid="{00000000-0005-0000-0000-00005F060000}"/>
    <cellStyle name="備註 2 7 3" xfId="1632" xr:uid="{00000000-0005-0000-0000-000060060000}"/>
    <cellStyle name="備註 2 8" xfId="1633" xr:uid="{00000000-0005-0000-0000-000061060000}"/>
    <cellStyle name="備註 2 9" xfId="1634" xr:uid="{00000000-0005-0000-0000-000062060000}"/>
    <cellStyle name="備註 2 9 2" xfId="1635" xr:uid="{00000000-0005-0000-0000-000063060000}"/>
    <cellStyle name="備註 2 9 2 2" xfId="1636" xr:uid="{00000000-0005-0000-0000-000064060000}"/>
    <cellStyle name="備註 2 9 2 2 2" xfId="1637" xr:uid="{00000000-0005-0000-0000-000065060000}"/>
    <cellStyle name="備註 2 9 3" xfId="1638" xr:uid="{00000000-0005-0000-0000-000066060000}"/>
    <cellStyle name="備註 2 9 3 2" xfId="1639" xr:uid="{00000000-0005-0000-0000-000067060000}"/>
    <cellStyle name="備註 3" xfId="1640" xr:uid="{00000000-0005-0000-0000-000068060000}"/>
    <cellStyle name="備註 3 2" xfId="1641" xr:uid="{00000000-0005-0000-0000-000069060000}"/>
    <cellStyle name="備註 3 3" xfId="1642" xr:uid="{00000000-0005-0000-0000-00006A060000}"/>
    <cellStyle name="備註 3 3 2" xfId="1643" xr:uid="{00000000-0005-0000-0000-00006B060000}"/>
    <cellStyle name="備註 3 3 3" xfId="1644" xr:uid="{00000000-0005-0000-0000-00006C060000}"/>
    <cellStyle name="備註 3 4" xfId="1645" xr:uid="{00000000-0005-0000-0000-00006D060000}"/>
    <cellStyle name="備註 3 4 2" xfId="1646" xr:uid="{00000000-0005-0000-0000-00006E060000}"/>
    <cellStyle name="備註 3 5" xfId="1647" xr:uid="{00000000-0005-0000-0000-00006F060000}"/>
    <cellStyle name="備註 4" xfId="1648" xr:uid="{00000000-0005-0000-0000-000070060000}"/>
    <cellStyle name="備註 4 2" xfId="1649" xr:uid="{00000000-0005-0000-0000-000071060000}"/>
    <cellStyle name="備註 4 2 2" xfId="1650" xr:uid="{00000000-0005-0000-0000-000072060000}"/>
    <cellStyle name="備註 4 3" xfId="1651" xr:uid="{00000000-0005-0000-0000-000073060000}"/>
    <cellStyle name="備註 5" xfId="1652" xr:uid="{00000000-0005-0000-0000-000074060000}"/>
    <cellStyle name="備註 5 2" xfId="1653" xr:uid="{00000000-0005-0000-0000-000075060000}"/>
    <cellStyle name="備註 5 3" xfId="1654" xr:uid="{00000000-0005-0000-0000-000076060000}"/>
    <cellStyle name="備註 6" xfId="1655" xr:uid="{00000000-0005-0000-0000-000077060000}"/>
    <cellStyle name="備註 6 2" xfId="1656" xr:uid="{00000000-0005-0000-0000-000078060000}"/>
    <cellStyle name="備註 6 3" xfId="1657" xr:uid="{00000000-0005-0000-0000-000079060000}"/>
    <cellStyle name="備註 6 4" xfId="1658" xr:uid="{00000000-0005-0000-0000-00007A060000}"/>
    <cellStyle name="備註 6 4 2" xfId="1659" xr:uid="{00000000-0005-0000-0000-00007B060000}"/>
    <cellStyle name="備註 6 4 3" xfId="1660" xr:uid="{00000000-0005-0000-0000-00007C060000}"/>
    <cellStyle name="備註 6 5" xfId="1661" xr:uid="{00000000-0005-0000-0000-00007D060000}"/>
    <cellStyle name="備註 6 6" xfId="1662" xr:uid="{00000000-0005-0000-0000-00007E060000}"/>
    <cellStyle name="備註 7" xfId="1663" xr:uid="{00000000-0005-0000-0000-00007F060000}"/>
    <cellStyle name="備註 8" xfId="1664" xr:uid="{00000000-0005-0000-0000-000080060000}"/>
    <cellStyle name="備註 9" xfId="1665" xr:uid="{00000000-0005-0000-0000-000081060000}"/>
    <cellStyle name="超連結 2" xfId="1666" xr:uid="{00000000-0005-0000-0000-000082060000}"/>
    <cellStyle name="說明文字" xfId="1667" builtinId="53" customBuiltin="1"/>
    <cellStyle name="說明文字 2" xfId="1668" xr:uid="{00000000-0005-0000-0000-000084060000}"/>
    <cellStyle name="說明文字 2 2" xfId="1669" xr:uid="{00000000-0005-0000-0000-000085060000}"/>
    <cellStyle name="說明文字 2 2 2" xfId="1670" xr:uid="{00000000-0005-0000-0000-000086060000}"/>
    <cellStyle name="說明文字 2 2 3" xfId="1671" xr:uid="{00000000-0005-0000-0000-000087060000}"/>
    <cellStyle name="說明文字 2 2 4" xfId="1672" xr:uid="{00000000-0005-0000-0000-000088060000}"/>
    <cellStyle name="說明文字 2 3" xfId="1673" xr:uid="{00000000-0005-0000-0000-000089060000}"/>
    <cellStyle name="說明文字 2 3 2" xfId="1674" xr:uid="{00000000-0005-0000-0000-00008A060000}"/>
    <cellStyle name="說明文字 2 3 3" xfId="1675" xr:uid="{00000000-0005-0000-0000-00008B060000}"/>
    <cellStyle name="說明文字 2 3 4" xfId="1676" xr:uid="{00000000-0005-0000-0000-00008C060000}"/>
    <cellStyle name="說明文字 3" xfId="1677" xr:uid="{00000000-0005-0000-0000-00008D060000}"/>
    <cellStyle name="說明文字 3 2" xfId="1678" xr:uid="{00000000-0005-0000-0000-00008E060000}"/>
    <cellStyle name="說明文字 3 3" xfId="1679" xr:uid="{00000000-0005-0000-0000-00008F060000}"/>
    <cellStyle name="說明文字 4" xfId="1680" xr:uid="{00000000-0005-0000-0000-000090060000}"/>
    <cellStyle name="說明文字 5" xfId="1681" xr:uid="{00000000-0005-0000-0000-000091060000}"/>
    <cellStyle name="說明文字 5 2" xfId="1682" xr:uid="{00000000-0005-0000-0000-000092060000}"/>
    <cellStyle name="說明文字 5 3" xfId="1683" xr:uid="{00000000-0005-0000-0000-000093060000}"/>
    <cellStyle name="說明文字 5 4" xfId="1684" xr:uid="{00000000-0005-0000-0000-000094060000}"/>
    <cellStyle name="說明文字 5 4 2" xfId="1685" xr:uid="{00000000-0005-0000-0000-000095060000}"/>
    <cellStyle name="說明文字 5 4 3" xfId="1686" xr:uid="{00000000-0005-0000-0000-000096060000}"/>
    <cellStyle name="說明文字 5 5" xfId="1687" xr:uid="{00000000-0005-0000-0000-000097060000}"/>
    <cellStyle name="說明文字 5 6" xfId="1688" xr:uid="{00000000-0005-0000-0000-000098060000}"/>
    <cellStyle name="說明文字 6" xfId="1689" xr:uid="{00000000-0005-0000-0000-000099060000}"/>
    <cellStyle name="說明文字 7" xfId="1690" xr:uid="{00000000-0005-0000-0000-00009A060000}"/>
    <cellStyle name="說明文字 8" xfId="1691" xr:uid="{00000000-0005-0000-0000-00009B060000}"/>
    <cellStyle name="說明文字 9" xfId="1692" xr:uid="{00000000-0005-0000-0000-00009C060000}"/>
    <cellStyle name="輔色1" xfId="1693" builtinId="29" customBuiltin="1"/>
    <cellStyle name="輔色1 10" xfId="1694" xr:uid="{00000000-0005-0000-0000-00009E060000}"/>
    <cellStyle name="輔色1 2" xfId="1695" xr:uid="{00000000-0005-0000-0000-00009F060000}"/>
    <cellStyle name="輔色1 2 2" xfId="1696" xr:uid="{00000000-0005-0000-0000-0000A0060000}"/>
    <cellStyle name="輔色1 2 2 2" xfId="1697" xr:uid="{00000000-0005-0000-0000-0000A1060000}"/>
    <cellStyle name="輔色1 2 2 3" xfId="1698" xr:uid="{00000000-0005-0000-0000-0000A2060000}"/>
    <cellStyle name="輔色1 2 2 4" xfId="1699" xr:uid="{00000000-0005-0000-0000-0000A3060000}"/>
    <cellStyle name="輔色1 2 3" xfId="1700" xr:uid="{00000000-0005-0000-0000-0000A4060000}"/>
    <cellStyle name="輔色1 2 3 2" xfId="1701" xr:uid="{00000000-0005-0000-0000-0000A5060000}"/>
    <cellStyle name="輔色1 2 3 3" xfId="1702" xr:uid="{00000000-0005-0000-0000-0000A6060000}"/>
    <cellStyle name="輔色1 2 3 4" xfId="1703" xr:uid="{00000000-0005-0000-0000-0000A7060000}"/>
    <cellStyle name="輔色1 3" xfId="1704" xr:uid="{00000000-0005-0000-0000-0000A8060000}"/>
    <cellStyle name="輔色1 3 2" xfId="1705" xr:uid="{00000000-0005-0000-0000-0000A9060000}"/>
    <cellStyle name="輔色1 3 3" xfId="1706" xr:uid="{00000000-0005-0000-0000-0000AA060000}"/>
    <cellStyle name="輔色1 4" xfId="1707" xr:uid="{00000000-0005-0000-0000-0000AB060000}"/>
    <cellStyle name="輔色1 4 2" xfId="1708" xr:uid="{00000000-0005-0000-0000-0000AC060000}"/>
    <cellStyle name="輔色1 5" xfId="1709" xr:uid="{00000000-0005-0000-0000-0000AD060000}"/>
    <cellStyle name="輔色1 6" xfId="1710" xr:uid="{00000000-0005-0000-0000-0000AE060000}"/>
    <cellStyle name="輔色1 6 2" xfId="1711" xr:uid="{00000000-0005-0000-0000-0000AF060000}"/>
    <cellStyle name="輔色1 6 3" xfId="1712" xr:uid="{00000000-0005-0000-0000-0000B0060000}"/>
    <cellStyle name="輔色1 6 4" xfId="1713" xr:uid="{00000000-0005-0000-0000-0000B1060000}"/>
    <cellStyle name="輔色1 6 4 2" xfId="1714" xr:uid="{00000000-0005-0000-0000-0000B2060000}"/>
    <cellStyle name="輔色1 6 4 3" xfId="1715" xr:uid="{00000000-0005-0000-0000-0000B3060000}"/>
    <cellStyle name="輔色1 6 5" xfId="1716" xr:uid="{00000000-0005-0000-0000-0000B4060000}"/>
    <cellStyle name="輔色1 6 6" xfId="1717" xr:uid="{00000000-0005-0000-0000-0000B5060000}"/>
    <cellStyle name="輔色1 7" xfId="1718" xr:uid="{00000000-0005-0000-0000-0000B6060000}"/>
    <cellStyle name="輔色1 8" xfId="1719" xr:uid="{00000000-0005-0000-0000-0000B7060000}"/>
    <cellStyle name="輔色1 9" xfId="1720" xr:uid="{00000000-0005-0000-0000-0000B8060000}"/>
    <cellStyle name="輔色2" xfId="1721" builtinId="33" customBuiltin="1"/>
    <cellStyle name="輔色2 10" xfId="1722" xr:uid="{00000000-0005-0000-0000-0000BA060000}"/>
    <cellStyle name="輔色2 2" xfId="1723" xr:uid="{00000000-0005-0000-0000-0000BB060000}"/>
    <cellStyle name="輔色2 2 2" xfId="1724" xr:uid="{00000000-0005-0000-0000-0000BC060000}"/>
    <cellStyle name="輔色2 2 2 2" xfId="1725" xr:uid="{00000000-0005-0000-0000-0000BD060000}"/>
    <cellStyle name="輔色2 2 2 3" xfId="1726" xr:uid="{00000000-0005-0000-0000-0000BE060000}"/>
    <cellStyle name="輔色2 2 2 4" xfId="1727" xr:uid="{00000000-0005-0000-0000-0000BF060000}"/>
    <cellStyle name="輔色2 2 3" xfId="1728" xr:uid="{00000000-0005-0000-0000-0000C0060000}"/>
    <cellStyle name="輔色2 2 3 2" xfId="1729" xr:uid="{00000000-0005-0000-0000-0000C1060000}"/>
    <cellStyle name="輔色2 2 3 3" xfId="1730" xr:uid="{00000000-0005-0000-0000-0000C2060000}"/>
    <cellStyle name="輔色2 2 3 4" xfId="1731" xr:uid="{00000000-0005-0000-0000-0000C3060000}"/>
    <cellStyle name="輔色2 3" xfId="1732" xr:uid="{00000000-0005-0000-0000-0000C4060000}"/>
    <cellStyle name="輔色2 3 2" xfId="1733" xr:uid="{00000000-0005-0000-0000-0000C5060000}"/>
    <cellStyle name="輔色2 3 3" xfId="1734" xr:uid="{00000000-0005-0000-0000-0000C6060000}"/>
    <cellStyle name="輔色2 4" xfId="1735" xr:uid="{00000000-0005-0000-0000-0000C7060000}"/>
    <cellStyle name="輔色2 4 2" xfId="1736" xr:uid="{00000000-0005-0000-0000-0000C8060000}"/>
    <cellStyle name="輔色2 5" xfId="1737" xr:uid="{00000000-0005-0000-0000-0000C9060000}"/>
    <cellStyle name="輔色2 6" xfId="1738" xr:uid="{00000000-0005-0000-0000-0000CA060000}"/>
    <cellStyle name="輔色2 6 2" xfId="1739" xr:uid="{00000000-0005-0000-0000-0000CB060000}"/>
    <cellStyle name="輔色2 6 3" xfId="1740" xr:uid="{00000000-0005-0000-0000-0000CC060000}"/>
    <cellStyle name="輔色2 6 4" xfId="1741" xr:uid="{00000000-0005-0000-0000-0000CD060000}"/>
    <cellStyle name="輔色2 6 4 2" xfId="1742" xr:uid="{00000000-0005-0000-0000-0000CE060000}"/>
    <cellStyle name="輔色2 6 4 3" xfId="1743" xr:uid="{00000000-0005-0000-0000-0000CF060000}"/>
    <cellStyle name="輔色2 6 5" xfId="1744" xr:uid="{00000000-0005-0000-0000-0000D0060000}"/>
    <cellStyle name="輔色2 6 6" xfId="1745" xr:uid="{00000000-0005-0000-0000-0000D1060000}"/>
    <cellStyle name="輔色2 7" xfId="1746" xr:uid="{00000000-0005-0000-0000-0000D2060000}"/>
    <cellStyle name="輔色2 8" xfId="1747" xr:uid="{00000000-0005-0000-0000-0000D3060000}"/>
    <cellStyle name="輔色2 9" xfId="1748" xr:uid="{00000000-0005-0000-0000-0000D4060000}"/>
    <cellStyle name="輔色3" xfId="1749" builtinId="37" customBuiltin="1"/>
    <cellStyle name="輔色3 10" xfId="1750" xr:uid="{00000000-0005-0000-0000-0000D6060000}"/>
    <cellStyle name="輔色3 2" xfId="1751" xr:uid="{00000000-0005-0000-0000-0000D7060000}"/>
    <cellStyle name="輔色3 2 2" xfId="1752" xr:uid="{00000000-0005-0000-0000-0000D8060000}"/>
    <cellStyle name="輔色3 2 2 2" xfId="1753" xr:uid="{00000000-0005-0000-0000-0000D9060000}"/>
    <cellStyle name="輔色3 2 2 3" xfId="1754" xr:uid="{00000000-0005-0000-0000-0000DA060000}"/>
    <cellStyle name="輔色3 2 2 4" xfId="1755" xr:uid="{00000000-0005-0000-0000-0000DB060000}"/>
    <cellStyle name="輔色3 2 3" xfId="1756" xr:uid="{00000000-0005-0000-0000-0000DC060000}"/>
    <cellStyle name="輔色3 2 3 2" xfId="1757" xr:uid="{00000000-0005-0000-0000-0000DD060000}"/>
    <cellStyle name="輔色3 2 3 3" xfId="1758" xr:uid="{00000000-0005-0000-0000-0000DE060000}"/>
    <cellStyle name="輔色3 2 3 4" xfId="1759" xr:uid="{00000000-0005-0000-0000-0000DF060000}"/>
    <cellStyle name="輔色3 3" xfId="1760" xr:uid="{00000000-0005-0000-0000-0000E0060000}"/>
    <cellStyle name="輔色3 3 2" xfId="1761" xr:uid="{00000000-0005-0000-0000-0000E1060000}"/>
    <cellStyle name="輔色3 3 3" xfId="1762" xr:uid="{00000000-0005-0000-0000-0000E2060000}"/>
    <cellStyle name="輔色3 4" xfId="1763" xr:uid="{00000000-0005-0000-0000-0000E3060000}"/>
    <cellStyle name="輔色3 4 2" xfId="1764" xr:uid="{00000000-0005-0000-0000-0000E4060000}"/>
    <cellStyle name="輔色3 5" xfId="1765" xr:uid="{00000000-0005-0000-0000-0000E5060000}"/>
    <cellStyle name="輔色3 6" xfId="1766" xr:uid="{00000000-0005-0000-0000-0000E6060000}"/>
    <cellStyle name="輔色3 6 2" xfId="1767" xr:uid="{00000000-0005-0000-0000-0000E7060000}"/>
    <cellStyle name="輔色3 6 3" xfId="1768" xr:uid="{00000000-0005-0000-0000-0000E8060000}"/>
    <cellStyle name="輔色3 6 4" xfId="1769" xr:uid="{00000000-0005-0000-0000-0000E9060000}"/>
    <cellStyle name="輔色3 6 4 2" xfId="1770" xr:uid="{00000000-0005-0000-0000-0000EA060000}"/>
    <cellStyle name="輔色3 6 4 3" xfId="1771" xr:uid="{00000000-0005-0000-0000-0000EB060000}"/>
    <cellStyle name="輔色3 6 5" xfId="1772" xr:uid="{00000000-0005-0000-0000-0000EC060000}"/>
    <cellStyle name="輔色3 6 6" xfId="1773" xr:uid="{00000000-0005-0000-0000-0000ED060000}"/>
    <cellStyle name="輔色3 7" xfId="1774" xr:uid="{00000000-0005-0000-0000-0000EE060000}"/>
    <cellStyle name="輔色3 8" xfId="1775" xr:uid="{00000000-0005-0000-0000-0000EF060000}"/>
    <cellStyle name="輔色3 9" xfId="1776" xr:uid="{00000000-0005-0000-0000-0000F0060000}"/>
    <cellStyle name="輔色4" xfId="1777" builtinId="41" customBuiltin="1"/>
    <cellStyle name="輔色4 10" xfId="1778" xr:uid="{00000000-0005-0000-0000-0000F2060000}"/>
    <cellStyle name="輔色4 2" xfId="1779" xr:uid="{00000000-0005-0000-0000-0000F3060000}"/>
    <cellStyle name="輔色4 2 2" xfId="1780" xr:uid="{00000000-0005-0000-0000-0000F4060000}"/>
    <cellStyle name="輔色4 2 2 2" xfId="1781" xr:uid="{00000000-0005-0000-0000-0000F5060000}"/>
    <cellStyle name="輔色4 2 2 3" xfId="1782" xr:uid="{00000000-0005-0000-0000-0000F6060000}"/>
    <cellStyle name="輔色4 2 2 4" xfId="1783" xr:uid="{00000000-0005-0000-0000-0000F7060000}"/>
    <cellStyle name="輔色4 2 3" xfId="1784" xr:uid="{00000000-0005-0000-0000-0000F8060000}"/>
    <cellStyle name="輔色4 2 3 2" xfId="1785" xr:uid="{00000000-0005-0000-0000-0000F9060000}"/>
    <cellStyle name="輔色4 2 3 3" xfId="1786" xr:uid="{00000000-0005-0000-0000-0000FA060000}"/>
    <cellStyle name="輔色4 2 3 4" xfId="1787" xr:uid="{00000000-0005-0000-0000-0000FB060000}"/>
    <cellStyle name="輔色4 3" xfId="1788" xr:uid="{00000000-0005-0000-0000-0000FC060000}"/>
    <cellStyle name="輔色4 3 2" xfId="1789" xr:uid="{00000000-0005-0000-0000-0000FD060000}"/>
    <cellStyle name="輔色4 3 3" xfId="1790" xr:uid="{00000000-0005-0000-0000-0000FE060000}"/>
    <cellStyle name="輔色4 4" xfId="1791" xr:uid="{00000000-0005-0000-0000-0000FF060000}"/>
    <cellStyle name="輔色4 4 2" xfId="1792" xr:uid="{00000000-0005-0000-0000-000000070000}"/>
    <cellStyle name="輔色4 5" xfId="1793" xr:uid="{00000000-0005-0000-0000-000001070000}"/>
    <cellStyle name="輔色4 6" xfId="1794" xr:uid="{00000000-0005-0000-0000-000002070000}"/>
    <cellStyle name="輔色4 6 2" xfId="1795" xr:uid="{00000000-0005-0000-0000-000003070000}"/>
    <cellStyle name="輔色4 6 3" xfId="1796" xr:uid="{00000000-0005-0000-0000-000004070000}"/>
    <cellStyle name="輔色4 6 4" xfId="1797" xr:uid="{00000000-0005-0000-0000-000005070000}"/>
    <cellStyle name="輔色4 6 4 2" xfId="1798" xr:uid="{00000000-0005-0000-0000-000006070000}"/>
    <cellStyle name="輔色4 6 4 3" xfId="1799" xr:uid="{00000000-0005-0000-0000-000007070000}"/>
    <cellStyle name="輔色4 6 5" xfId="1800" xr:uid="{00000000-0005-0000-0000-000008070000}"/>
    <cellStyle name="輔色4 6 6" xfId="1801" xr:uid="{00000000-0005-0000-0000-000009070000}"/>
    <cellStyle name="輔色4 7" xfId="1802" xr:uid="{00000000-0005-0000-0000-00000A070000}"/>
    <cellStyle name="輔色4 8" xfId="1803" xr:uid="{00000000-0005-0000-0000-00000B070000}"/>
    <cellStyle name="輔色4 9" xfId="1804" xr:uid="{00000000-0005-0000-0000-00000C070000}"/>
    <cellStyle name="輔色5" xfId="1805" builtinId="45" customBuiltin="1"/>
    <cellStyle name="輔色5 2" xfId="1806" xr:uid="{00000000-0005-0000-0000-00000E070000}"/>
    <cellStyle name="輔色5 2 2" xfId="1807" xr:uid="{00000000-0005-0000-0000-00000F070000}"/>
    <cellStyle name="輔色5 2 2 2" xfId="1808" xr:uid="{00000000-0005-0000-0000-000010070000}"/>
    <cellStyle name="輔色5 2 2 3" xfId="1809" xr:uid="{00000000-0005-0000-0000-000011070000}"/>
    <cellStyle name="輔色5 2 2 4" xfId="1810" xr:uid="{00000000-0005-0000-0000-000012070000}"/>
    <cellStyle name="輔色5 2 3" xfId="1811" xr:uid="{00000000-0005-0000-0000-000013070000}"/>
    <cellStyle name="輔色5 2 3 2" xfId="1812" xr:uid="{00000000-0005-0000-0000-000014070000}"/>
    <cellStyle name="輔色5 2 3 3" xfId="1813" xr:uid="{00000000-0005-0000-0000-000015070000}"/>
    <cellStyle name="輔色5 2 3 4" xfId="1814" xr:uid="{00000000-0005-0000-0000-000016070000}"/>
    <cellStyle name="輔色5 3" xfId="1815" xr:uid="{00000000-0005-0000-0000-000017070000}"/>
    <cellStyle name="輔色5 3 2" xfId="1816" xr:uid="{00000000-0005-0000-0000-000018070000}"/>
    <cellStyle name="輔色5 3 3" xfId="1817" xr:uid="{00000000-0005-0000-0000-000019070000}"/>
    <cellStyle name="輔色5 4" xfId="1818" xr:uid="{00000000-0005-0000-0000-00001A070000}"/>
    <cellStyle name="輔色5 5" xfId="1819" xr:uid="{00000000-0005-0000-0000-00001B070000}"/>
    <cellStyle name="輔色5 5 2" xfId="1820" xr:uid="{00000000-0005-0000-0000-00001C070000}"/>
    <cellStyle name="輔色5 5 3" xfId="1821" xr:uid="{00000000-0005-0000-0000-00001D070000}"/>
    <cellStyle name="輔色5 5 4" xfId="1822" xr:uid="{00000000-0005-0000-0000-00001E070000}"/>
    <cellStyle name="輔色5 5 4 2" xfId="1823" xr:uid="{00000000-0005-0000-0000-00001F070000}"/>
    <cellStyle name="輔色5 5 4 3" xfId="1824" xr:uid="{00000000-0005-0000-0000-000020070000}"/>
    <cellStyle name="輔色5 5 5" xfId="1825" xr:uid="{00000000-0005-0000-0000-000021070000}"/>
    <cellStyle name="輔色5 5 6" xfId="1826" xr:uid="{00000000-0005-0000-0000-000022070000}"/>
    <cellStyle name="輔色5 6" xfId="1827" xr:uid="{00000000-0005-0000-0000-000023070000}"/>
    <cellStyle name="輔色5 7" xfId="1828" xr:uid="{00000000-0005-0000-0000-000024070000}"/>
    <cellStyle name="輔色5 8" xfId="1829" xr:uid="{00000000-0005-0000-0000-000025070000}"/>
    <cellStyle name="輔色5 9" xfId="1830" xr:uid="{00000000-0005-0000-0000-000026070000}"/>
    <cellStyle name="輔色6" xfId="1831" builtinId="49" customBuiltin="1"/>
    <cellStyle name="輔色6 10" xfId="1832" xr:uid="{00000000-0005-0000-0000-000028070000}"/>
    <cellStyle name="輔色6 2" xfId="1833" xr:uid="{00000000-0005-0000-0000-000029070000}"/>
    <cellStyle name="輔色6 2 2" xfId="1834" xr:uid="{00000000-0005-0000-0000-00002A070000}"/>
    <cellStyle name="輔色6 2 2 2" xfId="1835" xr:uid="{00000000-0005-0000-0000-00002B070000}"/>
    <cellStyle name="輔色6 2 2 3" xfId="1836" xr:uid="{00000000-0005-0000-0000-00002C070000}"/>
    <cellStyle name="輔色6 2 2 4" xfId="1837" xr:uid="{00000000-0005-0000-0000-00002D070000}"/>
    <cellStyle name="輔色6 2 3" xfId="1838" xr:uid="{00000000-0005-0000-0000-00002E070000}"/>
    <cellStyle name="輔色6 2 3 2" xfId="1839" xr:uid="{00000000-0005-0000-0000-00002F070000}"/>
    <cellStyle name="輔色6 2 3 3" xfId="1840" xr:uid="{00000000-0005-0000-0000-000030070000}"/>
    <cellStyle name="輔色6 2 3 4" xfId="1841" xr:uid="{00000000-0005-0000-0000-000031070000}"/>
    <cellStyle name="輔色6 3" xfId="1842" xr:uid="{00000000-0005-0000-0000-000032070000}"/>
    <cellStyle name="輔色6 3 2" xfId="1843" xr:uid="{00000000-0005-0000-0000-000033070000}"/>
    <cellStyle name="輔色6 3 3" xfId="1844" xr:uid="{00000000-0005-0000-0000-000034070000}"/>
    <cellStyle name="輔色6 4" xfId="1845" xr:uid="{00000000-0005-0000-0000-000035070000}"/>
    <cellStyle name="輔色6 4 2" xfId="1846" xr:uid="{00000000-0005-0000-0000-000036070000}"/>
    <cellStyle name="輔色6 5" xfId="1847" xr:uid="{00000000-0005-0000-0000-000037070000}"/>
    <cellStyle name="輔色6 6" xfId="1848" xr:uid="{00000000-0005-0000-0000-000038070000}"/>
    <cellStyle name="輔色6 6 2" xfId="1849" xr:uid="{00000000-0005-0000-0000-000039070000}"/>
    <cellStyle name="輔色6 6 3" xfId="1850" xr:uid="{00000000-0005-0000-0000-00003A070000}"/>
    <cellStyle name="輔色6 6 4" xfId="1851" xr:uid="{00000000-0005-0000-0000-00003B070000}"/>
    <cellStyle name="輔色6 6 4 2" xfId="1852" xr:uid="{00000000-0005-0000-0000-00003C070000}"/>
    <cellStyle name="輔色6 6 4 3" xfId="1853" xr:uid="{00000000-0005-0000-0000-00003D070000}"/>
    <cellStyle name="輔色6 6 5" xfId="1854" xr:uid="{00000000-0005-0000-0000-00003E070000}"/>
    <cellStyle name="輔色6 6 6" xfId="1855" xr:uid="{00000000-0005-0000-0000-00003F070000}"/>
    <cellStyle name="輔色6 7" xfId="1856" xr:uid="{00000000-0005-0000-0000-000040070000}"/>
    <cellStyle name="輔色6 8" xfId="1857" xr:uid="{00000000-0005-0000-0000-000041070000}"/>
    <cellStyle name="輔色6 9" xfId="1858" xr:uid="{00000000-0005-0000-0000-000042070000}"/>
    <cellStyle name="標題" xfId="1859" builtinId="15" customBuiltin="1"/>
    <cellStyle name="標題 1" xfId="1860" builtinId="16" customBuiltin="1"/>
    <cellStyle name="標題 1 10" xfId="1861" xr:uid="{00000000-0005-0000-0000-000045070000}"/>
    <cellStyle name="標題 1 2" xfId="1862" xr:uid="{00000000-0005-0000-0000-000046070000}"/>
    <cellStyle name="標題 1 2 2" xfId="1863" xr:uid="{00000000-0005-0000-0000-000047070000}"/>
    <cellStyle name="標題 1 2 2 2" xfId="1864" xr:uid="{00000000-0005-0000-0000-000048070000}"/>
    <cellStyle name="標題 1 2 2 3" xfId="1865" xr:uid="{00000000-0005-0000-0000-000049070000}"/>
    <cellStyle name="標題 1 2 2 4" xfId="1866" xr:uid="{00000000-0005-0000-0000-00004A070000}"/>
    <cellStyle name="標題 1 2 3" xfId="1867" xr:uid="{00000000-0005-0000-0000-00004B070000}"/>
    <cellStyle name="標題 1 3" xfId="1868" xr:uid="{00000000-0005-0000-0000-00004C070000}"/>
    <cellStyle name="標題 1 3 2" xfId="1869" xr:uid="{00000000-0005-0000-0000-00004D070000}"/>
    <cellStyle name="標題 1 3 3" xfId="1870" xr:uid="{00000000-0005-0000-0000-00004E070000}"/>
    <cellStyle name="標題 1 4" xfId="1871" xr:uid="{00000000-0005-0000-0000-00004F070000}"/>
    <cellStyle name="標題 1 4 2" xfId="1872" xr:uid="{00000000-0005-0000-0000-000050070000}"/>
    <cellStyle name="標題 1 5" xfId="1873" xr:uid="{00000000-0005-0000-0000-000051070000}"/>
    <cellStyle name="標題 1 6" xfId="1874" xr:uid="{00000000-0005-0000-0000-000052070000}"/>
    <cellStyle name="標題 1 6 2" xfId="1875" xr:uid="{00000000-0005-0000-0000-000053070000}"/>
    <cellStyle name="標題 1 6 3" xfId="1876" xr:uid="{00000000-0005-0000-0000-000054070000}"/>
    <cellStyle name="標題 1 6 4" xfId="1877" xr:uid="{00000000-0005-0000-0000-000055070000}"/>
    <cellStyle name="標題 1 6 4 2" xfId="1878" xr:uid="{00000000-0005-0000-0000-000056070000}"/>
    <cellStyle name="標題 1 6 4 3" xfId="1879" xr:uid="{00000000-0005-0000-0000-000057070000}"/>
    <cellStyle name="標題 1 6 5" xfId="1880" xr:uid="{00000000-0005-0000-0000-000058070000}"/>
    <cellStyle name="標題 1 6 6" xfId="1881" xr:uid="{00000000-0005-0000-0000-000059070000}"/>
    <cellStyle name="標題 1 7" xfId="1882" xr:uid="{00000000-0005-0000-0000-00005A070000}"/>
    <cellStyle name="標題 1 8" xfId="1883" xr:uid="{00000000-0005-0000-0000-00005B070000}"/>
    <cellStyle name="標題 1 9" xfId="1884" xr:uid="{00000000-0005-0000-0000-00005C070000}"/>
    <cellStyle name="標題 10" xfId="1885" xr:uid="{00000000-0005-0000-0000-00005D070000}"/>
    <cellStyle name="標題 11" xfId="1886" xr:uid="{00000000-0005-0000-0000-00005E070000}"/>
    <cellStyle name="標題 12" xfId="1887" xr:uid="{00000000-0005-0000-0000-00005F070000}"/>
    <cellStyle name="標題 13" xfId="1888" xr:uid="{00000000-0005-0000-0000-000060070000}"/>
    <cellStyle name="標題 2" xfId="1889" builtinId="17" customBuiltin="1"/>
    <cellStyle name="標題 2 10" xfId="1890" xr:uid="{00000000-0005-0000-0000-000062070000}"/>
    <cellStyle name="標題 2 2" xfId="1891" xr:uid="{00000000-0005-0000-0000-000063070000}"/>
    <cellStyle name="標題 2 2 2" xfId="1892" xr:uid="{00000000-0005-0000-0000-000064070000}"/>
    <cellStyle name="標題 2 2 2 2" xfId="1893" xr:uid="{00000000-0005-0000-0000-000065070000}"/>
    <cellStyle name="標題 2 2 2 3" xfId="1894" xr:uid="{00000000-0005-0000-0000-000066070000}"/>
    <cellStyle name="標題 2 2 2 4" xfId="1895" xr:uid="{00000000-0005-0000-0000-000067070000}"/>
    <cellStyle name="標題 2 2 3" xfId="1896" xr:uid="{00000000-0005-0000-0000-000068070000}"/>
    <cellStyle name="標題 2 3" xfId="1897" xr:uid="{00000000-0005-0000-0000-000069070000}"/>
    <cellStyle name="標題 2 3 2" xfId="1898" xr:uid="{00000000-0005-0000-0000-00006A070000}"/>
    <cellStyle name="標題 2 3 3" xfId="1899" xr:uid="{00000000-0005-0000-0000-00006B070000}"/>
    <cellStyle name="標題 2 4" xfId="1900" xr:uid="{00000000-0005-0000-0000-00006C070000}"/>
    <cellStyle name="標題 2 4 2" xfId="1901" xr:uid="{00000000-0005-0000-0000-00006D070000}"/>
    <cellStyle name="標題 2 5" xfId="1902" xr:uid="{00000000-0005-0000-0000-00006E070000}"/>
    <cellStyle name="標題 2 6" xfId="1903" xr:uid="{00000000-0005-0000-0000-00006F070000}"/>
    <cellStyle name="標題 2 6 2" xfId="1904" xr:uid="{00000000-0005-0000-0000-000070070000}"/>
    <cellStyle name="標題 2 6 3" xfId="1905" xr:uid="{00000000-0005-0000-0000-000071070000}"/>
    <cellStyle name="標題 2 6 4" xfId="1906" xr:uid="{00000000-0005-0000-0000-000072070000}"/>
    <cellStyle name="標題 2 6 4 2" xfId="1907" xr:uid="{00000000-0005-0000-0000-000073070000}"/>
    <cellStyle name="標題 2 6 4 3" xfId="1908" xr:uid="{00000000-0005-0000-0000-000074070000}"/>
    <cellStyle name="標題 2 6 5" xfId="1909" xr:uid="{00000000-0005-0000-0000-000075070000}"/>
    <cellStyle name="標題 2 6 6" xfId="1910" xr:uid="{00000000-0005-0000-0000-000076070000}"/>
    <cellStyle name="標題 2 7" xfId="1911" xr:uid="{00000000-0005-0000-0000-000077070000}"/>
    <cellStyle name="標題 2 8" xfId="1912" xr:uid="{00000000-0005-0000-0000-000078070000}"/>
    <cellStyle name="標題 2 9" xfId="1913" xr:uid="{00000000-0005-0000-0000-000079070000}"/>
    <cellStyle name="標題 3" xfId="1914" builtinId="18" customBuiltin="1"/>
    <cellStyle name="標題 3 10" xfId="1915" xr:uid="{00000000-0005-0000-0000-00007B070000}"/>
    <cellStyle name="標題 3 2" xfId="1916" xr:uid="{00000000-0005-0000-0000-00007C070000}"/>
    <cellStyle name="標題 3 2 2" xfId="1917" xr:uid="{00000000-0005-0000-0000-00007D070000}"/>
    <cellStyle name="標題 3 2 2 2" xfId="1918" xr:uid="{00000000-0005-0000-0000-00007E070000}"/>
    <cellStyle name="標題 3 2 2 3" xfId="1919" xr:uid="{00000000-0005-0000-0000-00007F070000}"/>
    <cellStyle name="標題 3 2 2 4" xfId="1920" xr:uid="{00000000-0005-0000-0000-000080070000}"/>
    <cellStyle name="標題 3 2 3" xfId="1921" xr:uid="{00000000-0005-0000-0000-000081070000}"/>
    <cellStyle name="標題 3 3" xfId="1922" xr:uid="{00000000-0005-0000-0000-000082070000}"/>
    <cellStyle name="標題 3 3 2" xfId="1923" xr:uid="{00000000-0005-0000-0000-000083070000}"/>
    <cellStyle name="標題 3 3 3" xfId="1924" xr:uid="{00000000-0005-0000-0000-000084070000}"/>
    <cellStyle name="標題 3 4" xfId="1925" xr:uid="{00000000-0005-0000-0000-000085070000}"/>
    <cellStyle name="標題 3 4 2" xfId="1926" xr:uid="{00000000-0005-0000-0000-000086070000}"/>
    <cellStyle name="標題 3 5" xfId="1927" xr:uid="{00000000-0005-0000-0000-000087070000}"/>
    <cellStyle name="標題 3 6" xfId="1928" xr:uid="{00000000-0005-0000-0000-000088070000}"/>
    <cellStyle name="標題 3 6 2" xfId="1929" xr:uid="{00000000-0005-0000-0000-000089070000}"/>
    <cellStyle name="標題 3 6 3" xfId="1930" xr:uid="{00000000-0005-0000-0000-00008A070000}"/>
    <cellStyle name="標題 3 6 4" xfId="1931" xr:uid="{00000000-0005-0000-0000-00008B070000}"/>
    <cellStyle name="標題 3 6 4 2" xfId="1932" xr:uid="{00000000-0005-0000-0000-00008C070000}"/>
    <cellStyle name="標題 3 6 4 3" xfId="1933" xr:uid="{00000000-0005-0000-0000-00008D070000}"/>
    <cellStyle name="標題 3 6 5" xfId="1934" xr:uid="{00000000-0005-0000-0000-00008E070000}"/>
    <cellStyle name="標題 3 6 6" xfId="1935" xr:uid="{00000000-0005-0000-0000-00008F070000}"/>
    <cellStyle name="標題 3 7" xfId="1936" xr:uid="{00000000-0005-0000-0000-000090070000}"/>
    <cellStyle name="標題 3 8" xfId="1937" xr:uid="{00000000-0005-0000-0000-000091070000}"/>
    <cellStyle name="標題 3 9" xfId="1938" xr:uid="{00000000-0005-0000-0000-000092070000}"/>
    <cellStyle name="標題 4" xfId="1939" builtinId="19" customBuiltin="1"/>
    <cellStyle name="標題 4 10" xfId="1940" xr:uid="{00000000-0005-0000-0000-000094070000}"/>
    <cellStyle name="標題 4 2" xfId="1941" xr:uid="{00000000-0005-0000-0000-000095070000}"/>
    <cellStyle name="標題 4 2 2" xfId="1942" xr:uid="{00000000-0005-0000-0000-000096070000}"/>
    <cellStyle name="標題 4 2 2 2" xfId="1943" xr:uid="{00000000-0005-0000-0000-000097070000}"/>
    <cellStyle name="標題 4 2 2 3" xfId="1944" xr:uid="{00000000-0005-0000-0000-000098070000}"/>
    <cellStyle name="標題 4 2 2 4" xfId="1945" xr:uid="{00000000-0005-0000-0000-000099070000}"/>
    <cellStyle name="標題 4 2 3" xfId="1946" xr:uid="{00000000-0005-0000-0000-00009A070000}"/>
    <cellStyle name="標題 4 3" xfId="1947" xr:uid="{00000000-0005-0000-0000-00009B070000}"/>
    <cellStyle name="標題 4 3 2" xfId="1948" xr:uid="{00000000-0005-0000-0000-00009C070000}"/>
    <cellStyle name="標題 4 3 3" xfId="1949" xr:uid="{00000000-0005-0000-0000-00009D070000}"/>
    <cellStyle name="標題 4 4" xfId="1950" xr:uid="{00000000-0005-0000-0000-00009E070000}"/>
    <cellStyle name="標題 4 4 2" xfId="1951" xr:uid="{00000000-0005-0000-0000-00009F070000}"/>
    <cellStyle name="標題 4 5" xfId="1952" xr:uid="{00000000-0005-0000-0000-0000A0070000}"/>
    <cellStyle name="標題 4 6" xfId="1953" xr:uid="{00000000-0005-0000-0000-0000A1070000}"/>
    <cellStyle name="標題 4 6 2" xfId="1954" xr:uid="{00000000-0005-0000-0000-0000A2070000}"/>
    <cellStyle name="標題 4 6 3" xfId="1955" xr:uid="{00000000-0005-0000-0000-0000A3070000}"/>
    <cellStyle name="標題 4 6 4" xfId="1956" xr:uid="{00000000-0005-0000-0000-0000A4070000}"/>
    <cellStyle name="標題 4 6 4 2" xfId="1957" xr:uid="{00000000-0005-0000-0000-0000A5070000}"/>
    <cellStyle name="標題 4 6 4 3" xfId="1958" xr:uid="{00000000-0005-0000-0000-0000A6070000}"/>
    <cellStyle name="標題 4 6 5" xfId="1959" xr:uid="{00000000-0005-0000-0000-0000A7070000}"/>
    <cellStyle name="標題 4 6 6" xfId="1960" xr:uid="{00000000-0005-0000-0000-0000A8070000}"/>
    <cellStyle name="標題 4 7" xfId="1961" xr:uid="{00000000-0005-0000-0000-0000A9070000}"/>
    <cellStyle name="標題 4 8" xfId="1962" xr:uid="{00000000-0005-0000-0000-0000AA070000}"/>
    <cellStyle name="標題 4 9" xfId="1963" xr:uid="{00000000-0005-0000-0000-0000AB070000}"/>
    <cellStyle name="標題 5" xfId="1964" xr:uid="{00000000-0005-0000-0000-0000AC070000}"/>
    <cellStyle name="標題 5 2" xfId="1965" xr:uid="{00000000-0005-0000-0000-0000AD070000}"/>
    <cellStyle name="標題 5 2 2" xfId="1966" xr:uid="{00000000-0005-0000-0000-0000AE070000}"/>
    <cellStyle name="標題 5 2 3" xfId="1967" xr:uid="{00000000-0005-0000-0000-0000AF070000}"/>
    <cellStyle name="標題 5 2 4" xfId="1968" xr:uid="{00000000-0005-0000-0000-0000B0070000}"/>
    <cellStyle name="標題 5 3" xfId="1969" xr:uid="{00000000-0005-0000-0000-0000B1070000}"/>
    <cellStyle name="標題 6" xfId="1970" xr:uid="{00000000-0005-0000-0000-0000B2070000}"/>
    <cellStyle name="標題 6 2" xfId="1971" xr:uid="{00000000-0005-0000-0000-0000B3070000}"/>
    <cellStyle name="標題 6 3" xfId="1972" xr:uid="{00000000-0005-0000-0000-0000B4070000}"/>
    <cellStyle name="標題 7" xfId="1973" xr:uid="{00000000-0005-0000-0000-0000B5070000}"/>
    <cellStyle name="標題 7 2" xfId="1974" xr:uid="{00000000-0005-0000-0000-0000B6070000}"/>
    <cellStyle name="標題 8" xfId="1975" xr:uid="{00000000-0005-0000-0000-0000B7070000}"/>
    <cellStyle name="標題 9" xfId="1976" xr:uid="{00000000-0005-0000-0000-0000B8070000}"/>
    <cellStyle name="標題 9 2" xfId="1977" xr:uid="{00000000-0005-0000-0000-0000B9070000}"/>
    <cellStyle name="標題 9 3" xfId="1978" xr:uid="{00000000-0005-0000-0000-0000BA070000}"/>
    <cellStyle name="標題 9 4" xfId="1979" xr:uid="{00000000-0005-0000-0000-0000BB070000}"/>
    <cellStyle name="標題 9 4 2" xfId="1980" xr:uid="{00000000-0005-0000-0000-0000BC070000}"/>
    <cellStyle name="標題 9 4 3" xfId="1981" xr:uid="{00000000-0005-0000-0000-0000BD070000}"/>
    <cellStyle name="標題 9 5" xfId="1982" xr:uid="{00000000-0005-0000-0000-0000BE070000}"/>
    <cellStyle name="標題 9 6" xfId="1983" xr:uid="{00000000-0005-0000-0000-0000BF070000}"/>
    <cellStyle name="輸入" xfId="1984" builtinId="20" customBuiltin="1"/>
    <cellStyle name="輸入 10" xfId="1985" xr:uid="{00000000-0005-0000-0000-0000C1070000}"/>
    <cellStyle name="輸入 2" xfId="1986" xr:uid="{00000000-0005-0000-0000-0000C2070000}"/>
    <cellStyle name="輸入 2 2" xfId="1987" xr:uid="{00000000-0005-0000-0000-0000C3070000}"/>
    <cellStyle name="輸入 2 2 2" xfId="1988" xr:uid="{00000000-0005-0000-0000-0000C4070000}"/>
    <cellStyle name="輸入 2 2 3" xfId="1989" xr:uid="{00000000-0005-0000-0000-0000C5070000}"/>
    <cellStyle name="輸入 2 2 4" xfId="1990" xr:uid="{00000000-0005-0000-0000-0000C6070000}"/>
    <cellStyle name="輸入 2 3" xfId="1991" xr:uid="{00000000-0005-0000-0000-0000C7070000}"/>
    <cellStyle name="輸入 2 3 2" xfId="1992" xr:uid="{00000000-0005-0000-0000-0000C8070000}"/>
    <cellStyle name="輸入 2 3 3" xfId="1993" xr:uid="{00000000-0005-0000-0000-0000C9070000}"/>
    <cellStyle name="輸入 2 3 4" xfId="1994" xr:uid="{00000000-0005-0000-0000-0000CA070000}"/>
    <cellStyle name="輸入 3" xfId="1995" xr:uid="{00000000-0005-0000-0000-0000CB070000}"/>
    <cellStyle name="輸入 3 2" xfId="1996" xr:uid="{00000000-0005-0000-0000-0000CC070000}"/>
    <cellStyle name="輸入 3 3" xfId="1997" xr:uid="{00000000-0005-0000-0000-0000CD070000}"/>
    <cellStyle name="輸入 4" xfId="1998" xr:uid="{00000000-0005-0000-0000-0000CE070000}"/>
    <cellStyle name="輸入 4 2" xfId="1999" xr:uid="{00000000-0005-0000-0000-0000CF070000}"/>
    <cellStyle name="輸入 5" xfId="2000" xr:uid="{00000000-0005-0000-0000-0000D0070000}"/>
    <cellStyle name="輸入 6" xfId="2001" xr:uid="{00000000-0005-0000-0000-0000D1070000}"/>
    <cellStyle name="輸入 6 2" xfId="2002" xr:uid="{00000000-0005-0000-0000-0000D2070000}"/>
    <cellStyle name="輸入 6 3" xfId="2003" xr:uid="{00000000-0005-0000-0000-0000D3070000}"/>
    <cellStyle name="輸入 6 4" xfId="2004" xr:uid="{00000000-0005-0000-0000-0000D4070000}"/>
    <cellStyle name="輸入 6 4 2" xfId="2005" xr:uid="{00000000-0005-0000-0000-0000D5070000}"/>
    <cellStyle name="輸入 6 4 3" xfId="2006" xr:uid="{00000000-0005-0000-0000-0000D6070000}"/>
    <cellStyle name="輸入 6 5" xfId="2007" xr:uid="{00000000-0005-0000-0000-0000D7070000}"/>
    <cellStyle name="輸入 6 6" xfId="2008" xr:uid="{00000000-0005-0000-0000-0000D8070000}"/>
    <cellStyle name="輸入 7" xfId="2009" xr:uid="{00000000-0005-0000-0000-0000D9070000}"/>
    <cellStyle name="輸入 8" xfId="2010" xr:uid="{00000000-0005-0000-0000-0000DA070000}"/>
    <cellStyle name="輸入 9" xfId="2011" xr:uid="{00000000-0005-0000-0000-0000DB070000}"/>
    <cellStyle name="輸出" xfId="2012" builtinId="21" customBuiltin="1"/>
    <cellStyle name="輸出 10" xfId="2013" xr:uid="{00000000-0005-0000-0000-0000DD070000}"/>
    <cellStyle name="輸出 2" xfId="2014" xr:uid="{00000000-0005-0000-0000-0000DE070000}"/>
    <cellStyle name="輸出 2 2" xfId="2015" xr:uid="{00000000-0005-0000-0000-0000DF070000}"/>
    <cellStyle name="輸出 2 2 2" xfId="2016" xr:uid="{00000000-0005-0000-0000-0000E0070000}"/>
    <cellStyle name="輸出 2 2 3" xfId="2017" xr:uid="{00000000-0005-0000-0000-0000E1070000}"/>
    <cellStyle name="輸出 2 2 4" xfId="2018" xr:uid="{00000000-0005-0000-0000-0000E2070000}"/>
    <cellStyle name="輸出 2 3" xfId="2019" xr:uid="{00000000-0005-0000-0000-0000E3070000}"/>
    <cellStyle name="輸出 2 3 2" xfId="2020" xr:uid="{00000000-0005-0000-0000-0000E4070000}"/>
    <cellStyle name="輸出 2 3 3" xfId="2021" xr:uid="{00000000-0005-0000-0000-0000E5070000}"/>
    <cellStyle name="輸出 2 3 4" xfId="2022" xr:uid="{00000000-0005-0000-0000-0000E6070000}"/>
    <cellStyle name="輸出 3" xfId="2023" xr:uid="{00000000-0005-0000-0000-0000E7070000}"/>
    <cellStyle name="輸出 3 2" xfId="2024" xr:uid="{00000000-0005-0000-0000-0000E8070000}"/>
    <cellStyle name="輸出 3 3" xfId="2025" xr:uid="{00000000-0005-0000-0000-0000E9070000}"/>
    <cellStyle name="輸出 4" xfId="2026" xr:uid="{00000000-0005-0000-0000-0000EA070000}"/>
    <cellStyle name="輸出 4 2" xfId="2027" xr:uid="{00000000-0005-0000-0000-0000EB070000}"/>
    <cellStyle name="輸出 5" xfId="2028" xr:uid="{00000000-0005-0000-0000-0000EC070000}"/>
    <cellStyle name="輸出 6" xfId="2029" xr:uid="{00000000-0005-0000-0000-0000ED070000}"/>
    <cellStyle name="輸出 6 2" xfId="2030" xr:uid="{00000000-0005-0000-0000-0000EE070000}"/>
    <cellStyle name="輸出 6 3" xfId="2031" xr:uid="{00000000-0005-0000-0000-0000EF070000}"/>
    <cellStyle name="輸出 6 4" xfId="2032" xr:uid="{00000000-0005-0000-0000-0000F0070000}"/>
    <cellStyle name="輸出 6 4 2" xfId="2033" xr:uid="{00000000-0005-0000-0000-0000F1070000}"/>
    <cellStyle name="輸出 6 4 3" xfId="2034" xr:uid="{00000000-0005-0000-0000-0000F2070000}"/>
    <cellStyle name="輸出 6 5" xfId="2035" xr:uid="{00000000-0005-0000-0000-0000F3070000}"/>
    <cellStyle name="輸出 6 6" xfId="2036" xr:uid="{00000000-0005-0000-0000-0000F4070000}"/>
    <cellStyle name="輸出 7" xfId="2037" xr:uid="{00000000-0005-0000-0000-0000F5070000}"/>
    <cellStyle name="輸出 8" xfId="2038" xr:uid="{00000000-0005-0000-0000-0000F6070000}"/>
    <cellStyle name="輸出 9" xfId="2039" xr:uid="{00000000-0005-0000-0000-0000F7070000}"/>
    <cellStyle name="檢查儲存格" xfId="2040" builtinId="23" customBuiltin="1"/>
    <cellStyle name="檢查儲存格 2" xfId="2041" xr:uid="{00000000-0005-0000-0000-0000F9070000}"/>
    <cellStyle name="檢查儲存格 2 2" xfId="2042" xr:uid="{00000000-0005-0000-0000-0000FA070000}"/>
    <cellStyle name="檢查儲存格 2 2 2" xfId="2043" xr:uid="{00000000-0005-0000-0000-0000FB070000}"/>
    <cellStyle name="檢查儲存格 2 2 3" xfId="2044" xr:uid="{00000000-0005-0000-0000-0000FC070000}"/>
    <cellStyle name="檢查儲存格 2 2 4" xfId="2045" xr:uid="{00000000-0005-0000-0000-0000FD070000}"/>
    <cellStyle name="檢查儲存格 2 3" xfId="2046" xr:uid="{00000000-0005-0000-0000-0000FE070000}"/>
    <cellStyle name="檢查儲存格 2 3 2" xfId="2047" xr:uid="{00000000-0005-0000-0000-0000FF070000}"/>
    <cellStyle name="檢查儲存格 2 3 3" xfId="2048" xr:uid="{00000000-0005-0000-0000-000000080000}"/>
    <cellStyle name="檢查儲存格 2 3 4" xfId="2049" xr:uid="{00000000-0005-0000-0000-000001080000}"/>
    <cellStyle name="檢查儲存格 3" xfId="2050" xr:uid="{00000000-0005-0000-0000-000002080000}"/>
    <cellStyle name="檢查儲存格 3 2" xfId="2051" xr:uid="{00000000-0005-0000-0000-000003080000}"/>
    <cellStyle name="檢查儲存格 3 3" xfId="2052" xr:uid="{00000000-0005-0000-0000-000004080000}"/>
    <cellStyle name="檢查儲存格 4" xfId="2053" xr:uid="{00000000-0005-0000-0000-000005080000}"/>
    <cellStyle name="檢查儲存格 5" xfId="2054" xr:uid="{00000000-0005-0000-0000-000006080000}"/>
    <cellStyle name="檢查儲存格 5 2" xfId="2055" xr:uid="{00000000-0005-0000-0000-000007080000}"/>
    <cellStyle name="檢查儲存格 5 3" xfId="2056" xr:uid="{00000000-0005-0000-0000-000008080000}"/>
    <cellStyle name="檢查儲存格 5 4" xfId="2057" xr:uid="{00000000-0005-0000-0000-000009080000}"/>
    <cellStyle name="檢查儲存格 5 4 2" xfId="2058" xr:uid="{00000000-0005-0000-0000-00000A080000}"/>
    <cellStyle name="檢查儲存格 5 4 3" xfId="2059" xr:uid="{00000000-0005-0000-0000-00000B080000}"/>
    <cellStyle name="檢查儲存格 5 5" xfId="2060" xr:uid="{00000000-0005-0000-0000-00000C080000}"/>
    <cellStyle name="檢查儲存格 5 6" xfId="2061" xr:uid="{00000000-0005-0000-0000-00000D080000}"/>
    <cellStyle name="檢查儲存格 6" xfId="2062" xr:uid="{00000000-0005-0000-0000-00000E080000}"/>
    <cellStyle name="檢查儲存格 7" xfId="2063" xr:uid="{00000000-0005-0000-0000-00000F080000}"/>
    <cellStyle name="檢查儲存格 8" xfId="2064" xr:uid="{00000000-0005-0000-0000-000010080000}"/>
    <cellStyle name="檢查儲存格 9" xfId="2065" xr:uid="{00000000-0005-0000-0000-000011080000}"/>
    <cellStyle name="壞" xfId="2066" builtinId="27" customBuiltin="1"/>
    <cellStyle name="壞 10" xfId="2067" xr:uid="{00000000-0005-0000-0000-000013080000}"/>
    <cellStyle name="壞 2" xfId="2068" xr:uid="{00000000-0005-0000-0000-000014080000}"/>
    <cellStyle name="壞 2 2" xfId="2069" xr:uid="{00000000-0005-0000-0000-000015080000}"/>
    <cellStyle name="壞 2 2 2" xfId="2070" xr:uid="{00000000-0005-0000-0000-000016080000}"/>
    <cellStyle name="壞 2 2 3" xfId="2071" xr:uid="{00000000-0005-0000-0000-000017080000}"/>
    <cellStyle name="壞 2 2 4" xfId="2072" xr:uid="{00000000-0005-0000-0000-000018080000}"/>
    <cellStyle name="壞 2 3" xfId="2073" xr:uid="{00000000-0005-0000-0000-000019080000}"/>
    <cellStyle name="壞 2 3 2" xfId="2074" xr:uid="{00000000-0005-0000-0000-00001A080000}"/>
    <cellStyle name="壞 2 3 3" xfId="2075" xr:uid="{00000000-0005-0000-0000-00001B080000}"/>
    <cellStyle name="壞 2 3 4" xfId="2076" xr:uid="{00000000-0005-0000-0000-00001C080000}"/>
    <cellStyle name="壞 3" xfId="2077" xr:uid="{00000000-0005-0000-0000-00001D080000}"/>
    <cellStyle name="壞 3 2" xfId="2078" xr:uid="{00000000-0005-0000-0000-00001E080000}"/>
    <cellStyle name="壞 3 3" xfId="2079" xr:uid="{00000000-0005-0000-0000-00001F080000}"/>
    <cellStyle name="壞 4" xfId="2080" xr:uid="{00000000-0005-0000-0000-000020080000}"/>
    <cellStyle name="壞 4 2" xfId="2081" xr:uid="{00000000-0005-0000-0000-000021080000}"/>
    <cellStyle name="壞 5" xfId="2082" xr:uid="{00000000-0005-0000-0000-000022080000}"/>
    <cellStyle name="壞 6" xfId="2083" xr:uid="{00000000-0005-0000-0000-000023080000}"/>
    <cellStyle name="壞 6 2" xfId="2084" xr:uid="{00000000-0005-0000-0000-000024080000}"/>
    <cellStyle name="壞 6 3" xfId="2085" xr:uid="{00000000-0005-0000-0000-000025080000}"/>
    <cellStyle name="壞 6 4" xfId="2086" xr:uid="{00000000-0005-0000-0000-000026080000}"/>
    <cellStyle name="壞 6 4 2" xfId="2087" xr:uid="{00000000-0005-0000-0000-000027080000}"/>
    <cellStyle name="壞 6 4 3" xfId="2088" xr:uid="{00000000-0005-0000-0000-000028080000}"/>
    <cellStyle name="壞 6 5" xfId="2089" xr:uid="{00000000-0005-0000-0000-000029080000}"/>
    <cellStyle name="壞 6 6" xfId="2090" xr:uid="{00000000-0005-0000-0000-00002A080000}"/>
    <cellStyle name="壞 7" xfId="2091" xr:uid="{00000000-0005-0000-0000-00002B080000}"/>
    <cellStyle name="壞 8" xfId="2092" xr:uid="{00000000-0005-0000-0000-00002C080000}"/>
    <cellStyle name="壞 9" xfId="2093" xr:uid="{00000000-0005-0000-0000-00002D080000}"/>
    <cellStyle name="壞_100學年度第2學期智育前百分之99表-1" xfId="2094" xr:uid="{00000000-0005-0000-0000-00002E080000}"/>
    <cellStyle name="壞_1011學生名條(教師版)0903" xfId="2095" xr:uid="{00000000-0005-0000-0000-00002F080000}"/>
    <cellStyle name="壞_1031免學費及各類減免學雜費(有公式)-電子資訊應外體育23年級" xfId="2096" xr:uid="{00000000-0005-0000-0000-000030080000}"/>
    <cellStyle name="壞_Sheet1" xfId="2097" xr:uid="{00000000-0005-0000-0000-000031080000}"/>
    <cellStyle name="壞_Sheet1_Sheet2" xfId="2098" xr:uid="{00000000-0005-0000-0000-000032080000}"/>
    <cellStyle name="壞_Sheet2" xfId="2099" xr:uid="{00000000-0005-0000-0000-000033080000}"/>
    <cellStyle name="壞_工作表1" xfId="2100" xr:uid="{00000000-0005-0000-0000-000034080000}"/>
    <cellStyle name="壞_各項簡章購買" xfId="2101" xr:uid="{00000000-0005-0000-0000-000035080000}"/>
    <cellStyle name="壞_查用表" xfId="2102" xr:uid="{00000000-0005-0000-0000-000036080000}"/>
    <cellStyle name="壞_查用表_1" xfId="2103" xr:uid="{00000000-0005-0000-0000-000037080000}"/>
    <cellStyle name="壞_查表" xfId="2104" xr:uid="{00000000-0005-0000-0000-000038080000}"/>
    <cellStyle name="壞_復學重讀名冊" xfId="2105" xr:uid="{00000000-0005-0000-0000-000039080000}"/>
    <cellStyle name="警告文字" xfId="2106" builtinId="11" customBuiltin="1"/>
    <cellStyle name="警告文字 2" xfId="2107" xr:uid="{00000000-0005-0000-0000-00003B080000}"/>
    <cellStyle name="警告文字 2 2" xfId="2108" xr:uid="{00000000-0005-0000-0000-00003C080000}"/>
    <cellStyle name="警告文字 2 2 2" xfId="2109" xr:uid="{00000000-0005-0000-0000-00003D080000}"/>
    <cellStyle name="警告文字 2 2 3" xfId="2110" xr:uid="{00000000-0005-0000-0000-00003E080000}"/>
    <cellStyle name="警告文字 2 2 4" xfId="2111" xr:uid="{00000000-0005-0000-0000-00003F080000}"/>
    <cellStyle name="警告文字 2 3" xfId="2112" xr:uid="{00000000-0005-0000-0000-000040080000}"/>
    <cellStyle name="警告文字 2 3 2" xfId="2113" xr:uid="{00000000-0005-0000-0000-000041080000}"/>
    <cellStyle name="警告文字 2 3 3" xfId="2114" xr:uid="{00000000-0005-0000-0000-000042080000}"/>
    <cellStyle name="警告文字 2 3 4" xfId="2115" xr:uid="{00000000-0005-0000-0000-000043080000}"/>
    <cellStyle name="警告文字 3" xfId="2116" xr:uid="{00000000-0005-0000-0000-000044080000}"/>
    <cellStyle name="警告文字 3 2" xfId="2117" xr:uid="{00000000-0005-0000-0000-000045080000}"/>
    <cellStyle name="警告文字 3 3" xfId="2118" xr:uid="{00000000-0005-0000-0000-000046080000}"/>
    <cellStyle name="警告文字 4" xfId="2119" xr:uid="{00000000-0005-0000-0000-000047080000}"/>
    <cellStyle name="警告文字 5" xfId="2120" xr:uid="{00000000-0005-0000-0000-000048080000}"/>
    <cellStyle name="警告文字 5 2" xfId="2121" xr:uid="{00000000-0005-0000-0000-000049080000}"/>
    <cellStyle name="警告文字 5 3" xfId="2122" xr:uid="{00000000-0005-0000-0000-00004A080000}"/>
    <cellStyle name="警告文字 5 4" xfId="2123" xr:uid="{00000000-0005-0000-0000-00004B080000}"/>
    <cellStyle name="警告文字 5 4 2" xfId="2124" xr:uid="{00000000-0005-0000-0000-00004C080000}"/>
    <cellStyle name="警告文字 5 4 3" xfId="2125" xr:uid="{00000000-0005-0000-0000-00004D080000}"/>
    <cellStyle name="警告文字 5 5" xfId="2126" xr:uid="{00000000-0005-0000-0000-00004E080000}"/>
    <cellStyle name="警告文字 5 6" xfId="2127" xr:uid="{00000000-0005-0000-0000-00004F080000}"/>
    <cellStyle name="警告文字 6" xfId="2128" xr:uid="{00000000-0005-0000-0000-000050080000}"/>
    <cellStyle name="警告文字 7" xfId="2129" xr:uid="{00000000-0005-0000-0000-000051080000}"/>
    <cellStyle name="警告文字 8" xfId="2130" xr:uid="{00000000-0005-0000-0000-000052080000}"/>
    <cellStyle name="警告文字 9" xfId="2131" xr:uid="{00000000-0005-0000-0000-000053080000}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solid">
          <bgColor rgb="FFFFFF00"/>
        </patternFill>
      </fill>
    </dxf>
    <dxf>
      <alignment vertical="center" readingOrder="0"/>
    </dxf>
    <dxf>
      <alignment horizontal="left" readingOrder="0"/>
    </dxf>
    <dxf>
      <font>
        <sz val="12"/>
      </font>
    </dxf>
    <dxf>
      <font>
        <name val="標楷體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6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6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6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6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6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6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6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6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6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6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6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6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6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6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6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6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6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6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6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6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6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6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6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6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6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6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6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6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6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6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6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6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6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6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6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6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6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6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6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6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6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6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6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6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6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6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6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6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6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6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6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6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6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6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6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6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6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6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6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6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6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6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6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6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4" name="Butto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6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5" name="Button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6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6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6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6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6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6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6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6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6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6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6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6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6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6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6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6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6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6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6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6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6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6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6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6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6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6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6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6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6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6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6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6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6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6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6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6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6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6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6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6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6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6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6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6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6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6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6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6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6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6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6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6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6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6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6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6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6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6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6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6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6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6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6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6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6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6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6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6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6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6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6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6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6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6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6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6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6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6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6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6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6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6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6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6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6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6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6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6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6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6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6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6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6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6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6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6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6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6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6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6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6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6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6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6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6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6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6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6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6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6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6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6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6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6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6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6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6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6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6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6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6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6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6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6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6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6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6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6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6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6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6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6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6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6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6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6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6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6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6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6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6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6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6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6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6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6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6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6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6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6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6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6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6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6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6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6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6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6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6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6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6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6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6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6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6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6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6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6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6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6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6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6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6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6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6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6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6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6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6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6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6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6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6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6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6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6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6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6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6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6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6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6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6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6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6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6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6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6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2" name="Button 508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6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3" name="Button 509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6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4" name="Button 510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6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5" name="Button 511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6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6" name="Button 512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6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7" name="Button 513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6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8" name="Button 514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6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39" name="Button 515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6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40" name="Button 516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6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41" name="Button 517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6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42" name="Button 518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6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45" name="Button 521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6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46" name="Button 522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6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2" name="Button 528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6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3" name="Button 529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6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4" name="Button 530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6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5" name="Button 531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00000000-0008-0000-06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6" name="Button 532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00000000-0008-0000-06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7" name="Button 533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00000000-0008-0000-06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8" name="Button 534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00000000-0008-0000-06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59" name="Button 535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00000000-0008-0000-06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0" name="Button 536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00000000-0008-0000-06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1" name="Button 537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00000000-0008-0000-06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2" name="Button 538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00000000-0008-0000-06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3" name="Button 539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00000000-0008-0000-06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4" name="Button 540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id="{00000000-0008-0000-06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5" name="Button 541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id="{00000000-0008-0000-06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6" name="Button 542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id="{00000000-0008-0000-06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7" name="Button 543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id="{00000000-0008-0000-06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8" name="Button 544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id="{00000000-0008-0000-06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69" name="Button 545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id="{00000000-0008-0000-06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72" name="Button 548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id="{00000000-0008-0000-06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573" name="Button 549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id="{00000000-0008-0000-06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id="{00000000-0008-0000-06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0" name="Button 556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id="{00000000-0008-0000-06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1" name="Button 557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id="{00000000-0008-0000-06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2" name="Button 558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id="{00000000-0008-0000-06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3" name="Button 559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id="{00000000-0008-0000-06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4" name="Button 560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id="{00000000-0008-0000-06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5" name="Button 561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id="{00000000-0008-0000-06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6" name="Button 562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id="{00000000-0008-0000-06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7" name="Button 563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id="{00000000-0008-0000-06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8" name="Button 564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id="{00000000-0008-0000-06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89" name="Button 565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id="{00000000-0008-0000-06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0" name="Button 566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id="{00000000-0008-0000-06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1" name="Button 567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id="{00000000-0008-0000-06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2" name="Button 568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id="{00000000-0008-0000-06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3" name="Button 569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id="{00000000-0008-0000-06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4" name="Button 570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id="{00000000-0008-0000-06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5" name="Button 571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id="{00000000-0008-0000-06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6" name="Button 572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id="{00000000-0008-0000-06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7" name="Button 573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id="{00000000-0008-0000-06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8" name="Button 574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id="{00000000-0008-0000-06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599" name="Button 575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id="{00000000-0008-0000-06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0" name="Button 576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id="{00000000-0008-0000-06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1" name="Button 577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id="{00000000-0008-0000-06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2" name="Button 578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id="{00000000-0008-0000-06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3" name="Button 579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6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4" name="Button 580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id="{00000000-0008-0000-06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5" name="Button 581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id="{00000000-0008-0000-06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6" name="Button 582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id="{00000000-0008-0000-06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7" name="Button 583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id="{00000000-0008-0000-06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8" name="Button 584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id="{00000000-0008-0000-06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09" name="Button 585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id="{00000000-0008-0000-06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10" name="Button 586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id="{00000000-0008-0000-06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11" name="Button 587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id="{00000000-0008-0000-06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6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12700</xdr:colOff>
          <xdr:row>0</xdr:row>
          <xdr:rowOff>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6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14" name="Button 590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id="{00000000-0008-0000-06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15" name="Button 591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id="{00000000-0008-0000-06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16" name="Button 592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id="{00000000-0008-0000-06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17" name="Button 593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id="{00000000-0008-0000-06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18" name="Button 594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id="{00000000-0008-0000-06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19" name="Button 595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6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0" name="Button 596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6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1" name="Button 597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6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2" name="Button 598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6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3" name="Button 599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6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4" name="Button 600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6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5" name="Button 601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6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6" name="Button 602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6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7" name="Button 603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6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8" name="Button 604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6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29" name="Button 605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6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30" name="Button 606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6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31" name="Button 607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6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34" name="Button 610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6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35" name="Button 611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6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1" name="Button 617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6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2" name="Button 618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6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3" name="Button 619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6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4" name="Button 620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6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5" name="Button 621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6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6" name="Button 622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6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7" name="Button 623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6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8" name="Button 624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6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49" name="Button 625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6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0" name="Button 626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6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1" name="Button 627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6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2" name="Button 628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6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3" name="Button 629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6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4" name="Button 630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6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5" name="Button 631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6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6" name="Button 632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6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7" name="Button 633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6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58" name="Button 634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6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61" name="Button 637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6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62" name="Button 638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6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68" name="Button 644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6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69" name="Button 645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6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0" name="Button 646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6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1" name="Button 647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6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2" name="Button 648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6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3" name="Button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6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4" name="Button 650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6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5" name="Button 65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6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6" name="Button 65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6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7" name="Button 65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6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8" name="Button 65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6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79" name="Button 65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6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0" name="Button 65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6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1" name="Button 65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6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2" name="Button 658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6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3" name="Button 659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6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4" name="Button 660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6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5" name="Button 661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6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8" name="Button 664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6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89" name="Button 665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6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6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6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6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6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6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6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6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6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6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6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6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6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6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6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6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10" name="Button 686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6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11" name="Button 687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6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12" name="Button 688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6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15" name="Button 691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6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16" name="Button 692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6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6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6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6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6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6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6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6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6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6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6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6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6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6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6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6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6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6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6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6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6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6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6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6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6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CFSounSung" charset="0"/>
                  <a:ea typeface="新細明體" charset="-120"/>
                </a:rPr>
                <a:t> 31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CFSounSung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6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細明體" charset="-120"/>
                  <a:ea typeface="細明體" charset="-120"/>
                </a:rPr>
                <a:t>一年級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6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細明體" charset="-120"/>
                  <a:ea typeface="細明體" charset="-120"/>
                </a:rPr>
                <a:t>一年級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0</xdr:rowOff>
        </xdr:from>
        <xdr:to>
          <xdr:col>1</xdr:col>
          <xdr:colOff>12700</xdr:colOff>
          <xdr:row>1</xdr:row>
          <xdr:rowOff>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6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細明體" charset="-120"/>
                  <a:ea typeface="細明體" charset="-120"/>
                </a:rPr>
                <a:t>一年級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35387;&#20874;&#32068;1050805/&#35387;&#20874;&#32068;/105&#23416;&#24180;&#24230;(105.8-106.7)/02&#23416;&#29983;&#21517;&#26781;/&#35387;&#20874;&#32068;/102&#23416;&#24180;&#24230;(102.8-103.7)/01&#32232;&#29677;/102&#26032;&#29983;&#32232;&#29677;/&#36039;&#26009;HITACHI/&#36039;&#26009;&#20633;&#20221;/&#35387;&#20874;&#32068;&#21332;&#21161;&#25945;&#24107;(95~99&#23416;&#24180;&#24230;)/98&#23416;&#24180;&#24230;/981&#25104;&#32318;&#27284;/&#26519;&#25919;&#27167;60G/&#35387;&#20874;&#32068;/9394&#23416;&#24180;&#24230;(93.8-95.7)/11&#25307;&#29983;/94&#30003;&#35531;&#20837;&#23416;/94&#30003;&#35531;&#20837;&#23416;&#31243;&#24335;&#20998;&#30332;/&#32218;&#19978;&#25104;&#32318;&#36664;&#20837;/&#23416;&#31185;/&#24544;&#20449;&#35352;&#20998;&#21934;(&#26377;&#36039;&#26009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26519;&#25919;&#27167;60G/&#35387;&#20874;&#32068;/9394&#23416;&#24180;&#24230;(93.8-95.7)/11&#25307;&#29983;/94&#30003;&#35531;&#20837;&#23416;/94&#30003;&#35531;&#20837;&#23416;&#31243;&#24335;&#20998;&#30332;/&#32218;&#19978;&#25104;&#32318;&#36664;&#20837;/&#23416;&#31185;/&#24544;&#20449;&#35352;&#20998;&#21934;(&#26377;&#36039;&#26009;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35387;&#20874;&#32068;1050805/&#35387;&#20874;&#32068;/105&#23416;&#24180;&#24230;(105.8-106.7)/02&#23416;&#29983;&#21517;&#26781;/&#35387;&#20874;&#32068;/102&#23416;&#24180;&#24230;(102.8-103.7)/01&#32232;&#29677;/102&#26032;&#29983;&#32232;&#29677;/&#26519;&#25919;&#27167;60G/&#35387;&#20874;&#32068;/9394&#23416;&#24180;&#24230;(93.8-95.7)/11&#25307;&#29983;/94&#30003;&#35531;&#20837;&#23416;/94&#30003;&#35531;&#20837;&#23416;&#31243;&#24335;&#20998;&#30332;/&#32218;&#19978;&#25104;&#32318;&#36664;&#20837;/&#23416;&#31185;/&#24544;&#20449;&#35352;&#20998;&#21934;(&#26377;&#36039;&#26009;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35387;&#20874;&#32068;1050805/&#35387;&#20874;&#32068;/105&#23416;&#24180;&#24230;(105.8-106.7)/02&#23416;&#29983;&#21517;&#26781;/&#35387;&#20874;&#32068;/102&#23416;&#24180;&#24230;(102.8-103.7)/01&#32232;&#29677;/102&#26032;&#29983;&#32232;&#29677;/&#36039;&#26009;HITACHI/&#36039;&#26009;&#20633;&#20221;/&#35387;&#20874;&#32068;&#21332;&#21161;&#25945;&#24107;(95~99&#23416;&#24180;&#24230;)/98&#23416;&#24180;&#24230;/981&#25104;&#32318;&#27284;/&#26519;&#25919;&#27167;60G/&#35387;&#20874;&#32068;/9394&#23416;&#24180;&#24230;(93.8-95.7)/11&#25307;&#29983;/94&#30003;&#35531;&#20837;&#23416;/94&#30003;&#35531;&#20837;&#23416;&#31243;&#24335;&#20998;&#30332;/&#32218;&#19978;&#25104;&#32318;&#36664;&#20837;/932&#25104;&#32318;&#27284;(&#23416;&#31185;)v24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26519;&#25919;&#27167;60G/&#35387;&#20874;&#32068;/9394&#23416;&#24180;&#24230;(93.8-95.7)/11&#25307;&#29983;/94&#30003;&#35531;&#20837;&#23416;/94&#30003;&#35531;&#20837;&#23416;&#31243;&#24335;&#20998;&#30332;/&#32218;&#19978;&#25104;&#32318;&#36664;&#20837;/932&#25104;&#32318;&#27284;(&#23416;&#31185;)v24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35387;&#20874;&#32068;1050805/&#35387;&#20874;&#32068;/105&#23416;&#24180;&#24230;(105.8-106.7)/02&#23416;&#29983;&#21517;&#26781;/&#35387;&#20874;&#32068;/102&#23416;&#24180;&#24230;(102.8-103.7)/01&#32232;&#29677;/102&#26032;&#29983;&#32232;&#29677;/&#26519;&#25919;&#27167;60G/&#35387;&#20874;&#32068;/9394&#23416;&#24180;&#24230;(93.8-95.7)/11&#25307;&#29983;/94&#30003;&#35531;&#20837;&#23416;/94&#30003;&#35531;&#20837;&#23416;&#31243;&#24335;&#20998;&#30332;/&#32218;&#19978;&#25104;&#32318;&#36664;&#20837;/932&#25104;&#32318;&#27284;(&#23416;&#31185;)v24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35387;&#20874;&#32068;1050805/&#35387;&#20874;&#32068;/105&#23416;&#24180;&#24230;(105.8-106.7)/02&#23416;&#29983;&#21517;&#26781;/Documents%20and%20Settings/USER/Local%20Settings/Temporary%20Internet%20Files/Content.IE5/3FL8IV0H/&#21508;&#23416;&#26399;&#24489;&#23416;&#12289;&#37325;&#35712;&#21517;&#20874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月考(平時)成績輸入表單"/>
      <sheetName val="成績分析表"/>
      <sheetName val="Module1"/>
      <sheetName val="成績一覽表"/>
      <sheetName val="條件設定"/>
      <sheetName val="SExit"/>
      <sheetName val="Print"/>
      <sheetName val="Exit"/>
    </sheetNames>
    <sheetDataSet>
      <sheetData sheetId="0">
        <row r="3">
          <cell r="D3">
            <v>89</v>
          </cell>
          <cell r="E3">
            <v>2</v>
          </cell>
          <cell r="N3">
            <v>47</v>
          </cell>
          <cell r="O3">
            <v>48</v>
          </cell>
          <cell r="P3">
            <v>48</v>
          </cell>
        </row>
        <row r="5">
          <cell r="A5" t="str">
            <v>學籍編號</v>
          </cell>
          <cell r="B5" t="str">
            <v>編號</v>
          </cell>
          <cell r="C5" t="str">
            <v>班級</v>
          </cell>
          <cell r="D5" t="str">
            <v>座號</v>
          </cell>
          <cell r="E5" t="str">
            <v>姓名</v>
          </cell>
          <cell r="F5" t="str">
            <v>月考(一)</v>
          </cell>
          <cell r="G5" t="str">
            <v>月考(二)</v>
          </cell>
          <cell r="H5" t="str">
            <v>月考(三)</v>
          </cell>
          <cell r="I5" t="str">
            <v>平時</v>
          </cell>
        </row>
        <row r="6">
          <cell r="B6">
            <v>1</v>
          </cell>
          <cell r="D6">
            <v>1</v>
          </cell>
          <cell r="E6" t="str">
            <v>王琦蒲</v>
          </cell>
          <cell r="F6">
            <v>62</v>
          </cell>
          <cell r="G6">
            <v>79</v>
          </cell>
          <cell r="H6">
            <v>4</v>
          </cell>
          <cell r="I6">
            <v>29</v>
          </cell>
        </row>
        <row r="7">
          <cell r="B7">
            <v>2</v>
          </cell>
          <cell r="D7">
            <v>2</v>
          </cell>
          <cell r="E7" t="str">
            <v>李晟瑋</v>
          </cell>
          <cell r="G7">
            <v>90</v>
          </cell>
          <cell r="H7">
            <v>8</v>
          </cell>
          <cell r="I7">
            <v>66</v>
          </cell>
        </row>
        <row r="8">
          <cell r="B8">
            <v>3</v>
          </cell>
          <cell r="D8">
            <v>3</v>
          </cell>
          <cell r="E8" t="str">
            <v>高益堂</v>
          </cell>
          <cell r="F8">
            <v>61</v>
          </cell>
          <cell r="G8">
            <v>30</v>
          </cell>
          <cell r="H8">
            <v>18</v>
          </cell>
          <cell r="I8">
            <v>87</v>
          </cell>
        </row>
        <row r="9">
          <cell r="B9">
            <v>4</v>
          </cell>
          <cell r="D9">
            <v>4</v>
          </cell>
          <cell r="E9" t="str">
            <v>高嘉詳</v>
          </cell>
          <cell r="F9">
            <v>52</v>
          </cell>
          <cell r="G9">
            <v>94</v>
          </cell>
          <cell r="H9">
            <v>63</v>
          </cell>
          <cell r="I9">
            <v>44</v>
          </cell>
        </row>
        <row r="10">
          <cell r="B10">
            <v>5</v>
          </cell>
          <cell r="D10">
            <v>5</v>
          </cell>
          <cell r="E10" t="str">
            <v>許貴霖</v>
          </cell>
          <cell r="F10">
            <v>70</v>
          </cell>
          <cell r="G10">
            <v>10</v>
          </cell>
          <cell r="H10">
            <v>19</v>
          </cell>
          <cell r="I10">
            <v>92</v>
          </cell>
        </row>
        <row r="11">
          <cell r="B11">
            <v>6</v>
          </cell>
          <cell r="D11">
            <v>6</v>
          </cell>
          <cell r="E11" t="str">
            <v>張聖欣</v>
          </cell>
          <cell r="F11">
            <v>100</v>
          </cell>
          <cell r="H11">
            <v>57</v>
          </cell>
          <cell r="I11">
            <v>69</v>
          </cell>
        </row>
        <row r="12">
          <cell r="B12">
            <v>7</v>
          </cell>
          <cell r="D12">
            <v>7</v>
          </cell>
          <cell r="E12" t="str">
            <v>張聖乾</v>
          </cell>
          <cell r="F12">
            <v>61</v>
          </cell>
          <cell r="G12">
            <v>79</v>
          </cell>
          <cell r="H12">
            <v>51</v>
          </cell>
          <cell r="I12">
            <v>86</v>
          </cell>
        </row>
        <row r="13">
          <cell r="B13">
            <v>8</v>
          </cell>
          <cell r="D13">
            <v>8</v>
          </cell>
          <cell r="E13" t="str">
            <v>黃宏彰</v>
          </cell>
          <cell r="F13">
            <v>87</v>
          </cell>
          <cell r="G13">
            <v>82</v>
          </cell>
          <cell r="H13">
            <v>88</v>
          </cell>
          <cell r="I13">
            <v>67</v>
          </cell>
        </row>
        <row r="14">
          <cell r="B14">
            <v>9</v>
          </cell>
          <cell r="D14">
            <v>9</v>
          </cell>
          <cell r="E14" t="str">
            <v>黃政岳</v>
          </cell>
          <cell r="F14">
            <v>31</v>
          </cell>
          <cell r="G14">
            <v>89</v>
          </cell>
          <cell r="H14">
            <v>56</v>
          </cell>
          <cell r="I14">
            <v>46</v>
          </cell>
        </row>
        <row r="15">
          <cell r="B15">
            <v>10</v>
          </cell>
          <cell r="D15">
            <v>10</v>
          </cell>
          <cell r="E15" t="str">
            <v>鄭智丞</v>
          </cell>
          <cell r="F15">
            <v>20</v>
          </cell>
          <cell r="G15">
            <v>14</v>
          </cell>
          <cell r="H15">
            <v>56</v>
          </cell>
          <cell r="I15">
            <v>79</v>
          </cell>
        </row>
        <row r="16">
          <cell r="B16">
            <v>11</v>
          </cell>
          <cell r="D16">
            <v>11</v>
          </cell>
          <cell r="E16" t="str">
            <v>王瓊玉</v>
          </cell>
          <cell r="F16">
            <v>91</v>
          </cell>
          <cell r="G16">
            <v>62</v>
          </cell>
          <cell r="H16">
            <v>59</v>
          </cell>
          <cell r="I16">
            <v>2</v>
          </cell>
        </row>
        <row r="17">
          <cell r="B17">
            <v>12</v>
          </cell>
          <cell r="D17">
            <v>12</v>
          </cell>
          <cell r="E17" t="str">
            <v>何宛真</v>
          </cell>
          <cell r="F17">
            <v>64</v>
          </cell>
          <cell r="G17">
            <v>55</v>
          </cell>
          <cell r="I17">
            <v>10</v>
          </cell>
        </row>
        <row r="18">
          <cell r="B18">
            <v>13</v>
          </cell>
          <cell r="D18">
            <v>13</v>
          </cell>
          <cell r="E18" t="str">
            <v>吳秋璇</v>
          </cell>
          <cell r="F18">
            <v>62</v>
          </cell>
          <cell r="G18">
            <v>2</v>
          </cell>
          <cell r="H18">
            <v>69</v>
          </cell>
          <cell r="I18">
            <v>13</v>
          </cell>
        </row>
        <row r="19">
          <cell r="B19">
            <v>14</v>
          </cell>
          <cell r="D19">
            <v>14</v>
          </cell>
          <cell r="E19" t="str">
            <v>呂珮華</v>
          </cell>
          <cell r="G19">
            <v>88</v>
          </cell>
          <cell r="H19">
            <v>32</v>
          </cell>
          <cell r="I19">
            <v>43</v>
          </cell>
        </row>
        <row r="20">
          <cell r="B20">
            <v>15</v>
          </cell>
          <cell r="D20">
            <v>16</v>
          </cell>
          <cell r="E20" t="str">
            <v>李苔菁</v>
          </cell>
          <cell r="F20">
            <v>81</v>
          </cell>
          <cell r="G20">
            <v>31</v>
          </cell>
          <cell r="H20">
            <v>47</v>
          </cell>
          <cell r="I20">
            <v>74</v>
          </cell>
        </row>
        <row r="21">
          <cell r="B21">
            <v>16</v>
          </cell>
          <cell r="D21">
            <v>17</v>
          </cell>
          <cell r="E21" t="str">
            <v>李雅萍</v>
          </cell>
          <cell r="F21">
            <v>7</v>
          </cell>
          <cell r="G21">
            <v>16</v>
          </cell>
          <cell r="H21">
            <v>94</v>
          </cell>
          <cell r="I21">
            <v>89</v>
          </cell>
        </row>
        <row r="22">
          <cell r="B22">
            <v>17</v>
          </cell>
          <cell r="D22">
            <v>18</v>
          </cell>
          <cell r="E22" t="str">
            <v>李嘉玉</v>
          </cell>
          <cell r="F22">
            <v>81</v>
          </cell>
          <cell r="G22">
            <v>93</v>
          </cell>
          <cell r="H22">
            <v>99</v>
          </cell>
          <cell r="I22">
            <v>73</v>
          </cell>
        </row>
        <row r="23">
          <cell r="B23">
            <v>18</v>
          </cell>
          <cell r="D23">
            <v>19</v>
          </cell>
          <cell r="E23" t="str">
            <v>林芝瑩</v>
          </cell>
          <cell r="F23">
            <v>97</v>
          </cell>
          <cell r="G23">
            <v>91</v>
          </cell>
          <cell r="H23">
            <v>54</v>
          </cell>
          <cell r="I23">
            <v>48</v>
          </cell>
        </row>
        <row r="24">
          <cell r="B24">
            <v>19</v>
          </cell>
          <cell r="D24">
            <v>20</v>
          </cell>
          <cell r="E24" t="str">
            <v>林欣儀</v>
          </cell>
          <cell r="F24">
            <v>69</v>
          </cell>
          <cell r="G24">
            <v>10</v>
          </cell>
          <cell r="H24">
            <v>36</v>
          </cell>
          <cell r="I24">
            <v>78</v>
          </cell>
        </row>
        <row r="25">
          <cell r="B25">
            <v>20</v>
          </cell>
          <cell r="D25">
            <v>21</v>
          </cell>
          <cell r="E25" t="str">
            <v>林姿妙</v>
          </cell>
          <cell r="F25">
            <v>93</v>
          </cell>
          <cell r="G25">
            <v>25</v>
          </cell>
          <cell r="H25">
            <v>60</v>
          </cell>
          <cell r="I25">
            <v>3</v>
          </cell>
        </row>
        <row r="26">
          <cell r="B26">
            <v>21</v>
          </cell>
          <cell r="D26">
            <v>22</v>
          </cell>
          <cell r="E26" t="str">
            <v>林曉沂</v>
          </cell>
          <cell r="F26">
            <v>76</v>
          </cell>
          <cell r="G26">
            <v>12</v>
          </cell>
          <cell r="H26">
            <v>36</v>
          </cell>
          <cell r="I26">
            <v>27</v>
          </cell>
        </row>
        <row r="27">
          <cell r="B27">
            <v>22</v>
          </cell>
          <cell r="D27">
            <v>23</v>
          </cell>
          <cell r="E27" t="str">
            <v>柯夙紋</v>
          </cell>
          <cell r="F27">
            <v>27</v>
          </cell>
          <cell r="G27">
            <v>64</v>
          </cell>
          <cell r="H27">
            <v>82</v>
          </cell>
          <cell r="I27">
            <v>79</v>
          </cell>
        </row>
        <row r="28">
          <cell r="B28">
            <v>23</v>
          </cell>
          <cell r="D28">
            <v>24</v>
          </cell>
          <cell r="E28" t="str">
            <v>紀梅蘭</v>
          </cell>
          <cell r="F28">
            <v>7</v>
          </cell>
          <cell r="G28">
            <v>8</v>
          </cell>
          <cell r="H28">
            <v>94</v>
          </cell>
          <cell r="I28">
            <v>74</v>
          </cell>
        </row>
        <row r="29">
          <cell r="B29">
            <v>24</v>
          </cell>
          <cell r="D29">
            <v>25</v>
          </cell>
          <cell r="E29" t="str">
            <v>洪綾濃</v>
          </cell>
          <cell r="F29">
            <v>83</v>
          </cell>
          <cell r="G29">
            <v>4</v>
          </cell>
          <cell r="H29">
            <v>63</v>
          </cell>
          <cell r="I29">
            <v>29</v>
          </cell>
        </row>
        <row r="30">
          <cell r="B30">
            <v>25</v>
          </cell>
          <cell r="D30">
            <v>26</v>
          </cell>
          <cell r="E30" t="str">
            <v>施雅芬</v>
          </cell>
          <cell r="F30">
            <v>63</v>
          </cell>
          <cell r="G30">
            <v>67</v>
          </cell>
          <cell r="H30">
            <v>51</v>
          </cell>
          <cell r="I30">
            <v>25</v>
          </cell>
        </row>
        <row r="31">
          <cell r="B31">
            <v>26</v>
          </cell>
          <cell r="D31">
            <v>27</v>
          </cell>
          <cell r="E31" t="str">
            <v>梁雅雯</v>
          </cell>
          <cell r="F31">
            <v>32</v>
          </cell>
          <cell r="G31">
            <v>72</v>
          </cell>
          <cell r="H31">
            <v>33</v>
          </cell>
          <cell r="I31">
            <v>86</v>
          </cell>
        </row>
        <row r="32">
          <cell r="B32">
            <v>27</v>
          </cell>
          <cell r="D32">
            <v>28</v>
          </cell>
          <cell r="E32" t="str">
            <v>張腕珊</v>
          </cell>
          <cell r="F32">
            <v>65</v>
          </cell>
          <cell r="G32">
            <v>72</v>
          </cell>
          <cell r="H32">
            <v>67</v>
          </cell>
          <cell r="I32">
            <v>74</v>
          </cell>
        </row>
        <row r="33">
          <cell r="B33">
            <v>28</v>
          </cell>
          <cell r="D33">
            <v>29</v>
          </cell>
          <cell r="E33" t="str">
            <v>張雅芳</v>
          </cell>
          <cell r="F33">
            <v>61</v>
          </cell>
          <cell r="G33">
            <v>34</v>
          </cell>
          <cell r="H33">
            <v>75</v>
          </cell>
          <cell r="I33">
            <v>57</v>
          </cell>
        </row>
        <row r="34">
          <cell r="B34">
            <v>29</v>
          </cell>
          <cell r="D34">
            <v>30</v>
          </cell>
          <cell r="E34" t="str">
            <v>張翠娟</v>
          </cell>
          <cell r="F34">
            <v>2</v>
          </cell>
          <cell r="G34">
            <v>60</v>
          </cell>
          <cell r="H34">
            <v>29</v>
          </cell>
          <cell r="I34">
            <v>79</v>
          </cell>
        </row>
        <row r="35">
          <cell r="B35">
            <v>30</v>
          </cell>
          <cell r="D35">
            <v>31</v>
          </cell>
          <cell r="E35" t="str">
            <v>郭民悅</v>
          </cell>
          <cell r="F35">
            <v>27</v>
          </cell>
          <cell r="G35">
            <v>1</v>
          </cell>
          <cell r="H35">
            <v>87</v>
          </cell>
          <cell r="I35">
            <v>58</v>
          </cell>
        </row>
        <row r="36">
          <cell r="B36">
            <v>31</v>
          </cell>
          <cell r="D36">
            <v>32</v>
          </cell>
          <cell r="E36" t="str">
            <v>陳巧秤</v>
          </cell>
          <cell r="F36">
            <v>44</v>
          </cell>
          <cell r="G36">
            <v>65</v>
          </cell>
          <cell r="H36">
            <v>80</v>
          </cell>
          <cell r="I36">
            <v>38</v>
          </cell>
        </row>
        <row r="37">
          <cell r="B37">
            <v>32</v>
          </cell>
          <cell r="D37">
            <v>33</v>
          </cell>
          <cell r="E37" t="str">
            <v>陳佩琪</v>
          </cell>
          <cell r="F37">
            <v>36</v>
          </cell>
          <cell r="G37">
            <v>97</v>
          </cell>
          <cell r="H37">
            <v>53</v>
          </cell>
          <cell r="I37">
            <v>67</v>
          </cell>
        </row>
        <row r="38">
          <cell r="B38">
            <v>33</v>
          </cell>
          <cell r="D38">
            <v>34</v>
          </cell>
          <cell r="E38" t="str">
            <v>陳秋伶</v>
          </cell>
          <cell r="F38">
            <v>78</v>
          </cell>
          <cell r="G38">
            <v>12</v>
          </cell>
          <cell r="H38">
            <v>83</v>
          </cell>
          <cell r="I38">
            <v>43</v>
          </cell>
        </row>
        <row r="39">
          <cell r="B39">
            <v>34</v>
          </cell>
          <cell r="D39">
            <v>35</v>
          </cell>
          <cell r="E39" t="str">
            <v>陳惠玫</v>
          </cell>
          <cell r="F39">
            <v>34</v>
          </cell>
          <cell r="G39">
            <v>90</v>
          </cell>
          <cell r="H39">
            <v>46</v>
          </cell>
          <cell r="I39">
            <v>27</v>
          </cell>
        </row>
        <row r="40">
          <cell r="B40">
            <v>35</v>
          </cell>
          <cell r="D40">
            <v>36</v>
          </cell>
          <cell r="E40" t="str">
            <v>陳瑋婷</v>
          </cell>
          <cell r="F40">
            <v>86</v>
          </cell>
          <cell r="G40">
            <v>6</v>
          </cell>
          <cell r="H40">
            <v>83</v>
          </cell>
          <cell r="I40">
            <v>74</v>
          </cell>
        </row>
        <row r="41">
          <cell r="B41">
            <v>36</v>
          </cell>
          <cell r="D41">
            <v>37</v>
          </cell>
          <cell r="E41" t="str">
            <v>陳慧娟</v>
          </cell>
          <cell r="F41">
            <v>76</v>
          </cell>
          <cell r="G41">
            <v>70</v>
          </cell>
          <cell r="H41">
            <v>6</v>
          </cell>
          <cell r="I41">
            <v>45</v>
          </cell>
        </row>
        <row r="42">
          <cell r="B42">
            <v>37</v>
          </cell>
          <cell r="D42">
            <v>38</v>
          </cell>
          <cell r="E42" t="str">
            <v>游佳玲</v>
          </cell>
          <cell r="F42">
            <v>67</v>
          </cell>
          <cell r="G42">
            <v>68</v>
          </cell>
          <cell r="H42">
            <v>62</v>
          </cell>
          <cell r="I42">
            <v>58</v>
          </cell>
        </row>
        <row r="43">
          <cell r="B43">
            <v>38</v>
          </cell>
          <cell r="D43">
            <v>39</v>
          </cell>
          <cell r="E43" t="str">
            <v>楊秋惠</v>
          </cell>
          <cell r="F43">
            <v>34</v>
          </cell>
          <cell r="G43">
            <v>26</v>
          </cell>
          <cell r="H43">
            <v>67</v>
          </cell>
          <cell r="I43">
            <v>52</v>
          </cell>
        </row>
        <row r="44">
          <cell r="B44">
            <v>39</v>
          </cell>
          <cell r="D44">
            <v>40</v>
          </cell>
          <cell r="E44" t="str">
            <v>葉怡秀</v>
          </cell>
          <cell r="F44">
            <v>50</v>
          </cell>
          <cell r="G44">
            <v>56</v>
          </cell>
          <cell r="H44">
            <v>8</v>
          </cell>
          <cell r="I44">
            <v>94</v>
          </cell>
        </row>
        <row r="45">
          <cell r="B45">
            <v>40</v>
          </cell>
          <cell r="D45">
            <v>41</v>
          </cell>
          <cell r="E45" t="str">
            <v>葉姵君</v>
          </cell>
          <cell r="F45">
            <v>39</v>
          </cell>
          <cell r="G45">
            <v>63</v>
          </cell>
          <cell r="H45">
            <v>39</v>
          </cell>
          <cell r="I45">
            <v>49</v>
          </cell>
        </row>
        <row r="46">
          <cell r="B46">
            <v>41</v>
          </cell>
          <cell r="D46">
            <v>43</v>
          </cell>
          <cell r="E46" t="str">
            <v>詹雅婷</v>
          </cell>
          <cell r="F46">
            <v>93</v>
          </cell>
          <cell r="G46">
            <v>16</v>
          </cell>
          <cell r="H46">
            <v>38</v>
          </cell>
          <cell r="I46">
            <v>45</v>
          </cell>
        </row>
        <row r="47">
          <cell r="B47">
            <v>42</v>
          </cell>
          <cell r="D47">
            <v>44</v>
          </cell>
          <cell r="E47" t="str">
            <v>詹惠珊</v>
          </cell>
          <cell r="F47">
            <v>54</v>
          </cell>
          <cell r="G47">
            <v>75</v>
          </cell>
          <cell r="H47">
            <v>80</v>
          </cell>
          <cell r="I47">
            <v>4</v>
          </cell>
        </row>
        <row r="48">
          <cell r="B48">
            <v>43</v>
          </cell>
          <cell r="D48">
            <v>45</v>
          </cell>
          <cell r="E48" t="str">
            <v>劉采燕</v>
          </cell>
          <cell r="F48">
            <v>39</v>
          </cell>
          <cell r="G48">
            <v>48</v>
          </cell>
          <cell r="H48">
            <v>91</v>
          </cell>
          <cell r="I48">
            <v>70</v>
          </cell>
        </row>
        <row r="49">
          <cell r="B49">
            <v>44</v>
          </cell>
          <cell r="D49">
            <v>46</v>
          </cell>
          <cell r="E49" t="str">
            <v>鄭雯如</v>
          </cell>
          <cell r="F49">
            <v>31</v>
          </cell>
          <cell r="G49">
            <v>99</v>
          </cell>
          <cell r="H49">
            <v>75</v>
          </cell>
          <cell r="I49">
            <v>82</v>
          </cell>
        </row>
        <row r="50">
          <cell r="B50">
            <v>45</v>
          </cell>
          <cell r="D50">
            <v>47</v>
          </cell>
          <cell r="E50" t="str">
            <v>賴紋萱</v>
          </cell>
          <cell r="F50">
            <v>63</v>
          </cell>
          <cell r="G50">
            <v>52</v>
          </cell>
          <cell r="H50">
            <v>67</v>
          </cell>
          <cell r="I50">
            <v>42</v>
          </cell>
        </row>
        <row r="51">
          <cell r="B51">
            <v>46</v>
          </cell>
          <cell r="D51">
            <v>48</v>
          </cell>
          <cell r="E51" t="str">
            <v>鍾玉梅</v>
          </cell>
          <cell r="F51">
            <v>30</v>
          </cell>
          <cell r="G51">
            <v>2</v>
          </cell>
          <cell r="H51">
            <v>20</v>
          </cell>
          <cell r="I51">
            <v>62</v>
          </cell>
        </row>
        <row r="52">
          <cell r="B52">
            <v>47</v>
          </cell>
          <cell r="D52">
            <v>49</v>
          </cell>
          <cell r="E52" t="str">
            <v>顏佳美</v>
          </cell>
          <cell r="F52">
            <v>57</v>
          </cell>
          <cell r="G52">
            <v>33</v>
          </cell>
          <cell r="H52">
            <v>23</v>
          </cell>
          <cell r="I52">
            <v>66</v>
          </cell>
        </row>
        <row r="53">
          <cell r="B53">
            <v>48</v>
          </cell>
          <cell r="D53">
            <v>50</v>
          </cell>
          <cell r="E53" t="str">
            <v>羅玉娟</v>
          </cell>
          <cell r="F53">
            <v>100</v>
          </cell>
          <cell r="G53">
            <v>20</v>
          </cell>
          <cell r="H53">
            <v>38</v>
          </cell>
          <cell r="I53">
            <v>5</v>
          </cell>
        </row>
        <row r="54">
          <cell r="B54">
            <v>49</v>
          </cell>
          <cell r="D54">
            <v>51</v>
          </cell>
          <cell r="E54" t="str">
            <v>賴文結</v>
          </cell>
          <cell r="F54">
            <v>49</v>
          </cell>
          <cell r="G54">
            <v>35</v>
          </cell>
          <cell r="H54">
            <v>55</v>
          </cell>
          <cell r="I54">
            <v>62</v>
          </cell>
        </row>
        <row r="55">
          <cell r="B55">
            <v>50</v>
          </cell>
        </row>
        <row r="56">
          <cell r="B56">
            <v>51</v>
          </cell>
        </row>
        <row r="57">
          <cell r="B57">
            <v>52</v>
          </cell>
        </row>
        <row r="58">
          <cell r="B58">
            <v>53</v>
          </cell>
        </row>
        <row r="59">
          <cell r="B59">
            <v>54</v>
          </cell>
        </row>
        <row r="60">
          <cell r="B60">
            <v>55</v>
          </cell>
        </row>
        <row r="61">
          <cell r="B61">
            <v>56</v>
          </cell>
        </row>
        <row r="62">
          <cell r="B62">
            <v>57</v>
          </cell>
        </row>
        <row r="63">
          <cell r="B63">
            <v>58</v>
          </cell>
        </row>
        <row r="64">
          <cell r="B64">
            <v>59</v>
          </cell>
        </row>
        <row r="65">
          <cell r="B65">
            <v>60</v>
          </cell>
        </row>
        <row r="66">
          <cell r="B66">
            <v>61</v>
          </cell>
        </row>
        <row r="67">
          <cell r="B67">
            <v>62</v>
          </cell>
        </row>
        <row r="68">
          <cell r="B68">
            <v>63</v>
          </cell>
        </row>
        <row r="69">
          <cell r="B69">
            <v>64</v>
          </cell>
        </row>
        <row r="70">
          <cell r="B70">
            <v>65</v>
          </cell>
        </row>
        <row r="71">
          <cell r="B71">
            <v>66</v>
          </cell>
        </row>
        <row r="72">
          <cell r="B72">
            <v>67</v>
          </cell>
        </row>
        <row r="73">
          <cell r="B73">
            <v>68</v>
          </cell>
        </row>
        <row r="74">
          <cell r="B74">
            <v>69</v>
          </cell>
        </row>
        <row r="75">
          <cell r="B75">
            <v>70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月考(平時)成績輸入表單"/>
      <sheetName val="成績分析表"/>
      <sheetName val="Module1"/>
      <sheetName val="成績一覽表"/>
      <sheetName val="條件設定"/>
      <sheetName val="SExit"/>
      <sheetName val="Print"/>
      <sheetName val="Exit"/>
    </sheetNames>
    <sheetDataSet>
      <sheetData sheetId="0">
        <row r="3">
          <cell r="D3">
            <v>89</v>
          </cell>
          <cell r="E3">
            <v>2</v>
          </cell>
          <cell r="N3">
            <v>47</v>
          </cell>
          <cell r="O3">
            <v>48</v>
          </cell>
          <cell r="P3">
            <v>48</v>
          </cell>
        </row>
        <row r="5">
          <cell r="A5" t="str">
            <v>學籍編號</v>
          </cell>
          <cell r="B5" t="str">
            <v>編號</v>
          </cell>
          <cell r="C5" t="str">
            <v>班級</v>
          </cell>
          <cell r="D5" t="str">
            <v>座號</v>
          </cell>
          <cell r="E5" t="str">
            <v>姓名</v>
          </cell>
          <cell r="F5" t="str">
            <v>月考(一)</v>
          </cell>
          <cell r="G5" t="str">
            <v>月考(二)</v>
          </cell>
          <cell r="H5" t="str">
            <v>月考(三)</v>
          </cell>
          <cell r="I5" t="str">
            <v>平時</v>
          </cell>
        </row>
        <row r="6">
          <cell r="B6">
            <v>1</v>
          </cell>
          <cell r="D6">
            <v>1</v>
          </cell>
          <cell r="E6" t="str">
            <v>王琦蒲</v>
          </cell>
          <cell r="F6">
            <v>62</v>
          </cell>
          <cell r="G6">
            <v>79</v>
          </cell>
          <cell r="H6">
            <v>4</v>
          </cell>
          <cell r="I6">
            <v>29</v>
          </cell>
        </row>
        <row r="7">
          <cell r="B7">
            <v>2</v>
          </cell>
          <cell r="D7">
            <v>2</v>
          </cell>
          <cell r="E7" t="str">
            <v>李晟瑋</v>
          </cell>
          <cell r="G7">
            <v>90</v>
          </cell>
          <cell r="H7">
            <v>8</v>
          </cell>
          <cell r="I7">
            <v>66</v>
          </cell>
        </row>
        <row r="8">
          <cell r="B8">
            <v>3</v>
          </cell>
          <cell r="D8">
            <v>3</v>
          </cell>
          <cell r="E8" t="str">
            <v>高益堂</v>
          </cell>
          <cell r="F8">
            <v>61</v>
          </cell>
          <cell r="G8">
            <v>30</v>
          </cell>
          <cell r="H8">
            <v>18</v>
          </cell>
          <cell r="I8">
            <v>87</v>
          </cell>
        </row>
        <row r="9">
          <cell r="B9">
            <v>4</v>
          </cell>
          <cell r="D9">
            <v>4</v>
          </cell>
          <cell r="E9" t="str">
            <v>高嘉詳</v>
          </cell>
          <cell r="F9">
            <v>52</v>
          </cell>
          <cell r="G9">
            <v>94</v>
          </cell>
          <cell r="H9">
            <v>63</v>
          </cell>
          <cell r="I9">
            <v>44</v>
          </cell>
        </row>
        <row r="10">
          <cell r="B10">
            <v>5</v>
          </cell>
          <cell r="D10">
            <v>5</v>
          </cell>
          <cell r="E10" t="str">
            <v>許貴霖</v>
          </cell>
          <cell r="F10">
            <v>70</v>
          </cell>
          <cell r="G10">
            <v>10</v>
          </cell>
          <cell r="H10">
            <v>19</v>
          </cell>
          <cell r="I10">
            <v>92</v>
          </cell>
        </row>
        <row r="11">
          <cell r="B11">
            <v>6</v>
          </cell>
          <cell r="D11">
            <v>6</v>
          </cell>
          <cell r="E11" t="str">
            <v>張聖欣</v>
          </cell>
          <cell r="F11">
            <v>100</v>
          </cell>
          <cell r="H11">
            <v>57</v>
          </cell>
          <cell r="I11">
            <v>69</v>
          </cell>
        </row>
        <row r="12">
          <cell r="B12">
            <v>7</v>
          </cell>
          <cell r="D12">
            <v>7</v>
          </cell>
          <cell r="E12" t="str">
            <v>張聖乾</v>
          </cell>
          <cell r="F12">
            <v>61</v>
          </cell>
          <cell r="G12">
            <v>79</v>
          </cell>
          <cell r="H12">
            <v>51</v>
          </cell>
          <cell r="I12">
            <v>86</v>
          </cell>
        </row>
        <row r="13">
          <cell r="B13">
            <v>8</v>
          </cell>
          <cell r="D13">
            <v>8</v>
          </cell>
          <cell r="E13" t="str">
            <v>黃宏彰</v>
          </cell>
          <cell r="F13">
            <v>87</v>
          </cell>
          <cell r="G13">
            <v>82</v>
          </cell>
          <cell r="H13">
            <v>88</v>
          </cell>
          <cell r="I13">
            <v>67</v>
          </cell>
        </row>
        <row r="14">
          <cell r="B14">
            <v>9</v>
          </cell>
          <cell r="D14">
            <v>9</v>
          </cell>
          <cell r="E14" t="str">
            <v>黃政岳</v>
          </cell>
          <cell r="F14">
            <v>31</v>
          </cell>
          <cell r="G14">
            <v>89</v>
          </cell>
          <cell r="H14">
            <v>56</v>
          </cell>
          <cell r="I14">
            <v>46</v>
          </cell>
        </row>
        <row r="15">
          <cell r="B15">
            <v>10</v>
          </cell>
          <cell r="D15">
            <v>10</v>
          </cell>
          <cell r="E15" t="str">
            <v>鄭智丞</v>
          </cell>
          <cell r="F15">
            <v>20</v>
          </cell>
          <cell r="G15">
            <v>14</v>
          </cell>
          <cell r="H15">
            <v>56</v>
          </cell>
          <cell r="I15">
            <v>79</v>
          </cell>
        </row>
        <row r="16">
          <cell r="B16">
            <v>11</v>
          </cell>
          <cell r="D16">
            <v>11</v>
          </cell>
          <cell r="E16" t="str">
            <v>王瓊玉</v>
          </cell>
          <cell r="F16">
            <v>91</v>
          </cell>
          <cell r="G16">
            <v>62</v>
          </cell>
          <cell r="H16">
            <v>59</v>
          </cell>
          <cell r="I16">
            <v>2</v>
          </cell>
        </row>
        <row r="17">
          <cell r="B17">
            <v>12</v>
          </cell>
          <cell r="D17">
            <v>12</v>
          </cell>
          <cell r="E17" t="str">
            <v>何宛真</v>
          </cell>
          <cell r="F17">
            <v>64</v>
          </cell>
          <cell r="G17">
            <v>55</v>
          </cell>
          <cell r="I17">
            <v>10</v>
          </cell>
        </row>
        <row r="18">
          <cell r="B18">
            <v>13</v>
          </cell>
          <cell r="D18">
            <v>13</v>
          </cell>
          <cell r="E18" t="str">
            <v>吳秋璇</v>
          </cell>
          <cell r="F18">
            <v>62</v>
          </cell>
          <cell r="G18">
            <v>2</v>
          </cell>
          <cell r="H18">
            <v>69</v>
          </cell>
          <cell r="I18">
            <v>13</v>
          </cell>
        </row>
        <row r="19">
          <cell r="B19">
            <v>14</v>
          </cell>
          <cell r="D19">
            <v>14</v>
          </cell>
          <cell r="E19" t="str">
            <v>呂珮華</v>
          </cell>
          <cell r="G19">
            <v>88</v>
          </cell>
          <cell r="H19">
            <v>32</v>
          </cell>
          <cell r="I19">
            <v>43</v>
          </cell>
        </row>
        <row r="20">
          <cell r="B20">
            <v>15</v>
          </cell>
          <cell r="D20">
            <v>16</v>
          </cell>
          <cell r="E20" t="str">
            <v>李苔菁</v>
          </cell>
          <cell r="F20">
            <v>81</v>
          </cell>
          <cell r="G20">
            <v>31</v>
          </cell>
          <cell r="H20">
            <v>47</v>
          </cell>
          <cell r="I20">
            <v>74</v>
          </cell>
        </row>
        <row r="21">
          <cell r="B21">
            <v>16</v>
          </cell>
          <cell r="D21">
            <v>17</v>
          </cell>
          <cell r="E21" t="str">
            <v>李雅萍</v>
          </cell>
          <cell r="F21">
            <v>7</v>
          </cell>
          <cell r="G21">
            <v>16</v>
          </cell>
          <cell r="H21">
            <v>94</v>
          </cell>
          <cell r="I21">
            <v>89</v>
          </cell>
        </row>
        <row r="22">
          <cell r="B22">
            <v>17</v>
          </cell>
          <cell r="D22">
            <v>18</v>
          </cell>
          <cell r="E22" t="str">
            <v>李嘉玉</v>
          </cell>
          <cell r="F22">
            <v>81</v>
          </cell>
          <cell r="G22">
            <v>93</v>
          </cell>
          <cell r="H22">
            <v>99</v>
          </cell>
          <cell r="I22">
            <v>73</v>
          </cell>
        </row>
        <row r="23">
          <cell r="B23">
            <v>18</v>
          </cell>
          <cell r="D23">
            <v>19</v>
          </cell>
          <cell r="E23" t="str">
            <v>林芝瑩</v>
          </cell>
          <cell r="F23">
            <v>97</v>
          </cell>
          <cell r="G23">
            <v>91</v>
          </cell>
          <cell r="H23">
            <v>54</v>
          </cell>
          <cell r="I23">
            <v>48</v>
          </cell>
        </row>
        <row r="24">
          <cell r="B24">
            <v>19</v>
          </cell>
          <cell r="D24">
            <v>20</v>
          </cell>
          <cell r="E24" t="str">
            <v>林欣儀</v>
          </cell>
          <cell r="F24">
            <v>69</v>
          </cell>
          <cell r="G24">
            <v>10</v>
          </cell>
          <cell r="H24">
            <v>36</v>
          </cell>
          <cell r="I24">
            <v>78</v>
          </cell>
        </row>
        <row r="25">
          <cell r="B25">
            <v>20</v>
          </cell>
          <cell r="D25">
            <v>21</v>
          </cell>
          <cell r="E25" t="str">
            <v>林姿妙</v>
          </cell>
          <cell r="F25">
            <v>93</v>
          </cell>
          <cell r="G25">
            <v>25</v>
          </cell>
          <cell r="H25">
            <v>60</v>
          </cell>
          <cell r="I25">
            <v>3</v>
          </cell>
        </row>
        <row r="26">
          <cell r="B26">
            <v>21</v>
          </cell>
          <cell r="D26">
            <v>22</v>
          </cell>
          <cell r="E26" t="str">
            <v>林曉沂</v>
          </cell>
          <cell r="F26">
            <v>76</v>
          </cell>
          <cell r="G26">
            <v>12</v>
          </cell>
          <cell r="H26">
            <v>36</v>
          </cell>
          <cell r="I26">
            <v>27</v>
          </cell>
        </row>
        <row r="27">
          <cell r="B27">
            <v>22</v>
          </cell>
          <cell r="D27">
            <v>23</v>
          </cell>
          <cell r="E27" t="str">
            <v>柯夙紋</v>
          </cell>
          <cell r="F27">
            <v>27</v>
          </cell>
          <cell r="G27">
            <v>64</v>
          </cell>
          <cell r="H27">
            <v>82</v>
          </cell>
          <cell r="I27">
            <v>79</v>
          </cell>
        </row>
        <row r="28">
          <cell r="B28">
            <v>23</v>
          </cell>
          <cell r="D28">
            <v>24</v>
          </cell>
          <cell r="E28" t="str">
            <v>紀梅蘭</v>
          </cell>
          <cell r="F28">
            <v>7</v>
          </cell>
          <cell r="G28">
            <v>8</v>
          </cell>
          <cell r="H28">
            <v>94</v>
          </cell>
          <cell r="I28">
            <v>74</v>
          </cell>
        </row>
        <row r="29">
          <cell r="B29">
            <v>24</v>
          </cell>
          <cell r="D29">
            <v>25</v>
          </cell>
          <cell r="E29" t="str">
            <v>洪綾濃</v>
          </cell>
          <cell r="F29">
            <v>83</v>
          </cell>
          <cell r="G29">
            <v>4</v>
          </cell>
          <cell r="H29">
            <v>63</v>
          </cell>
          <cell r="I29">
            <v>29</v>
          </cell>
        </row>
        <row r="30">
          <cell r="B30">
            <v>25</v>
          </cell>
          <cell r="D30">
            <v>26</v>
          </cell>
          <cell r="E30" t="str">
            <v>施雅芬</v>
          </cell>
          <cell r="F30">
            <v>63</v>
          </cell>
          <cell r="G30">
            <v>67</v>
          </cell>
          <cell r="H30">
            <v>51</v>
          </cell>
          <cell r="I30">
            <v>25</v>
          </cell>
        </row>
        <row r="31">
          <cell r="B31">
            <v>26</v>
          </cell>
          <cell r="D31">
            <v>27</v>
          </cell>
          <cell r="E31" t="str">
            <v>梁雅雯</v>
          </cell>
          <cell r="F31">
            <v>32</v>
          </cell>
          <cell r="G31">
            <v>72</v>
          </cell>
          <cell r="H31">
            <v>33</v>
          </cell>
          <cell r="I31">
            <v>86</v>
          </cell>
        </row>
        <row r="32">
          <cell r="B32">
            <v>27</v>
          </cell>
          <cell r="D32">
            <v>28</v>
          </cell>
          <cell r="E32" t="str">
            <v>張腕珊</v>
          </cell>
          <cell r="F32">
            <v>65</v>
          </cell>
          <cell r="G32">
            <v>72</v>
          </cell>
          <cell r="H32">
            <v>67</v>
          </cell>
          <cell r="I32">
            <v>74</v>
          </cell>
        </row>
        <row r="33">
          <cell r="B33">
            <v>28</v>
          </cell>
          <cell r="D33">
            <v>29</v>
          </cell>
          <cell r="E33" t="str">
            <v>張雅芳</v>
          </cell>
          <cell r="F33">
            <v>61</v>
          </cell>
          <cell r="G33">
            <v>34</v>
          </cell>
          <cell r="H33">
            <v>75</v>
          </cell>
          <cell r="I33">
            <v>57</v>
          </cell>
        </row>
        <row r="34">
          <cell r="B34">
            <v>29</v>
          </cell>
          <cell r="D34">
            <v>30</v>
          </cell>
          <cell r="E34" t="str">
            <v>張翠娟</v>
          </cell>
          <cell r="F34">
            <v>2</v>
          </cell>
          <cell r="G34">
            <v>60</v>
          </cell>
          <cell r="H34">
            <v>29</v>
          </cell>
          <cell r="I34">
            <v>79</v>
          </cell>
        </row>
        <row r="35">
          <cell r="B35">
            <v>30</v>
          </cell>
          <cell r="D35">
            <v>31</v>
          </cell>
          <cell r="E35" t="str">
            <v>郭民悅</v>
          </cell>
          <cell r="F35">
            <v>27</v>
          </cell>
          <cell r="G35">
            <v>1</v>
          </cell>
          <cell r="H35">
            <v>87</v>
          </cell>
          <cell r="I35">
            <v>58</v>
          </cell>
        </row>
        <row r="36">
          <cell r="B36">
            <v>31</v>
          </cell>
          <cell r="D36">
            <v>32</v>
          </cell>
          <cell r="E36" t="str">
            <v>陳巧秤</v>
          </cell>
          <cell r="F36">
            <v>44</v>
          </cell>
          <cell r="G36">
            <v>65</v>
          </cell>
          <cell r="H36">
            <v>80</v>
          </cell>
          <cell r="I36">
            <v>38</v>
          </cell>
        </row>
        <row r="37">
          <cell r="B37">
            <v>32</v>
          </cell>
          <cell r="D37">
            <v>33</v>
          </cell>
          <cell r="E37" t="str">
            <v>陳佩琪</v>
          </cell>
          <cell r="F37">
            <v>36</v>
          </cell>
          <cell r="G37">
            <v>97</v>
          </cell>
          <cell r="H37">
            <v>53</v>
          </cell>
          <cell r="I37">
            <v>67</v>
          </cell>
        </row>
        <row r="38">
          <cell r="B38">
            <v>33</v>
          </cell>
          <cell r="D38">
            <v>34</v>
          </cell>
          <cell r="E38" t="str">
            <v>陳秋伶</v>
          </cell>
          <cell r="F38">
            <v>78</v>
          </cell>
          <cell r="G38">
            <v>12</v>
          </cell>
          <cell r="H38">
            <v>83</v>
          </cell>
          <cell r="I38">
            <v>43</v>
          </cell>
        </row>
        <row r="39">
          <cell r="B39">
            <v>34</v>
          </cell>
          <cell r="D39">
            <v>35</v>
          </cell>
          <cell r="E39" t="str">
            <v>陳惠玫</v>
          </cell>
          <cell r="F39">
            <v>34</v>
          </cell>
          <cell r="G39">
            <v>90</v>
          </cell>
          <cell r="H39">
            <v>46</v>
          </cell>
          <cell r="I39">
            <v>27</v>
          </cell>
        </row>
        <row r="40">
          <cell r="B40">
            <v>35</v>
          </cell>
          <cell r="D40">
            <v>36</v>
          </cell>
          <cell r="E40" t="str">
            <v>陳瑋婷</v>
          </cell>
          <cell r="F40">
            <v>86</v>
          </cell>
          <cell r="G40">
            <v>6</v>
          </cell>
          <cell r="H40">
            <v>83</v>
          </cell>
          <cell r="I40">
            <v>74</v>
          </cell>
        </row>
        <row r="41">
          <cell r="B41">
            <v>36</v>
          </cell>
          <cell r="D41">
            <v>37</v>
          </cell>
          <cell r="E41" t="str">
            <v>陳慧娟</v>
          </cell>
          <cell r="F41">
            <v>76</v>
          </cell>
          <cell r="G41">
            <v>70</v>
          </cell>
          <cell r="H41">
            <v>6</v>
          </cell>
          <cell r="I41">
            <v>45</v>
          </cell>
        </row>
        <row r="42">
          <cell r="B42">
            <v>37</v>
          </cell>
          <cell r="D42">
            <v>38</v>
          </cell>
          <cell r="E42" t="str">
            <v>游佳玲</v>
          </cell>
          <cell r="F42">
            <v>67</v>
          </cell>
          <cell r="G42">
            <v>68</v>
          </cell>
          <cell r="H42">
            <v>62</v>
          </cell>
          <cell r="I42">
            <v>58</v>
          </cell>
        </row>
        <row r="43">
          <cell r="B43">
            <v>38</v>
          </cell>
          <cell r="D43">
            <v>39</v>
          </cell>
          <cell r="E43" t="str">
            <v>楊秋惠</v>
          </cell>
          <cell r="F43">
            <v>34</v>
          </cell>
          <cell r="G43">
            <v>26</v>
          </cell>
          <cell r="H43">
            <v>67</v>
          </cell>
          <cell r="I43">
            <v>52</v>
          </cell>
        </row>
        <row r="44">
          <cell r="B44">
            <v>39</v>
          </cell>
          <cell r="D44">
            <v>40</v>
          </cell>
          <cell r="E44" t="str">
            <v>葉怡秀</v>
          </cell>
          <cell r="F44">
            <v>50</v>
          </cell>
          <cell r="G44">
            <v>56</v>
          </cell>
          <cell r="H44">
            <v>8</v>
          </cell>
          <cell r="I44">
            <v>94</v>
          </cell>
        </row>
        <row r="45">
          <cell r="B45">
            <v>40</v>
          </cell>
          <cell r="D45">
            <v>41</v>
          </cell>
          <cell r="E45" t="str">
            <v>葉姵君</v>
          </cell>
          <cell r="F45">
            <v>39</v>
          </cell>
          <cell r="G45">
            <v>63</v>
          </cell>
          <cell r="H45">
            <v>39</v>
          </cell>
          <cell r="I45">
            <v>49</v>
          </cell>
        </row>
        <row r="46">
          <cell r="B46">
            <v>41</v>
          </cell>
          <cell r="D46">
            <v>43</v>
          </cell>
          <cell r="E46" t="str">
            <v>詹雅婷</v>
          </cell>
          <cell r="F46">
            <v>93</v>
          </cell>
          <cell r="G46">
            <v>16</v>
          </cell>
          <cell r="H46">
            <v>38</v>
          </cell>
          <cell r="I46">
            <v>45</v>
          </cell>
        </row>
        <row r="47">
          <cell r="B47">
            <v>42</v>
          </cell>
          <cell r="D47">
            <v>44</v>
          </cell>
          <cell r="E47" t="str">
            <v>詹惠珊</v>
          </cell>
          <cell r="F47">
            <v>54</v>
          </cell>
          <cell r="G47">
            <v>75</v>
          </cell>
          <cell r="H47">
            <v>80</v>
          </cell>
          <cell r="I47">
            <v>4</v>
          </cell>
        </row>
        <row r="48">
          <cell r="B48">
            <v>43</v>
          </cell>
          <cell r="D48">
            <v>45</v>
          </cell>
          <cell r="E48" t="str">
            <v>劉采燕</v>
          </cell>
          <cell r="F48">
            <v>39</v>
          </cell>
          <cell r="G48">
            <v>48</v>
          </cell>
          <cell r="H48">
            <v>91</v>
          </cell>
          <cell r="I48">
            <v>70</v>
          </cell>
        </row>
        <row r="49">
          <cell r="B49">
            <v>44</v>
          </cell>
          <cell r="D49">
            <v>46</v>
          </cell>
          <cell r="E49" t="str">
            <v>鄭雯如</v>
          </cell>
          <cell r="F49">
            <v>31</v>
          </cell>
          <cell r="G49">
            <v>99</v>
          </cell>
          <cell r="H49">
            <v>75</v>
          </cell>
          <cell r="I49">
            <v>82</v>
          </cell>
        </row>
        <row r="50">
          <cell r="B50">
            <v>45</v>
          </cell>
          <cell r="D50">
            <v>47</v>
          </cell>
          <cell r="E50" t="str">
            <v>賴紋萱</v>
          </cell>
          <cell r="F50">
            <v>63</v>
          </cell>
          <cell r="G50">
            <v>52</v>
          </cell>
          <cell r="H50">
            <v>67</v>
          </cell>
          <cell r="I50">
            <v>42</v>
          </cell>
        </row>
        <row r="51">
          <cell r="B51">
            <v>46</v>
          </cell>
          <cell r="D51">
            <v>48</v>
          </cell>
          <cell r="E51" t="str">
            <v>鍾玉梅</v>
          </cell>
          <cell r="F51">
            <v>30</v>
          </cell>
          <cell r="G51">
            <v>2</v>
          </cell>
          <cell r="H51">
            <v>20</v>
          </cell>
          <cell r="I51">
            <v>62</v>
          </cell>
        </row>
        <row r="52">
          <cell r="B52">
            <v>47</v>
          </cell>
          <cell r="D52">
            <v>49</v>
          </cell>
          <cell r="E52" t="str">
            <v>顏佳美</v>
          </cell>
          <cell r="F52">
            <v>57</v>
          </cell>
          <cell r="G52">
            <v>33</v>
          </cell>
          <cell r="H52">
            <v>23</v>
          </cell>
          <cell r="I52">
            <v>66</v>
          </cell>
        </row>
        <row r="53">
          <cell r="B53">
            <v>48</v>
          </cell>
          <cell r="D53">
            <v>50</v>
          </cell>
          <cell r="E53" t="str">
            <v>羅玉娟</v>
          </cell>
          <cell r="F53">
            <v>100</v>
          </cell>
          <cell r="G53">
            <v>20</v>
          </cell>
          <cell r="H53">
            <v>38</v>
          </cell>
          <cell r="I53">
            <v>5</v>
          </cell>
        </row>
        <row r="54">
          <cell r="B54">
            <v>49</v>
          </cell>
          <cell r="D54">
            <v>51</v>
          </cell>
          <cell r="E54" t="str">
            <v>賴文結</v>
          </cell>
          <cell r="F54">
            <v>49</v>
          </cell>
          <cell r="G54">
            <v>35</v>
          </cell>
          <cell r="H54">
            <v>55</v>
          </cell>
          <cell r="I54">
            <v>62</v>
          </cell>
        </row>
        <row r="55">
          <cell r="B55">
            <v>50</v>
          </cell>
        </row>
        <row r="56">
          <cell r="B56">
            <v>51</v>
          </cell>
        </row>
        <row r="57">
          <cell r="B57">
            <v>52</v>
          </cell>
        </row>
        <row r="58">
          <cell r="B58">
            <v>53</v>
          </cell>
        </row>
        <row r="59">
          <cell r="B59">
            <v>54</v>
          </cell>
        </row>
        <row r="60">
          <cell r="B60">
            <v>55</v>
          </cell>
        </row>
        <row r="61">
          <cell r="B61">
            <v>56</v>
          </cell>
        </row>
        <row r="62">
          <cell r="B62">
            <v>57</v>
          </cell>
        </row>
        <row r="63">
          <cell r="B63">
            <v>58</v>
          </cell>
        </row>
        <row r="64">
          <cell r="B64">
            <v>59</v>
          </cell>
        </row>
        <row r="65">
          <cell r="B65">
            <v>60</v>
          </cell>
        </row>
        <row r="66">
          <cell r="B66">
            <v>61</v>
          </cell>
        </row>
        <row r="67">
          <cell r="B67">
            <v>62</v>
          </cell>
        </row>
        <row r="68">
          <cell r="B68">
            <v>63</v>
          </cell>
        </row>
        <row r="69">
          <cell r="B69">
            <v>64</v>
          </cell>
        </row>
        <row r="70">
          <cell r="B70">
            <v>65</v>
          </cell>
        </row>
        <row r="71">
          <cell r="B71">
            <v>66</v>
          </cell>
        </row>
        <row r="72">
          <cell r="B72">
            <v>67</v>
          </cell>
        </row>
        <row r="73">
          <cell r="B73">
            <v>68</v>
          </cell>
        </row>
        <row r="74">
          <cell r="B74">
            <v>69</v>
          </cell>
        </row>
        <row r="75">
          <cell r="B75">
            <v>70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月考(平時)成績輸入表單"/>
      <sheetName val="成績分析表"/>
      <sheetName val="Module1"/>
      <sheetName val="成績一覽表"/>
      <sheetName val="條件設定"/>
      <sheetName val="SExit"/>
      <sheetName val="Print"/>
      <sheetName val="Exit"/>
    </sheetNames>
    <sheetDataSet>
      <sheetData sheetId="0">
        <row r="3">
          <cell r="D3">
            <v>89</v>
          </cell>
          <cell r="E3">
            <v>2</v>
          </cell>
          <cell r="N3">
            <v>47</v>
          </cell>
          <cell r="O3">
            <v>48</v>
          </cell>
          <cell r="P3">
            <v>48</v>
          </cell>
        </row>
        <row r="5">
          <cell r="A5" t="str">
            <v>學籍編號</v>
          </cell>
          <cell r="B5" t="str">
            <v>編號</v>
          </cell>
          <cell r="C5" t="str">
            <v>班級</v>
          </cell>
          <cell r="D5" t="str">
            <v>座號</v>
          </cell>
          <cell r="E5" t="str">
            <v>姓名</v>
          </cell>
          <cell r="F5" t="str">
            <v>月考(一)</v>
          </cell>
          <cell r="G5" t="str">
            <v>月考(二)</v>
          </cell>
          <cell r="H5" t="str">
            <v>月考(三)</v>
          </cell>
          <cell r="I5" t="str">
            <v>平時</v>
          </cell>
        </row>
        <row r="6">
          <cell r="B6">
            <v>1</v>
          </cell>
          <cell r="D6">
            <v>1</v>
          </cell>
          <cell r="E6" t="str">
            <v>王琦蒲</v>
          </cell>
          <cell r="F6">
            <v>62</v>
          </cell>
          <cell r="G6">
            <v>79</v>
          </cell>
          <cell r="H6">
            <v>4</v>
          </cell>
          <cell r="I6">
            <v>29</v>
          </cell>
        </row>
        <row r="7">
          <cell r="B7">
            <v>2</v>
          </cell>
          <cell r="D7">
            <v>2</v>
          </cell>
          <cell r="E7" t="str">
            <v>李晟瑋</v>
          </cell>
          <cell r="G7">
            <v>90</v>
          </cell>
          <cell r="H7">
            <v>8</v>
          </cell>
          <cell r="I7">
            <v>66</v>
          </cell>
        </row>
        <row r="8">
          <cell r="B8">
            <v>3</v>
          </cell>
          <cell r="D8">
            <v>3</v>
          </cell>
          <cell r="E8" t="str">
            <v>高益堂</v>
          </cell>
          <cell r="F8">
            <v>61</v>
          </cell>
          <cell r="G8">
            <v>30</v>
          </cell>
          <cell r="H8">
            <v>18</v>
          </cell>
          <cell r="I8">
            <v>87</v>
          </cell>
        </row>
        <row r="9">
          <cell r="B9">
            <v>4</v>
          </cell>
          <cell r="D9">
            <v>4</v>
          </cell>
          <cell r="E9" t="str">
            <v>高嘉詳</v>
          </cell>
          <cell r="F9">
            <v>52</v>
          </cell>
          <cell r="G9">
            <v>94</v>
          </cell>
          <cell r="H9">
            <v>63</v>
          </cell>
          <cell r="I9">
            <v>44</v>
          </cell>
        </row>
        <row r="10">
          <cell r="B10">
            <v>5</v>
          </cell>
          <cell r="D10">
            <v>5</v>
          </cell>
          <cell r="E10" t="str">
            <v>許貴霖</v>
          </cell>
          <cell r="F10">
            <v>70</v>
          </cell>
          <cell r="G10">
            <v>10</v>
          </cell>
          <cell r="H10">
            <v>19</v>
          </cell>
          <cell r="I10">
            <v>92</v>
          </cell>
        </row>
        <row r="11">
          <cell r="B11">
            <v>6</v>
          </cell>
          <cell r="D11">
            <v>6</v>
          </cell>
          <cell r="E11" t="str">
            <v>張聖欣</v>
          </cell>
          <cell r="F11">
            <v>100</v>
          </cell>
          <cell r="H11">
            <v>57</v>
          </cell>
          <cell r="I11">
            <v>69</v>
          </cell>
        </row>
        <row r="12">
          <cell r="B12">
            <v>7</v>
          </cell>
          <cell r="D12">
            <v>7</v>
          </cell>
          <cell r="E12" t="str">
            <v>張聖乾</v>
          </cell>
          <cell r="F12">
            <v>61</v>
          </cell>
          <cell r="G12">
            <v>79</v>
          </cell>
          <cell r="H12">
            <v>51</v>
          </cell>
          <cell r="I12">
            <v>86</v>
          </cell>
        </row>
        <row r="13">
          <cell r="B13">
            <v>8</v>
          </cell>
          <cell r="D13">
            <v>8</v>
          </cell>
          <cell r="E13" t="str">
            <v>黃宏彰</v>
          </cell>
          <cell r="F13">
            <v>87</v>
          </cell>
          <cell r="G13">
            <v>82</v>
          </cell>
          <cell r="H13">
            <v>88</v>
          </cell>
          <cell r="I13">
            <v>67</v>
          </cell>
        </row>
        <row r="14">
          <cell r="B14">
            <v>9</v>
          </cell>
          <cell r="D14">
            <v>9</v>
          </cell>
          <cell r="E14" t="str">
            <v>黃政岳</v>
          </cell>
          <cell r="F14">
            <v>31</v>
          </cell>
          <cell r="G14">
            <v>89</v>
          </cell>
          <cell r="H14">
            <v>56</v>
          </cell>
          <cell r="I14">
            <v>46</v>
          </cell>
        </row>
        <row r="15">
          <cell r="B15">
            <v>10</v>
          </cell>
          <cell r="D15">
            <v>10</v>
          </cell>
          <cell r="E15" t="str">
            <v>鄭智丞</v>
          </cell>
          <cell r="F15">
            <v>20</v>
          </cell>
          <cell r="G15">
            <v>14</v>
          </cell>
          <cell r="H15">
            <v>56</v>
          </cell>
          <cell r="I15">
            <v>79</v>
          </cell>
        </row>
        <row r="16">
          <cell r="B16">
            <v>11</v>
          </cell>
          <cell r="D16">
            <v>11</v>
          </cell>
          <cell r="E16" t="str">
            <v>王瓊玉</v>
          </cell>
          <cell r="F16">
            <v>91</v>
          </cell>
          <cell r="G16">
            <v>62</v>
          </cell>
          <cell r="H16">
            <v>59</v>
          </cell>
          <cell r="I16">
            <v>2</v>
          </cell>
        </row>
        <row r="17">
          <cell r="B17">
            <v>12</v>
          </cell>
          <cell r="D17">
            <v>12</v>
          </cell>
          <cell r="E17" t="str">
            <v>何宛真</v>
          </cell>
          <cell r="F17">
            <v>64</v>
          </cell>
          <cell r="G17">
            <v>55</v>
          </cell>
          <cell r="I17">
            <v>10</v>
          </cell>
        </row>
        <row r="18">
          <cell r="B18">
            <v>13</v>
          </cell>
          <cell r="D18">
            <v>13</v>
          </cell>
          <cell r="E18" t="str">
            <v>吳秋璇</v>
          </cell>
          <cell r="F18">
            <v>62</v>
          </cell>
          <cell r="G18">
            <v>2</v>
          </cell>
          <cell r="H18">
            <v>69</v>
          </cell>
          <cell r="I18">
            <v>13</v>
          </cell>
        </row>
        <row r="19">
          <cell r="B19">
            <v>14</v>
          </cell>
          <cell r="D19">
            <v>14</v>
          </cell>
          <cell r="E19" t="str">
            <v>呂珮華</v>
          </cell>
          <cell r="G19">
            <v>88</v>
          </cell>
          <cell r="H19">
            <v>32</v>
          </cell>
          <cell r="I19">
            <v>43</v>
          </cell>
        </row>
        <row r="20">
          <cell r="B20">
            <v>15</v>
          </cell>
          <cell r="D20">
            <v>16</v>
          </cell>
          <cell r="E20" t="str">
            <v>李苔菁</v>
          </cell>
          <cell r="F20">
            <v>81</v>
          </cell>
          <cell r="G20">
            <v>31</v>
          </cell>
          <cell r="H20">
            <v>47</v>
          </cell>
          <cell r="I20">
            <v>74</v>
          </cell>
        </row>
        <row r="21">
          <cell r="B21">
            <v>16</v>
          </cell>
          <cell r="D21">
            <v>17</v>
          </cell>
          <cell r="E21" t="str">
            <v>李雅萍</v>
          </cell>
          <cell r="F21">
            <v>7</v>
          </cell>
          <cell r="G21">
            <v>16</v>
          </cell>
          <cell r="H21">
            <v>94</v>
          </cell>
          <cell r="I21">
            <v>89</v>
          </cell>
        </row>
        <row r="22">
          <cell r="B22">
            <v>17</v>
          </cell>
          <cell r="D22">
            <v>18</v>
          </cell>
          <cell r="E22" t="str">
            <v>李嘉玉</v>
          </cell>
          <cell r="F22">
            <v>81</v>
          </cell>
          <cell r="G22">
            <v>93</v>
          </cell>
          <cell r="H22">
            <v>99</v>
          </cell>
          <cell r="I22">
            <v>73</v>
          </cell>
        </row>
        <row r="23">
          <cell r="B23">
            <v>18</v>
          </cell>
          <cell r="D23">
            <v>19</v>
          </cell>
          <cell r="E23" t="str">
            <v>林芝瑩</v>
          </cell>
          <cell r="F23">
            <v>97</v>
          </cell>
          <cell r="G23">
            <v>91</v>
          </cell>
          <cell r="H23">
            <v>54</v>
          </cell>
          <cell r="I23">
            <v>48</v>
          </cell>
        </row>
        <row r="24">
          <cell r="B24">
            <v>19</v>
          </cell>
          <cell r="D24">
            <v>20</v>
          </cell>
          <cell r="E24" t="str">
            <v>林欣儀</v>
          </cell>
          <cell r="F24">
            <v>69</v>
          </cell>
          <cell r="G24">
            <v>10</v>
          </cell>
          <cell r="H24">
            <v>36</v>
          </cell>
          <cell r="I24">
            <v>78</v>
          </cell>
        </row>
        <row r="25">
          <cell r="B25">
            <v>20</v>
          </cell>
          <cell r="D25">
            <v>21</v>
          </cell>
          <cell r="E25" t="str">
            <v>林姿妙</v>
          </cell>
          <cell r="F25">
            <v>93</v>
          </cell>
          <cell r="G25">
            <v>25</v>
          </cell>
          <cell r="H25">
            <v>60</v>
          </cell>
          <cell r="I25">
            <v>3</v>
          </cell>
        </row>
        <row r="26">
          <cell r="B26">
            <v>21</v>
          </cell>
          <cell r="D26">
            <v>22</v>
          </cell>
          <cell r="E26" t="str">
            <v>林曉沂</v>
          </cell>
          <cell r="F26">
            <v>76</v>
          </cell>
          <cell r="G26">
            <v>12</v>
          </cell>
          <cell r="H26">
            <v>36</v>
          </cell>
          <cell r="I26">
            <v>27</v>
          </cell>
        </row>
        <row r="27">
          <cell r="B27">
            <v>22</v>
          </cell>
          <cell r="D27">
            <v>23</v>
          </cell>
          <cell r="E27" t="str">
            <v>柯夙紋</v>
          </cell>
          <cell r="F27">
            <v>27</v>
          </cell>
          <cell r="G27">
            <v>64</v>
          </cell>
          <cell r="H27">
            <v>82</v>
          </cell>
          <cell r="I27">
            <v>79</v>
          </cell>
        </row>
        <row r="28">
          <cell r="B28">
            <v>23</v>
          </cell>
          <cell r="D28">
            <v>24</v>
          </cell>
          <cell r="E28" t="str">
            <v>紀梅蘭</v>
          </cell>
          <cell r="F28">
            <v>7</v>
          </cell>
          <cell r="G28">
            <v>8</v>
          </cell>
          <cell r="H28">
            <v>94</v>
          </cell>
          <cell r="I28">
            <v>74</v>
          </cell>
        </row>
        <row r="29">
          <cell r="B29">
            <v>24</v>
          </cell>
          <cell r="D29">
            <v>25</v>
          </cell>
          <cell r="E29" t="str">
            <v>洪綾濃</v>
          </cell>
          <cell r="F29">
            <v>83</v>
          </cell>
          <cell r="G29">
            <v>4</v>
          </cell>
          <cell r="H29">
            <v>63</v>
          </cell>
          <cell r="I29">
            <v>29</v>
          </cell>
        </row>
        <row r="30">
          <cell r="B30">
            <v>25</v>
          </cell>
          <cell r="D30">
            <v>26</v>
          </cell>
          <cell r="E30" t="str">
            <v>施雅芬</v>
          </cell>
          <cell r="F30">
            <v>63</v>
          </cell>
          <cell r="G30">
            <v>67</v>
          </cell>
          <cell r="H30">
            <v>51</v>
          </cell>
          <cell r="I30">
            <v>25</v>
          </cell>
        </row>
        <row r="31">
          <cell r="B31">
            <v>26</v>
          </cell>
          <cell r="D31">
            <v>27</v>
          </cell>
          <cell r="E31" t="str">
            <v>梁雅雯</v>
          </cell>
          <cell r="F31">
            <v>32</v>
          </cell>
          <cell r="G31">
            <v>72</v>
          </cell>
          <cell r="H31">
            <v>33</v>
          </cell>
          <cell r="I31">
            <v>86</v>
          </cell>
        </row>
        <row r="32">
          <cell r="B32">
            <v>27</v>
          </cell>
          <cell r="D32">
            <v>28</v>
          </cell>
          <cell r="E32" t="str">
            <v>張腕珊</v>
          </cell>
          <cell r="F32">
            <v>65</v>
          </cell>
          <cell r="G32">
            <v>72</v>
          </cell>
          <cell r="H32">
            <v>67</v>
          </cell>
          <cell r="I32">
            <v>74</v>
          </cell>
        </row>
        <row r="33">
          <cell r="B33">
            <v>28</v>
          </cell>
          <cell r="D33">
            <v>29</v>
          </cell>
          <cell r="E33" t="str">
            <v>張雅芳</v>
          </cell>
          <cell r="F33">
            <v>61</v>
          </cell>
          <cell r="G33">
            <v>34</v>
          </cell>
          <cell r="H33">
            <v>75</v>
          </cell>
          <cell r="I33">
            <v>57</v>
          </cell>
        </row>
        <row r="34">
          <cell r="B34">
            <v>29</v>
          </cell>
          <cell r="D34">
            <v>30</v>
          </cell>
          <cell r="E34" t="str">
            <v>張翠娟</v>
          </cell>
          <cell r="F34">
            <v>2</v>
          </cell>
          <cell r="G34">
            <v>60</v>
          </cell>
          <cell r="H34">
            <v>29</v>
          </cell>
          <cell r="I34">
            <v>79</v>
          </cell>
        </row>
        <row r="35">
          <cell r="B35">
            <v>30</v>
          </cell>
          <cell r="D35">
            <v>31</v>
          </cell>
          <cell r="E35" t="str">
            <v>郭民悅</v>
          </cell>
          <cell r="F35">
            <v>27</v>
          </cell>
          <cell r="G35">
            <v>1</v>
          </cell>
          <cell r="H35">
            <v>87</v>
          </cell>
          <cell r="I35">
            <v>58</v>
          </cell>
        </row>
        <row r="36">
          <cell r="B36">
            <v>31</v>
          </cell>
          <cell r="D36">
            <v>32</v>
          </cell>
          <cell r="E36" t="str">
            <v>陳巧秤</v>
          </cell>
          <cell r="F36">
            <v>44</v>
          </cell>
          <cell r="G36">
            <v>65</v>
          </cell>
          <cell r="H36">
            <v>80</v>
          </cell>
          <cell r="I36">
            <v>38</v>
          </cell>
        </row>
        <row r="37">
          <cell r="B37">
            <v>32</v>
          </cell>
          <cell r="D37">
            <v>33</v>
          </cell>
          <cell r="E37" t="str">
            <v>陳佩琪</v>
          </cell>
          <cell r="F37">
            <v>36</v>
          </cell>
          <cell r="G37">
            <v>97</v>
          </cell>
          <cell r="H37">
            <v>53</v>
          </cell>
          <cell r="I37">
            <v>67</v>
          </cell>
        </row>
        <row r="38">
          <cell r="B38">
            <v>33</v>
          </cell>
          <cell r="D38">
            <v>34</v>
          </cell>
          <cell r="E38" t="str">
            <v>陳秋伶</v>
          </cell>
          <cell r="F38">
            <v>78</v>
          </cell>
          <cell r="G38">
            <v>12</v>
          </cell>
          <cell r="H38">
            <v>83</v>
          </cell>
          <cell r="I38">
            <v>43</v>
          </cell>
        </row>
        <row r="39">
          <cell r="B39">
            <v>34</v>
          </cell>
          <cell r="D39">
            <v>35</v>
          </cell>
          <cell r="E39" t="str">
            <v>陳惠玫</v>
          </cell>
          <cell r="F39">
            <v>34</v>
          </cell>
          <cell r="G39">
            <v>90</v>
          </cell>
          <cell r="H39">
            <v>46</v>
          </cell>
          <cell r="I39">
            <v>27</v>
          </cell>
        </row>
        <row r="40">
          <cell r="B40">
            <v>35</v>
          </cell>
          <cell r="D40">
            <v>36</v>
          </cell>
          <cell r="E40" t="str">
            <v>陳瑋婷</v>
          </cell>
          <cell r="F40">
            <v>86</v>
          </cell>
          <cell r="G40">
            <v>6</v>
          </cell>
          <cell r="H40">
            <v>83</v>
          </cell>
          <cell r="I40">
            <v>74</v>
          </cell>
        </row>
        <row r="41">
          <cell r="B41">
            <v>36</v>
          </cell>
          <cell r="D41">
            <v>37</v>
          </cell>
          <cell r="E41" t="str">
            <v>陳慧娟</v>
          </cell>
          <cell r="F41">
            <v>76</v>
          </cell>
          <cell r="G41">
            <v>70</v>
          </cell>
          <cell r="H41">
            <v>6</v>
          </cell>
          <cell r="I41">
            <v>45</v>
          </cell>
        </row>
        <row r="42">
          <cell r="B42">
            <v>37</v>
          </cell>
          <cell r="D42">
            <v>38</v>
          </cell>
          <cell r="E42" t="str">
            <v>游佳玲</v>
          </cell>
          <cell r="F42">
            <v>67</v>
          </cell>
          <cell r="G42">
            <v>68</v>
          </cell>
          <cell r="H42">
            <v>62</v>
          </cell>
          <cell r="I42">
            <v>58</v>
          </cell>
        </row>
        <row r="43">
          <cell r="B43">
            <v>38</v>
          </cell>
          <cell r="D43">
            <v>39</v>
          </cell>
          <cell r="E43" t="str">
            <v>楊秋惠</v>
          </cell>
          <cell r="F43">
            <v>34</v>
          </cell>
          <cell r="G43">
            <v>26</v>
          </cell>
          <cell r="H43">
            <v>67</v>
          </cell>
          <cell r="I43">
            <v>52</v>
          </cell>
        </row>
        <row r="44">
          <cell r="B44">
            <v>39</v>
          </cell>
          <cell r="D44">
            <v>40</v>
          </cell>
          <cell r="E44" t="str">
            <v>葉怡秀</v>
          </cell>
          <cell r="F44">
            <v>50</v>
          </cell>
          <cell r="G44">
            <v>56</v>
          </cell>
          <cell r="H44">
            <v>8</v>
          </cell>
          <cell r="I44">
            <v>94</v>
          </cell>
        </row>
        <row r="45">
          <cell r="B45">
            <v>40</v>
          </cell>
          <cell r="D45">
            <v>41</v>
          </cell>
          <cell r="E45" t="str">
            <v>葉姵君</v>
          </cell>
          <cell r="F45">
            <v>39</v>
          </cell>
          <cell r="G45">
            <v>63</v>
          </cell>
          <cell r="H45">
            <v>39</v>
          </cell>
          <cell r="I45">
            <v>49</v>
          </cell>
        </row>
        <row r="46">
          <cell r="B46">
            <v>41</v>
          </cell>
          <cell r="D46">
            <v>43</v>
          </cell>
          <cell r="E46" t="str">
            <v>詹雅婷</v>
          </cell>
          <cell r="F46">
            <v>93</v>
          </cell>
          <cell r="G46">
            <v>16</v>
          </cell>
          <cell r="H46">
            <v>38</v>
          </cell>
          <cell r="I46">
            <v>45</v>
          </cell>
        </row>
        <row r="47">
          <cell r="B47">
            <v>42</v>
          </cell>
          <cell r="D47">
            <v>44</v>
          </cell>
          <cell r="E47" t="str">
            <v>詹惠珊</v>
          </cell>
          <cell r="F47">
            <v>54</v>
          </cell>
          <cell r="G47">
            <v>75</v>
          </cell>
          <cell r="H47">
            <v>80</v>
          </cell>
          <cell r="I47">
            <v>4</v>
          </cell>
        </row>
        <row r="48">
          <cell r="B48">
            <v>43</v>
          </cell>
          <cell r="D48">
            <v>45</v>
          </cell>
          <cell r="E48" t="str">
            <v>劉采燕</v>
          </cell>
          <cell r="F48">
            <v>39</v>
          </cell>
          <cell r="G48">
            <v>48</v>
          </cell>
          <cell r="H48">
            <v>91</v>
          </cell>
          <cell r="I48">
            <v>70</v>
          </cell>
        </row>
        <row r="49">
          <cell r="B49">
            <v>44</v>
          </cell>
          <cell r="D49">
            <v>46</v>
          </cell>
          <cell r="E49" t="str">
            <v>鄭雯如</v>
          </cell>
          <cell r="F49">
            <v>31</v>
          </cell>
          <cell r="G49">
            <v>99</v>
          </cell>
          <cell r="H49">
            <v>75</v>
          </cell>
          <cell r="I49">
            <v>82</v>
          </cell>
        </row>
        <row r="50">
          <cell r="B50">
            <v>45</v>
          </cell>
          <cell r="D50">
            <v>47</v>
          </cell>
          <cell r="E50" t="str">
            <v>賴紋萱</v>
          </cell>
          <cell r="F50">
            <v>63</v>
          </cell>
          <cell r="G50">
            <v>52</v>
          </cell>
          <cell r="H50">
            <v>67</v>
          </cell>
          <cell r="I50">
            <v>42</v>
          </cell>
        </row>
        <row r="51">
          <cell r="B51">
            <v>46</v>
          </cell>
          <cell r="D51">
            <v>48</v>
          </cell>
          <cell r="E51" t="str">
            <v>鍾玉梅</v>
          </cell>
          <cell r="F51">
            <v>30</v>
          </cell>
          <cell r="G51">
            <v>2</v>
          </cell>
          <cell r="H51">
            <v>20</v>
          </cell>
          <cell r="I51">
            <v>62</v>
          </cell>
        </row>
        <row r="52">
          <cell r="B52">
            <v>47</v>
          </cell>
          <cell r="D52">
            <v>49</v>
          </cell>
          <cell r="E52" t="str">
            <v>顏佳美</v>
          </cell>
          <cell r="F52">
            <v>57</v>
          </cell>
          <cell r="G52">
            <v>33</v>
          </cell>
          <cell r="H52">
            <v>23</v>
          </cell>
          <cell r="I52">
            <v>66</v>
          </cell>
        </row>
        <row r="53">
          <cell r="B53">
            <v>48</v>
          </cell>
          <cell r="D53">
            <v>50</v>
          </cell>
          <cell r="E53" t="str">
            <v>羅玉娟</v>
          </cell>
          <cell r="F53">
            <v>100</v>
          </cell>
          <cell r="G53">
            <v>20</v>
          </cell>
          <cell r="H53">
            <v>38</v>
          </cell>
          <cell r="I53">
            <v>5</v>
          </cell>
        </row>
        <row r="54">
          <cell r="B54">
            <v>49</v>
          </cell>
          <cell r="D54">
            <v>51</v>
          </cell>
          <cell r="E54" t="str">
            <v>賴文結</v>
          </cell>
          <cell r="F54">
            <v>49</v>
          </cell>
          <cell r="G54">
            <v>35</v>
          </cell>
          <cell r="H54">
            <v>55</v>
          </cell>
          <cell r="I54">
            <v>62</v>
          </cell>
        </row>
        <row r="55">
          <cell r="B55">
            <v>50</v>
          </cell>
        </row>
        <row r="56">
          <cell r="B56">
            <v>51</v>
          </cell>
        </row>
        <row r="57">
          <cell r="B57">
            <v>52</v>
          </cell>
        </row>
        <row r="58">
          <cell r="B58">
            <v>53</v>
          </cell>
        </row>
        <row r="59">
          <cell r="B59">
            <v>54</v>
          </cell>
        </row>
        <row r="60">
          <cell r="B60">
            <v>55</v>
          </cell>
        </row>
        <row r="61">
          <cell r="B61">
            <v>56</v>
          </cell>
        </row>
        <row r="62">
          <cell r="B62">
            <v>57</v>
          </cell>
        </row>
        <row r="63">
          <cell r="B63">
            <v>58</v>
          </cell>
        </row>
        <row r="64">
          <cell r="B64">
            <v>59</v>
          </cell>
        </row>
        <row r="65">
          <cell r="B65">
            <v>60</v>
          </cell>
        </row>
        <row r="66">
          <cell r="B66">
            <v>61</v>
          </cell>
        </row>
        <row r="67">
          <cell r="B67">
            <v>62</v>
          </cell>
        </row>
        <row r="68">
          <cell r="B68">
            <v>63</v>
          </cell>
        </row>
        <row r="69">
          <cell r="B69">
            <v>64</v>
          </cell>
        </row>
        <row r="70">
          <cell r="B70">
            <v>65</v>
          </cell>
        </row>
        <row r="71">
          <cell r="B71">
            <v>66</v>
          </cell>
        </row>
        <row r="72">
          <cell r="B72">
            <v>67</v>
          </cell>
        </row>
        <row r="73">
          <cell r="B73">
            <v>68</v>
          </cell>
        </row>
        <row r="74">
          <cell r="B74">
            <v>69</v>
          </cell>
        </row>
        <row r="75">
          <cell r="B75">
            <v>70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成績簿"/>
      <sheetName val="成績簿1"/>
      <sheetName val="成績一覽表"/>
      <sheetName val="成績分析表"/>
      <sheetName val="期中考成績表"/>
      <sheetName val="成績簿 (2)"/>
      <sheetName val="SetUp"/>
      <sheetName val="基本設定"/>
      <sheetName val="條件設定"/>
      <sheetName val="名條"/>
      <sheetName val="Print"/>
    </sheetNames>
    <sheetDataSet>
      <sheetData sheetId="0" refreshError="1"/>
      <sheetData sheetId="1"/>
      <sheetData sheetId="2" refreshError="1"/>
      <sheetData sheetId="3">
        <row r="9">
          <cell r="C9">
            <v>99</v>
          </cell>
          <cell r="E9" t="str">
            <v/>
          </cell>
          <cell r="G9" t="str">
            <v/>
          </cell>
          <cell r="I9" t="str">
            <v/>
          </cell>
        </row>
        <row r="10">
          <cell r="C10">
            <v>100</v>
          </cell>
          <cell r="E10" t="str">
            <v/>
          </cell>
          <cell r="G10" t="str">
            <v/>
          </cell>
          <cell r="I10" t="str">
            <v/>
          </cell>
        </row>
        <row r="11">
          <cell r="C11">
            <v>50</v>
          </cell>
          <cell r="E11" t="str">
            <v/>
          </cell>
          <cell r="G11" t="str">
            <v/>
          </cell>
          <cell r="I11" t="str">
            <v/>
          </cell>
        </row>
        <row r="12">
          <cell r="C12" t="str">
            <v/>
          </cell>
          <cell r="E12" t="str">
            <v/>
          </cell>
          <cell r="G12" t="str">
            <v/>
          </cell>
          <cell r="I12" t="str">
            <v/>
          </cell>
        </row>
        <row r="13">
          <cell r="C13" t="str">
            <v/>
          </cell>
          <cell r="E13" t="str">
            <v/>
          </cell>
          <cell r="G13" t="str">
            <v/>
          </cell>
          <cell r="I13" t="str">
            <v/>
          </cell>
        </row>
        <row r="14">
          <cell r="C14" t="str">
            <v/>
          </cell>
          <cell r="E14" t="str">
            <v/>
          </cell>
          <cell r="G14" t="str">
            <v/>
          </cell>
          <cell r="I14" t="str">
            <v/>
          </cell>
        </row>
        <row r="15">
          <cell r="C15" t="str">
            <v/>
          </cell>
          <cell r="E15" t="str">
            <v/>
          </cell>
          <cell r="G15" t="str">
            <v/>
          </cell>
          <cell r="I15" t="str">
            <v/>
          </cell>
        </row>
        <row r="16">
          <cell r="C16" t="str">
            <v/>
          </cell>
          <cell r="E16" t="str">
            <v/>
          </cell>
          <cell r="G16" t="str">
            <v/>
          </cell>
          <cell r="I16" t="str">
            <v/>
          </cell>
        </row>
        <row r="17">
          <cell r="C17" t="str">
            <v/>
          </cell>
          <cell r="E17" t="str">
            <v/>
          </cell>
          <cell r="G17" t="str">
            <v/>
          </cell>
          <cell r="I17" t="str">
            <v/>
          </cell>
        </row>
        <row r="18">
          <cell r="C18" t="str">
            <v/>
          </cell>
          <cell r="E18" t="str">
            <v/>
          </cell>
          <cell r="G18" t="str">
            <v/>
          </cell>
          <cell r="I18" t="str">
            <v/>
          </cell>
        </row>
        <row r="19">
          <cell r="C19" t="str">
            <v/>
          </cell>
          <cell r="E19" t="str">
            <v/>
          </cell>
          <cell r="G19" t="str">
            <v/>
          </cell>
          <cell r="I19" t="str">
            <v/>
          </cell>
        </row>
        <row r="20">
          <cell r="C20" t="str">
            <v/>
          </cell>
          <cell r="E20" t="str">
            <v/>
          </cell>
          <cell r="G20" t="str">
            <v/>
          </cell>
          <cell r="I20" t="str">
            <v/>
          </cell>
        </row>
        <row r="21">
          <cell r="C21" t="str">
            <v/>
          </cell>
          <cell r="E21" t="str">
            <v/>
          </cell>
          <cell r="G21" t="str">
            <v/>
          </cell>
          <cell r="I21" t="str">
            <v/>
          </cell>
        </row>
        <row r="22">
          <cell r="C22" t="str">
            <v/>
          </cell>
          <cell r="E22" t="str">
            <v/>
          </cell>
          <cell r="G22" t="str">
            <v/>
          </cell>
          <cell r="I22" t="str">
            <v/>
          </cell>
        </row>
        <row r="23">
          <cell r="C23" t="str">
            <v/>
          </cell>
          <cell r="E23" t="str">
            <v/>
          </cell>
          <cell r="G23" t="str">
            <v/>
          </cell>
          <cell r="I23" t="str">
            <v/>
          </cell>
        </row>
        <row r="24">
          <cell r="C24" t="str">
            <v/>
          </cell>
          <cell r="E24" t="str">
            <v/>
          </cell>
          <cell r="G24" t="str">
            <v/>
          </cell>
          <cell r="I24" t="str">
            <v/>
          </cell>
        </row>
        <row r="25">
          <cell r="C25" t="str">
            <v/>
          </cell>
          <cell r="E25" t="str">
            <v/>
          </cell>
          <cell r="G25" t="str">
            <v/>
          </cell>
          <cell r="I25" t="str">
            <v/>
          </cell>
        </row>
        <row r="26">
          <cell r="C26" t="str">
            <v/>
          </cell>
          <cell r="E26" t="str">
            <v/>
          </cell>
          <cell r="G26" t="str">
            <v/>
          </cell>
          <cell r="I26" t="str">
            <v/>
          </cell>
        </row>
        <row r="27">
          <cell r="C27" t="str">
            <v/>
          </cell>
          <cell r="E27" t="str">
            <v/>
          </cell>
          <cell r="G27" t="str">
            <v/>
          </cell>
          <cell r="I27" t="str">
            <v/>
          </cell>
        </row>
        <row r="28">
          <cell r="C28" t="str">
            <v/>
          </cell>
          <cell r="E28" t="str">
            <v/>
          </cell>
          <cell r="G28" t="str">
            <v/>
          </cell>
          <cell r="I28" t="str">
            <v/>
          </cell>
        </row>
        <row r="29">
          <cell r="C29" t="str">
            <v/>
          </cell>
          <cell r="E29" t="str">
            <v/>
          </cell>
          <cell r="G29" t="str">
            <v/>
          </cell>
          <cell r="I29" t="str">
            <v/>
          </cell>
        </row>
        <row r="30">
          <cell r="C30" t="str">
            <v/>
          </cell>
          <cell r="E30" t="str">
            <v/>
          </cell>
          <cell r="G30" t="str">
            <v/>
          </cell>
          <cell r="I30" t="str">
            <v/>
          </cell>
        </row>
        <row r="31">
          <cell r="C31" t="str">
            <v/>
          </cell>
          <cell r="E31" t="str">
            <v/>
          </cell>
          <cell r="G31" t="str">
            <v/>
          </cell>
          <cell r="I31" t="str">
            <v/>
          </cell>
        </row>
        <row r="32">
          <cell r="C32" t="str">
            <v/>
          </cell>
          <cell r="E32" t="str">
            <v/>
          </cell>
          <cell r="G32" t="str">
            <v/>
          </cell>
          <cell r="I32" t="str">
            <v/>
          </cell>
        </row>
        <row r="33">
          <cell r="C33" t="str">
            <v/>
          </cell>
          <cell r="E33" t="str">
            <v/>
          </cell>
          <cell r="G33" t="str">
            <v/>
          </cell>
          <cell r="I33" t="str">
            <v/>
          </cell>
        </row>
        <row r="34">
          <cell r="C34" t="str">
            <v/>
          </cell>
          <cell r="E34" t="str">
            <v/>
          </cell>
          <cell r="G34" t="str">
            <v/>
          </cell>
          <cell r="I34" t="str">
            <v/>
          </cell>
        </row>
        <row r="35">
          <cell r="C35" t="str">
            <v/>
          </cell>
          <cell r="E35" t="str">
            <v/>
          </cell>
          <cell r="G35" t="str">
            <v/>
          </cell>
          <cell r="I35" t="str">
            <v/>
          </cell>
        </row>
        <row r="36">
          <cell r="C36" t="str">
            <v/>
          </cell>
          <cell r="E36" t="str">
            <v/>
          </cell>
          <cell r="G36" t="str">
            <v/>
          </cell>
          <cell r="I36" t="str">
            <v/>
          </cell>
        </row>
        <row r="37">
          <cell r="C37" t="str">
            <v/>
          </cell>
          <cell r="E37" t="str">
            <v/>
          </cell>
          <cell r="G37" t="str">
            <v/>
          </cell>
          <cell r="I37" t="str">
            <v/>
          </cell>
        </row>
        <row r="38">
          <cell r="C38" t="str">
            <v/>
          </cell>
          <cell r="E38" t="str">
            <v/>
          </cell>
          <cell r="G38" t="str">
            <v/>
          </cell>
          <cell r="I38" t="str">
            <v/>
          </cell>
        </row>
        <row r="39">
          <cell r="C39" t="str">
            <v/>
          </cell>
          <cell r="E39" t="str">
            <v/>
          </cell>
          <cell r="G39" t="str">
            <v/>
          </cell>
          <cell r="I39" t="str">
            <v/>
          </cell>
        </row>
        <row r="40">
          <cell r="C40" t="str">
            <v/>
          </cell>
          <cell r="E40" t="str">
            <v/>
          </cell>
          <cell r="G40" t="str">
            <v/>
          </cell>
          <cell r="I40" t="str">
            <v/>
          </cell>
        </row>
        <row r="41">
          <cell r="C41" t="str">
            <v/>
          </cell>
          <cell r="E41" t="str">
            <v/>
          </cell>
          <cell r="G41" t="str">
            <v/>
          </cell>
          <cell r="I41" t="str">
            <v/>
          </cell>
        </row>
        <row r="42">
          <cell r="C42" t="str">
            <v/>
          </cell>
          <cell r="E42" t="str">
            <v/>
          </cell>
          <cell r="G42" t="str">
            <v/>
          </cell>
          <cell r="I42" t="str">
            <v/>
          </cell>
        </row>
        <row r="43">
          <cell r="C43" t="str">
            <v/>
          </cell>
          <cell r="E43" t="str">
            <v/>
          </cell>
          <cell r="G43" t="str">
            <v/>
          </cell>
          <cell r="I43" t="str">
            <v/>
          </cell>
        </row>
        <row r="44">
          <cell r="C44" t="str">
            <v/>
          </cell>
          <cell r="E44" t="str">
            <v/>
          </cell>
          <cell r="G44" t="str">
            <v/>
          </cell>
          <cell r="I44" t="str">
            <v/>
          </cell>
        </row>
        <row r="45">
          <cell r="C45" t="str">
            <v/>
          </cell>
          <cell r="E45" t="str">
            <v/>
          </cell>
          <cell r="G45" t="str">
            <v/>
          </cell>
          <cell r="I45" t="str">
            <v/>
          </cell>
        </row>
        <row r="46">
          <cell r="C46" t="str">
            <v/>
          </cell>
          <cell r="E46" t="str">
            <v/>
          </cell>
          <cell r="G46" t="str">
            <v/>
          </cell>
          <cell r="I46" t="str">
            <v/>
          </cell>
        </row>
        <row r="47">
          <cell r="C47" t="str">
            <v/>
          </cell>
          <cell r="E47" t="str">
            <v/>
          </cell>
          <cell r="G47" t="str">
            <v/>
          </cell>
          <cell r="I47" t="str">
            <v/>
          </cell>
        </row>
        <row r="48">
          <cell r="C48" t="str">
            <v/>
          </cell>
          <cell r="E48" t="str">
            <v/>
          </cell>
          <cell r="G48" t="str">
            <v/>
          </cell>
          <cell r="I48" t="str">
            <v/>
          </cell>
        </row>
        <row r="49">
          <cell r="C49" t="str">
            <v/>
          </cell>
          <cell r="E49" t="str">
            <v/>
          </cell>
          <cell r="G49" t="str">
            <v/>
          </cell>
          <cell r="I49" t="str">
            <v/>
          </cell>
        </row>
        <row r="50">
          <cell r="C50" t="str">
            <v/>
          </cell>
          <cell r="E50" t="str">
            <v/>
          </cell>
          <cell r="G50" t="str">
            <v/>
          </cell>
          <cell r="I50" t="str">
            <v/>
          </cell>
        </row>
        <row r="51">
          <cell r="C51" t="str">
            <v/>
          </cell>
          <cell r="E51" t="str">
            <v/>
          </cell>
          <cell r="G51" t="str">
            <v/>
          </cell>
          <cell r="I51" t="str">
            <v/>
          </cell>
        </row>
        <row r="52">
          <cell r="E52" t="str">
            <v/>
          </cell>
          <cell r="G52" t="str">
            <v/>
          </cell>
          <cell r="I52" t="str">
            <v/>
          </cell>
        </row>
        <row r="53">
          <cell r="E53" t="str">
            <v/>
          </cell>
          <cell r="G53" t="str">
            <v/>
          </cell>
          <cell r="I53" t="str">
            <v/>
          </cell>
        </row>
      </sheetData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成績簿"/>
      <sheetName val="成績簿1"/>
      <sheetName val="成績一覽表"/>
      <sheetName val="成績分析表"/>
      <sheetName val="期中考成績表"/>
      <sheetName val="成績簿 (2)"/>
      <sheetName val="SetUp"/>
      <sheetName val="基本設定"/>
      <sheetName val="條件設定"/>
      <sheetName val="名條"/>
      <sheetName val="Print"/>
    </sheetNames>
    <sheetDataSet>
      <sheetData sheetId="0" refreshError="1"/>
      <sheetData sheetId="1"/>
      <sheetData sheetId="2" refreshError="1"/>
      <sheetData sheetId="3">
        <row r="9">
          <cell r="C9">
            <v>99</v>
          </cell>
          <cell r="E9" t="str">
            <v/>
          </cell>
          <cell r="G9" t="str">
            <v/>
          </cell>
          <cell r="I9" t="str">
            <v/>
          </cell>
        </row>
        <row r="10">
          <cell r="C10">
            <v>100</v>
          </cell>
          <cell r="E10" t="str">
            <v/>
          </cell>
          <cell r="G10" t="str">
            <v/>
          </cell>
          <cell r="I10" t="str">
            <v/>
          </cell>
        </row>
        <row r="11">
          <cell r="C11">
            <v>50</v>
          </cell>
          <cell r="E11" t="str">
            <v/>
          </cell>
          <cell r="G11" t="str">
            <v/>
          </cell>
          <cell r="I11" t="str">
            <v/>
          </cell>
        </row>
        <row r="12">
          <cell r="C12" t="str">
            <v/>
          </cell>
          <cell r="E12" t="str">
            <v/>
          </cell>
          <cell r="G12" t="str">
            <v/>
          </cell>
          <cell r="I12" t="str">
            <v/>
          </cell>
        </row>
        <row r="13">
          <cell r="C13" t="str">
            <v/>
          </cell>
          <cell r="E13" t="str">
            <v/>
          </cell>
          <cell r="G13" t="str">
            <v/>
          </cell>
          <cell r="I13" t="str">
            <v/>
          </cell>
        </row>
        <row r="14">
          <cell r="C14" t="str">
            <v/>
          </cell>
          <cell r="E14" t="str">
            <v/>
          </cell>
          <cell r="G14" t="str">
            <v/>
          </cell>
          <cell r="I14" t="str">
            <v/>
          </cell>
        </row>
        <row r="15">
          <cell r="C15" t="str">
            <v/>
          </cell>
          <cell r="E15" t="str">
            <v/>
          </cell>
          <cell r="G15" t="str">
            <v/>
          </cell>
          <cell r="I15" t="str">
            <v/>
          </cell>
        </row>
        <row r="16">
          <cell r="C16" t="str">
            <v/>
          </cell>
          <cell r="E16" t="str">
            <v/>
          </cell>
          <cell r="G16" t="str">
            <v/>
          </cell>
          <cell r="I16" t="str">
            <v/>
          </cell>
        </row>
        <row r="17">
          <cell r="C17" t="str">
            <v/>
          </cell>
          <cell r="E17" t="str">
            <v/>
          </cell>
          <cell r="G17" t="str">
            <v/>
          </cell>
          <cell r="I17" t="str">
            <v/>
          </cell>
        </row>
        <row r="18">
          <cell r="C18" t="str">
            <v/>
          </cell>
          <cell r="E18" t="str">
            <v/>
          </cell>
          <cell r="G18" t="str">
            <v/>
          </cell>
          <cell r="I18" t="str">
            <v/>
          </cell>
        </row>
        <row r="19">
          <cell r="C19" t="str">
            <v/>
          </cell>
          <cell r="E19" t="str">
            <v/>
          </cell>
          <cell r="G19" t="str">
            <v/>
          </cell>
          <cell r="I19" t="str">
            <v/>
          </cell>
        </row>
        <row r="20">
          <cell r="C20" t="str">
            <v/>
          </cell>
          <cell r="E20" t="str">
            <v/>
          </cell>
          <cell r="G20" t="str">
            <v/>
          </cell>
          <cell r="I20" t="str">
            <v/>
          </cell>
        </row>
        <row r="21">
          <cell r="C21" t="str">
            <v/>
          </cell>
          <cell r="E21" t="str">
            <v/>
          </cell>
          <cell r="G21" t="str">
            <v/>
          </cell>
          <cell r="I21" t="str">
            <v/>
          </cell>
        </row>
        <row r="22">
          <cell r="C22" t="str">
            <v/>
          </cell>
          <cell r="E22" t="str">
            <v/>
          </cell>
          <cell r="G22" t="str">
            <v/>
          </cell>
          <cell r="I22" t="str">
            <v/>
          </cell>
        </row>
        <row r="23">
          <cell r="C23" t="str">
            <v/>
          </cell>
          <cell r="E23" t="str">
            <v/>
          </cell>
          <cell r="G23" t="str">
            <v/>
          </cell>
          <cell r="I23" t="str">
            <v/>
          </cell>
        </row>
        <row r="24">
          <cell r="C24" t="str">
            <v/>
          </cell>
          <cell r="E24" t="str">
            <v/>
          </cell>
          <cell r="G24" t="str">
            <v/>
          </cell>
          <cell r="I24" t="str">
            <v/>
          </cell>
        </row>
        <row r="25">
          <cell r="C25" t="str">
            <v/>
          </cell>
          <cell r="E25" t="str">
            <v/>
          </cell>
          <cell r="G25" t="str">
            <v/>
          </cell>
          <cell r="I25" t="str">
            <v/>
          </cell>
        </row>
        <row r="26">
          <cell r="C26" t="str">
            <v/>
          </cell>
          <cell r="E26" t="str">
            <v/>
          </cell>
          <cell r="G26" t="str">
            <v/>
          </cell>
          <cell r="I26" t="str">
            <v/>
          </cell>
        </row>
        <row r="27">
          <cell r="C27" t="str">
            <v/>
          </cell>
          <cell r="E27" t="str">
            <v/>
          </cell>
          <cell r="G27" t="str">
            <v/>
          </cell>
          <cell r="I27" t="str">
            <v/>
          </cell>
        </row>
        <row r="28">
          <cell r="C28" t="str">
            <v/>
          </cell>
          <cell r="E28" t="str">
            <v/>
          </cell>
          <cell r="G28" t="str">
            <v/>
          </cell>
          <cell r="I28" t="str">
            <v/>
          </cell>
        </row>
        <row r="29">
          <cell r="C29" t="str">
            <v/>
          </cell>
          <cell r="E29" t="str">
            <v/>
          </cell>
          <cell r="G29" t="str">
            <v/>
          </cell>
          <cell r="I29" t="str">
            <v/>
          </cell>
        </row>
        <row r="30">
          <cell r="C30" t="str">
            <v/>
          </cell>
          <cell r="E30" t="str">
            <v/>
          </cell>
          <cell r="G30" t="str">
            <v/>
          </cell>
          <cell r="I30" t="str">
            <v/>
          </cell>
        </row>
        <row r="31">
          <cell r="C31" t="str">
            <v/>
          </cell>
          <cell r="E31" t="str">
            <v/>
          </cell>
          <cell r="G31" t="str">
            <v/>
          </cell>
          <cell r="I31" t="str">
            <v/>
          </cell>
        </row>
        <row r="32">
          <cell r="C32" t="str">
            <v/>
          </cell>
          <cell r="E32" t="str">
            <v/>
          </cell>
          <cell r="G32" t="str">
            <v/>
          </cell>
          <cell r="I32" t="str">
            <v/>
          </cell>
        </row>
        <row r="33">
          <cell r="C33" t="str">
            <v/>
          </cell>
          <cell r="E33" t="str">
            <v/>
          </cell>
          <cell r="G33" t="str">
            <v/>
          </cell>
          <cell r="I33" t="str">
            <v/>
          </cell>
        </row>
        <row r="34">
          <cell r="C34" t="str">
            <v/>
          </cell>
          <cell r="E34" t="str">
            <v/>
          </cell>
          <cell r="G34" t="str">
            <v/>
          </cell>
          <cell r="I34" t="str">
            <v/>
          </cell>
        </row>
        <row r="35">
          <cell r="C35" t="str">
            <v/>
          </cell>
          <cell r="E35" t="str">
            <v/>
          </cell>
          <cell r="G35" t="str">
            <v/>
          </cell>
          <cell r="I35" t="str">
            <v/>
          </cell>
        </row>
        <row r="36">
          <cell r="C36" t="str">
            <v/>
          </cell>
          <cell r="E36" t="str">
            <v/>
          </cell>
          <cell r="G36" t="str">
            <v/>
          </cell>
          <cell r="I36" t="str">
            <v/>
          </cell>
        </row>
        <row r="37">
          <cell r="C37" t="str">
            <v/>
          </cell>
          <cell r="E37" t="str">
            <v/>
          </cell>
          <cell r="G37" t="str">
            <v/>
          </cell>
          <cell r="I37" t="str">
            <v/>
          </cell>
        </row>
        <row r="38">
          <cell r="C38" t="str">
            <v/>
          </cell>
          <cell r="E38" t="str">
            <v/>
          </cell>
          <cell r="G38" t="str">
            <v/>
          </cell>
          <cell r="I38" t="str">
            <v/>
          </cell>
        </row>
        <row r="39">
          <cell r="C39" t="str">
            <v/>
          </cell>
          <cell r="E39" t="str">
            <v/>
          </cell>
          <cell r="G39" t="str">
            <v/>
          </cell>
          <cell r="I39" t="str">
            <v/>
          </cell>
        </row>
        <row r="40">
          <cell r="C40" t="str">
            <v/>
          </cell>
          <cell r="E40" t="str">
            <v/>
          </cell>
          <cell r="G40" t="str">
            <v/>
          </cell>
          <cell r="I40" t="str">
            <v/>
          </cell>
        </row>
        <row r="41">
          <cell r="C41" t="str">
            <v/>
          </cell>
          <cell r="E41" t="str">
            <v/>
          </cell>
          <cell r="G41" t="str">
            <v/>
          </cell>
          <cell r="I41" t="str">
            <v/>
          </cell>
        </row>
        <row r="42">
          <cell r="C42" t="str">
            <v/>
          </cell>
          <cell r="E42" t="str">
            <v/>
          </cell>
          <cell r="G42" t="str">
            <v/>
          </cell>
          <cell r="I42" t="str">
            <v/>
          </cell>
        </row>
        <row r="43">
          <cell r="C43" t="str">
            <v/>
          </cell>
          <cell r="E43" t="str">
            <v/>
          </cell>
          <cell r="G43" t="str">
            <v/>
          </cell>
          <cell r="I43" t="str">
            <v/>
          </cell>
        </row>
        <row r="44">
          <cell r="C44" t="str">
            <v/>
          </cell>
          <cell r="E44" t="str">
            <v/>
          </cell>
          <cell r="G44" t="str">
            <v/>
          </cell>
          <cell r="I44" t="str">
            <v/>
          </cell>
        </row>
        <row r="45">
          <cell r="C45" t="str">
            <v/>
          </cell>
          <cell r="E45" t="str">
            <v/>
          </cell>
          <cell r="G45" t="str">
            <v/>
          </cell>
          <cell r="I45" t="str">
            <v/>
          </cell>
        </row>
        <row r="46">
          <cell r="C46" t="str">
            <v/>
          </cell>
          <cell r="E46" t="str">
            <v/>
          </cell>
          <cell r="G46" t="str">
            <v/>
          </cell>
          <cell r="I46" t="str">
            <v/>
          </cell>
        </row>
        <row r="47">
          <cell r="C47" t="str">
            <v/>
          </cell>
          <cell r="E47" t="str">
            <v/>
          </cell>
          <cell r="G47" t="str">
            <v/>
          </cell>
          <cell r="I47" t="str">
            <v/>
          </cell>
        </row>
        <row r="48">
          <cell r="C48" t="str">
            <v/>
          </cell>
          <cell r="E48" t="str">
            <v/>
          </cell>
          <cell r="G48" t="str">
            <v/>
          </cell>
          <cell r="I48" t="str">
            <v/>
          </cell>
        </row>
        <row r="49">
          <cell r="C49" t="str">
            <v/>
          </cell>
          <cell r="E49" t="str">
            <v/>
          </cell>
          <cell r="G49" t="str">
            <v/>
          </cell>
          <cell r="I49" t="str">
            <v/>
          </cell>
        </row>
        <row r="50">
          <cell r="C50" t="str">
            <v/>
          </cell>
          <cell r="E50" t="str">
            <v/>
          </cell>
          <cell r="G50" t="str">
            <v/>
          </cell>
          <cell r="I50" t="str">
            <v/>
          </cell>
        </row>
        <row r="51">
          <cell r="C51" t="str">
            <v/>
          </cell>
          <cell r="E51" t="str">
            <v/>
          </cell>
          <cell r="G51" t="str">
            <v/>
          </cell>
          <cell r="I51" t="str">
            <v/>
          </cell>
        </row>
        <row r="52">
          <cell r="E52" t="str">
            <v/>
          </cell>
          <cell r="G52" t="str">
            <v/>
          </cell>
          <cell r="I52" t="str">
            <v/>
          </cell>
        </row>
        <row r="53">
          <cell r="E53" t="str">
            <v/>
          </cell>
          <cell r="G53" t="str">
            <v/>
          </cell>
          <cell r="I53" t="str">
            <v/>
          </cell>
        </row>
      </sheetData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成績簿"/>
      <sheetName val="成績簿1"/>
      <sheetName val="成績一覽表"/>
      <sheetName val="成績分析表"/>
      <sheetName val="期中考成績表"/>
      <sheetName val="成績簿 (2)"/>
      <sheetName val="SetUp"/>
      <sheetName val="基本設定"/>
      <sheetName val="條件設定"/>
      <sheetName val="名條"/>
      <sheetName val="Print"/>
    </sheetNames>
    <sheetDataSet>
      <sheetData sheetId="0" refreshError="1"/>
      <sheetData sheetId="1"/>
      <sheetData sheetId="2" refreshError="1"/>
      <sheetData sheetId="3">
        <row r="9">
          <cell r="C9">
            <v>99</v>
          </cell>
          <cell r="E9" t="str">
            <v/>
          </cell>
          <cell r="G9" t="str">
            <v/>
          </cell>
          <cell r="I9" t="str">
            <v/>
          </cell>
        </row>
        <row r="10">
          <cell r="C10">
            <v>100</v>
          </cell>
          <cell r="E10" t="str">
            <v/>
          </cell>
          <cell r="G10" t="str">
            <v/>
          </cell>
          <cell r="I10" t="str">
            <v/>
          </cell>
        </row>
        <row r="11">
          <cell r="C11">
            <v>50</v>
          </cell>
          <cell r="E11" t="str">
            <v/>
          </cell>
          <cell r="G11" t="str">
            <v/>
          </cell>
          <cell r="I11" t="str">
            <v/>
          </cell>
        </row>
        <row r="12">
          <cell r="C12" t="str">
            <v/>
          </cell>
          <cell r="E12" t="str">
            <v/>
          </cell>
          <cell r="G12" t="str">
            <v/>
          </cell>
          <cell r="I12" t="str">
            <v/>
          </cell>
        </row>
        <row r="13">
          <cell r="C13" t="str">
            <v/>
          </cell>
          <cell r="E13" t="str">
            <v/>
          </cell>
          <cell r="G13" t="str">
            <v/>
          </cell>
          <cell r="I13" t="str">
            <v/>
          </cell>
        </row>
        <row r="14">
          <cell r="C14" t="str">
            <v/>
          </cell>
          <cell r="E14" t="str">
            <v/>
          </cell>
          <cell r="G14" t="str">
            <v/>
          </cell>
          <cell r="I14" t="str">
            <v/>
          </cell>
        </row>
        <row r="15">
          <cell r="C15" t="str">
            <v/>
          </cell>
          <cell r="E15" t="str">
            <v/>
          </cell>
          <cell r="G15" t="str">
            <v/>
          </cell>
          <cell r="I15" t="str">
            <v/>
          </cell>
        </row>
        <row r="16">
          <cell r="C16" t="str">
            <v/>
          </cell>
          <cell r="E16" t="str">
            <v/>
          </cell>
          <cell r="G16" t="str">
            <v/>
          </cell>
          <cell r="I16" t="str">
            <v/>
          </cell>
        </row>
        <row r="17">
          <cell r="C17" t="str">
            <v/>
          </cell>
          <cell r="E17" t="str">
            <v/>
          </cell>
          <cell r="G17" t="str">
            <v/>
          </cell>
          <cell r="I17" t="str">
            <v/>
          </cell>
        </row>
        <row r="18">
          <cell r="C18" t="str">
            <v/>
          </cell>
          <cell r="E18" t="str">
            <v/>
          </cell>
          <cell r="G18" t="str">
            <v/>
          </cell>
          <cell r="I18" t="str">
            <v/>
          </cell>
        </row>
        <row r="19">
          <cell r="C19" t="str">
            <v/>
          </cell>
          <cell r="E19" t="str">
            <v/>
          </cell>
          <cell r="G19" t="str">
            <v/>
          </cell>
          <cell r="I19" t="str">
            <v/>
          </cell>
        </row>
        <row r="20">
          <cell r="C20" t="str">
            <v/>
          </cell>
          <cell r="E20" t="str">
            <v/>
          </cell>
          <cell r="G20" t="str">
            <v/>
          </cell>
          <cell r="I20" t="str">
            <v/>
          </cell>
        </row>
        <row r="21">
          <cell r="C21" t="str">
            <v/>
          </cell>
          <cell r="E21" t="str">
            <v/>
          </cell>
          <cell r="G21" t="str">
            <v/>
          </cell>
          <cell r="I21" t="str">
            <v/>
          </cell>
        </row>
        <row r="22">
          <cell r="C22" t="str">
            <v/>
          </cell>
          <cell r="E22" t="str">
            <v/>
          </cell>
          <cell r="G22" t="str">
            <v/>
          </cell>
          <cell r="I22" t="str">
            <v/>
          </cell>
        </row>
        <row r="23">
          <cell r="C23" t="str">
            <v/>
          </cell>
          <cell r="E23" t="str">
            <v/>
          </cell>
          <cell r="G23" t="str">
            <v/>
          </cell>
          <cell r="I23" t="str">
            <v/>
          </cell>
        </row>
        <row r="24">
          <cell r="C24" t="str">
            <v/>
          </cell>
          <cell r="E24" t="str">
            <v/>
          </cell>
          <cell r="G24" t="str">
            <v/>
          </cell>
          <cell r="I24" t="str">
            <v/>
          </cell>
        </row>
        <row r="25">
          <cell r="C25" t="str">
            <v/>
          </cell>
          <cell r="E25" t="str">
            <v/>
          </cell>
          <cell r="G25" t="str">
            <v/>
          </cell>
          <cell r="I25" t="str">
            <v/>
          </cell>
        </row>
        <row r="26">
          <cell r="C26" t="str">
            <v/>
          </cell>
          <cell r="E26" t="str">
            <v/>
          </cell>
          <cell r="G26" t="str">
            <v/>
          </cell>
          <cell r="I26" t="str">
            <v/>
          </cell>
        </row>
        <row r="27">
          <cell r="C27" t="str">
            <v/>
          </cell>
          <cell r="E27" t="str">
            <v/>
          </cell>
          <cell r="G27" t="str">
            <v/>
          </cell>
          <cell r="I27" t="str">
            <v/>
          </cell>
        </row>
        <row r="28">
          <cell r="C28" t="str">
            <v/>
          </cell>
          <cell r="E28" t="str">
            <v/>
          </cell>
          <cell r="G28" t="str">
            <v/>
          </cell>
          <cell r="I28" t="str">
            <v/>
          </cell>
        </row>
        <row r="29">
          <cell r="C29" t="str">
            <v/>
          </cell>
          <cell r="E29" t="str">
            <v/>
          </cell>
          <cell r="G29" t="str">
            <v/>
          </cell>
          <cell r="I29" t="str">
            <v/>
          </cell>
        </row>
        <row r="30">
          <cell r="C30" t="str">
            <v/>
          </cell>
          <cell r="E30" t="str">
            <v/>
          </cell>
          <cell r="G30" t="str">
            <v/>
          </cell>
          <cell r="I30" t="str">
            <v/>
          </cell>
        </row>
        <row r="31">
          <cell r="C31" t="str">
            <v/>
          </cell>
          <cell r="E31" t="str">
            <v/>
          </cell>
          <cell r="G31" t="str">
            <v/>
          </cell>
          <cell r="I31" t="str">
            <v/>
          </cell>
        </row>
        <row r="32">
          <cell r="C32" t="str">
            <v/>
          </cell>
          <cell r="E32" t="str">
            <v/>
          </cell>
          <cell r="G32" t="str">
            <v/>
          </cell>
          <cell r="I32" t="str">
            <v/>
          </cell>
        </row>
        <row r="33">
          <cell r="C33" t="str">
            <v/>
          </cell>
          <cell r="E33" t="str">
            <v/>
          </cell>
          <cell r="G33" t="str">
            <v/>
          </cell>
          <cell r="I33" t="str">
            <v/>
          </cell>
        </row>
        <row r="34">
          <cell r="C34" t="str">
            <v/>
          </cell>
          <cell r="E34" t="str">
            <v/>
          </cell>
          <cell r="G34" t="str">
            <v/>
          </cell>
          <cell r="I34" t="str">
            <v/>
          </cell>
        </row>
        <row r="35">
          <cell r="C35" t="str">
            <v/>
          </cell>
          <cell r="E35" t="str">
            <v/>
          </cell>
          <cell r="G35" t="str">
            <v/>
          </cell>
          <cell r="I35" t="str">
            <v/>
          </cell>
        </row>
        <row r="36">
          <cell r="C36" t="str">
            <v/>
          </cell>
          <cell r="E36" t="str">
            <v/>
          </cell>
          <cell r="G36" t="str">
            <v/>
          </cell>
          <cell r="I36" t="str">
            <v/>
          </cell>
        </row>
        <row r="37">
          <cell r="C37" t="str">
            <v/>
          </cell>
          <cell r="E37" t="str">
            <v/>
          </cell>
          <cell r="G37" t="str">
            <v/>
          </cell>
          <cell r="I37" t="str">
            <v/>
          </cell>
        </row>
        <row r="38">
          <cell r="C38" t="str">
            <v/>
          </cell>
          <cell r="E38" t="str">
            <v/>
          </cell>
          <cell r="G38" t="str">
            <v/>
          </cell>
          <cell r="I38" t="str">
            <v/>
          </cell>
        </row>
        <row r="39">
          <cell r="C39" t="str">
            <v/>
          </cell>
          <cell r="E39" t="str">
            <v/>
          </cell>
          <cell r="G39" t="str">
            <v/>
          </cell>
          <cell r="I39" t="str">
            <v/>
          </cell>
        </row>
        <row r="40">
          <cell r="C40" t="str">
            <v/>
          </cell>
          <cell r="E40" t="str">
            <v/>
          </cell>
          <cell r="G40" t="str">
            <v/>
          </cell>
          <cell r="I40" t="str">
            <v/>
          </cell>
        </row>
        <row r="41">
          <cell r="C41" t="str">
            <v/>
          </cell>
          <cell r="E41" t="str">
            <v/>
          </cell>
          <cell r="G41" t="str">
            <v/>
          </cell>
          <cell r="I41" t="str">
            <v/>
          </cell>
        </row>
        <row r="42">
          <cell r="C42" t="str">
            <v/>
          </cell>
          <cell r="E42" t="str">
            <v/>
          </cell>
          <cell r="G42" t="str">
            <v/>
          </cell>
          <cell r="I42" t="str">
            <v/>
          </cell>
        </row>
        <row r="43">
          <cell r="C43" t="str">
            <v/>
          </cell>
          <cell r="E43" t="str">
            <v/>
          </cell>
          <cell r="G43" t="str">
            <v/>
          </cell>
          <cell r="I43" t="str">
            <v/>
          </cell>
        </row>
        <row r="44">
          <cell r="C44" t="str">
            <v/>
          </cell>
          <cell r="E44" t="str">
            <v/>
          </cell>
          <cell r="G44" t="str">
            <v/>
          </cell>
          <cell r="I44" t="str">
            <v/>
          </cell>
        </row>
        <row r="45">
          <cell r="C45" t="str">
            <v/>
          </cell>
          <cell r="E45" t="str">
            <v/>
          </cell>
          <cell r="G45" t="str">
            <v/>
          </cell>
          <cell r="I45" t="str">
            <v/>
          </cell>
        </row>
        <row r="46">
          <cell r="C46" t="str">
            <v/>
          </cell>
          <cell r="E46" t="str">
            <v/>
          </cell>
          <cell r="G46" t="str">
            <v/>
          </cell>
          <cell r="I46" t="str">
            <v/>
          </cell>
        </row>
        <row r="47">
          <cell r="C47" t="str">
            <v/>
          </cell>
          <cell r="E47" t="str">
            <v/>
          </cell>
          <cell r="G47" t="str">
            <v/>
          </cell>
          <cell r="I47" t="str">
            <v/>
          </cell>
        </row>
        <row r="48">
          <cell r="C48" t="str">
            <v/>
          </cell>
          <cell r="E48" t="str">
            <v/>
          </cell>
          <cell r="G48" t="str">
            <v/>
          </cell>
          <cell r="I48" t="str">
            <v/>
          </cell>
        </row>
        <row r="49">
          <cell r="C49" t="str">
            <v/>
          </cell>
          <cell r="E49" t="str">
            <v/>
          </cell>
          <cell r="G49" t="str">
            <v/>
          </cell>
          <cell r="I49" t="str">
            <v/>
          </cell>
        </row>
        <row r="50">
          <cell r="C50" t="str">
            <v/>
          </cell>
          <cell r="E50" t="str">
            <v/>
          </cell>
          <cell r="G50" t="str">
            <v/>
          </cell>
          <cell r="I50" t="str">
            <v/>
          </cell>
        </row>
        <row r="51">
          <cell r="C51" t="str">
            <v/>
          </cell>
          <cell r="E51" t="str">
            <v/>
          </cell>
          <cell r="G51" t="str">
            <v/>
          </cell>
          <cell r="I51" t="str">
            <v/>
          </cell>
        </row>
        <row r="52">
          <cell r="E52" t="str">
            <v/>
          </cell>
          <cell r="G52" t="str">
            <v/>
          </cell>
          <cell r="I52" t="str">
            <v/>
          </cell>
        </row>
        <row r="53">
          <cell r="E53" t="str">
            <v/>
          </cell>
          <cell r="G53" t="str">
            <v/>
          </cell>
          <cell r="I53" t="str">
            <v/>
          </cell>
        </row>
      </sheetData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7-1"/>
      <sheetName val="98上學期"/>
      <sheetName val="100上學期"/>
      <sheetName val="101上學期"/>
      <sheetName val="Sheet3"/>
    </sheetNames>
    <sheetDataSet>
      <sheetData sheetId="0"/>
      <sheetData sheetId="1"/>
      <sheetData sheetId="2"/>
      <sheetData sheetId="3"/>
      <sheetData sheetId="4">
        <row r="2">
          <cell r="A2" t="str">
            <v>電子一忠</v>
          </cell>
        </row>
        <row r="3">
          <cell r="A3" t="str">
            <v>電子一孝</v>
          </cell>
        </row>
        <row r="4">
          <cell r="A4" t="str">
            <v>電子一仁</v>
          </cell>
        </row>
        <row r="5">
          <cell r="A5" t="str">
            <v>電子一愛</v>
          </cell>
        </row>
        <row r="6">
          <cell r="A6" t="str">
            <v>電子一信</v>
          </cell>
        </row>
        <row r="7">
          <cell r="A7" t="str">
            <v>電子一義</v>
          </cell>
        </row>
        <row r="8">
          <cell r="A8" t="str">
            <v>電機一忠</v>
          </cell>
        </row>
        <row r="9">
          <cell r="A9" t="str">
            <v>電機一孝</v>
          </cell>
        </row>
        <row r="10">
          <cell r="A10" t="str">
            <v>電機一仁</v>
          </cell>
        </row>
        <row r="11">
          <cell r="A11" t="str">
            <v>電機一愛</v>
          </cell>
        </row>
        <row r="12">
          <cell r="A12" t="str">
            <v>資訊一忠</v>
          </cell>
        </row>
        <row r="13">
          <cell r="A13" t="str">
            <v>資訊一孝</v>
          </cell>
        </row>
        <row r="14">
          <cell r="A14" t="str">
            <v>資訊一仁</v>
          </cell>
        </row>
        <row r="15">
          <cell r="A15" t="str">
            <v>控制一忠</v>
          </cell>
        </row>
        <row r="16">
          <cell r="A16" t="str">
            <v>控制一孝</v>
          </cell>
        </row>
        <row r="17">
          <cell r="A17" t="str">
            <v>控制一仁</v>
          </cell>
        </row>
        <row r="18">
          <cell r="A18" t="str">
            <v>冷凍一忠</v>
          </cell>
        </row>
        <row r="19">
          <cell r="A19" t="str">
            <v>冷凍一孝</v>
          </cell>
        </row>
        <row r="20">
          <cell r="A20" t="str">
            <v>綜職一忠</v>
          </cell>
        </row>
        <row r="21">
          <cell r="A21" t="str">
            <v>體育一忠</v>
          </cell>
        </row>
        <row r="22">
          <cell r="A22" t="str">
            <v>電子二忠</v>
          </cell>
        </row>
        <row r="23">
          <cell r="A23" t="str">
            <v>電子二孝</v>
          </cell>
        </row>
        <row r="24">
          <cell r="A24" t="str">
            <v>電子二仁</v>
          </cell>
        </row>
        <row r="25">
          <cell r="A25" t="str">
            <v>電子二愛</v>
          </cell>
        </row>
        <row r="26">
          <cell r="A26" t="str">
            <v>電子二信</v>
          </cell>
        </row>
        <row r="27">
          <cell r="A27" t="str">
            <v>電子二義</v>
          </cell>
        </row>
        <row r="28">
          <cell r="A28" t="str">
            <v>電機二忠</v>
          </cell>
        </row>
        <row r="29">
          <cell r="A29" t="str">
            <v>電機二孝</v>
          </cell>
        </row>
        <row r="30">
          <cell r="A30" t="str">
            <v>電機二仁</v>
          </cell>
        </row>
        <row r="31">
          <cell r="A31" t="str">
            <v>電機二愛</v>
          </cell>
        </row>
        <row r="32">
          <cell r="A32" t="str">
            <v>資訊二忠</v>
          </cell>
        </row>
        <row r="33">
          <cell r="A33" t="str">
            <v>資訊二孝</v>
          </cell>
        </row>
        <row r="34">
          <cell r="A34" t="str">
            <v>資訊二仁</v>
          </cell>
        </row>
        <row r="35">
          <cell r="A35" t="str">
            <v>控制二忠</v>
          </cell>
        </row>
        <row r="36">
          <cell r="A36" t="str">
            <v>控制二孝</v>
          </cell>
        </row>
        <row r="37">
          <cell r="A37" t="str">
            <v>控制二仁</v>
          </cell>
        </row>
        <row r="38">
          <cell r="A38" t="str">
            <v>冷凍二忠</v>
          </cell>
        </row>
        <row r="39">
          <cell r="A39" t="str">
            <v>冷凍二孝</v>
          </cell>
        </row>
        <row r="40">
          <cell r="A40" t="str">
            <v>綜職二忠</v>
          </cell>
        </row>
        <row r="41">
          <cell r="A41" t="str">
            <v>體育二忠</v>
          </cell>
        </row>
        <row r="42">
          <cell r="A42" t="str">
            <v>電子三忠</v>
          </cell>
        </row>
        <row r="43">
          <cell r="A43" t="str">
            <v>電子三孝</v>
          </cell>
        </row>
        <row r="44">
          <cell r="A44" t="str">
            <v>電子三仁</v>
          </cell>
        </row>
        <row r="45">
          <cell r="A45" t="str">
            <v>電子三愛</v>
          </cell>
        </row>
        <row r="46">
          <cell r="A46" t="str">
            <v>電子三信</v>
          </cell>
        </row>
        <row r="47">
          <cell r="A47" t="str">
            <v>電子三義</v>
          </cell>
        </row>
        <row r="48">
          <cell r="A48" t="str">
            <v>電機三忠</v>
          </cell>
        </row>
        <row r="49">
          <cell r="A49" t="str">
            <v>電機三孝</v>
          </cell>
        </row>
        <row r="50">
          <cell r="A50" t="str">
            <v>電機三仁</v>
          </cell>
        </row>
        <row r="51">
          <cell r="A51" t="str">
            <v>電機三愛</v>
          </cell>
        </row>
        <row r="52">
          <cell r="A52" t="str">
            <v>資訊三忠</v>
          </cell>
        </row>
        <row r="53">
          <cell r="A53" t="str">
            <v>資訊三孝</v>
          </cell>
        </row>
        <row r="54">
          <cell r="A54" t="str">
            <v>資訊三仁</v>
          </cell>
        </row>
        <row r="55">
          <cell r="A55" t="str">
            <v>控制三忠</v>
          </cell>
        </row>
        <row r="56">
          <cell r="A56" t="str">
            <v>控制三孝</v>
          </cell>
        </row>
        <row r="57">
          <cell r="A57" t="str">
            <v>控制三仁</v>
          </cell>
        </row>
        <row r="58">
          <cell r="A58" t="str">
            <v>冷凍三忠</v>
          </cell>
        </row>
        <row r="59">
          <cell r="A59" t="str">
            <v>冷凍三孝</v>
          </cell>
        </row>
        <row r="60">
          <cell r="A60" t="str">
            <v>綜職三忠</v>
          </cell>
        </row>
        <row r="61">
          <cell r="A61" t="str">
            <v>體育三忠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96.605536921299" createdVersion="6" refreshedVersion="6" recordCount="2320" xr:uid="{00000000-000A-0000-FFFF-FFFF00000000}">
  <cacheSource type="worksheet">
    <worksheetSource ref="A1:F65536" sheet="查表"/>
  </cacheSource>
  <cacheFields count="6">
    <cacheField name="班級" numFmtId="0">
      <sharedItems containsBlank="1" count="73">
        <s v="電子一忠"/>
        <s v="電子一孝"/>
        <s v="電子一仁"/>
        <s v="電子一愛"/>
        <s v="電機一忠"/>
        <s v="電機一孝"/>
        <s v="電機一仁"/>
        <s v="電機一愛"/>
        <s v="資訊一忠"/>
        <s v="資訊一孝"/>
        <s v="資訊一仁"/>
        <s v="控制一忠"/>
        <s v="控制一孝"/>
        <s v="冷凍一忠"/>
        <s v="冷凍一孝"/>
        <s v="應英一忠"/>
        <s v="應英一孝"/>
        <s v="門服一忠"/>
        <s v="體育一忠"/>
        <s v="電子二忠"/>
        <s v="電子二孝"/>
        <s v="電子二仁"/>
        <s v="電子二愛"/>
        <s v="電機二忠"/>
        <s v="電機二孝"/>
        <s v="電機二仁"/>
        <s v="電機二愛"/>
        <s v="資訊二忠"/>
        <s v="資訊二孝"/>
        <s v="資訊二仁"/>
        <s v="控制二忠"/>
        <s v="控制二孝"/>
        <s v="冷凍二忠"/>
        <s v="冷凍二孝"/>
        <s v="應英二忠"/>
        <s v="應英二孝"/>
        <s v="門服二忠"/>
        <s v="微電二忠"/>
        <s v="體育二忠"/>
        <s v="電子三忠"/>
        <s v="電子三孝"/>
        <s v="電子三仁"/>
        <s v="電子三愛"/>
        <s v="電機三忠"/>
        <s v="電機三孝"/>
        <s v="電機三仁"/>
        <s v="電機三愛"/>
        <s v="資訊三忠"/>
        <s v="資訊三孝"/>
        <s v="資訊三仁"/>
        <s v="控制三忠"/>
        <s v="控制三孝"/>
        <s v="冷凍三忠"/>
        <s v="冷凍三孝"/>
        <s v="應英三忠"/>
        <s v="應英三孝"/>
        <s v="門服三忠"/>
        <s v="體育三忠"/>
        <m/>
        <s v="綜職一忠" u="1"/>
        <s v="綜職三忠" u="1"/>
        <s v="微電一忠" u="1"/>
        <s v="應外二孝" u="1"/>
        <s v="應外二忠" u="1"/>
        <s v="應外一孝" u="1"/>
        <s v="應外三孝" u="1"/>
        <s v="綜職二孝" u="1"/>
        <s v="應外一忠" u="1"/>
        <s v="應外三忠" u="1"/>
        <s v="綜職二忠" u="1"/>
        <s v="綜職一孝" u="1"/>
        <s v="綜職三孝" u="1"/>
        <s v="微電一孝" u="1"/>
      </sharedItems>
    </cacheField>
    <cacheField name="座號" numFmtId="0">
      <sharedItems containsString="0" containsBlank="1" containsNumber="1" containsInteger="1" minValue="1" maxValue="39"/>
    </cacheField>
    <cacheField name="學號" numFmtId="0">
      <sharedItems containsBlank="1" containsMixedTypes="1" containsNumber="1" containsInteger="1" minValue="101101" maxValue="118232"/>
    </cacheField>
    <cacheField name="姓名" numFmtId="0">
      <sharedItems containsBlank="1"/>
    </cacheField>
    <cacheField name="性別" numFmtId="0">
      <sharedItems containsBlank="1" count="4">
        <s v="男"/>
        <s v="女"/>
        <m/>
        <s v="D" u="1"/>
      </sharedItems>
    </cacheField>
    <cacheField name="身份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20">
  <r>
    <x v="0"/>
    <n v="1"/>
    <n v="111101"/>
    <s v="王一竹"/>
    <x v="0"/>
    <s v="技優生"/>
  </r>
  <r>
    <x v="0"/>
    <n v="2"/>
    <n v="111102"/>
    <s v="王奕帷"/>
    <x v="0"/>
    <m/>
  </r>
  <r>
    <x v="0"/>
    <n v="3"/>
    <n v="111103"/>
    <s v="王思惟"/>
    <x v="0"/>
    <s v="技優生"/>
  </r>
  <r>
    <x v="0"/>
    <n v="4"/>
    <n v="111104"/>
    <s v="*王柏云"/>
    <x v="1"/>
    <m/>
  </r>
  <r>
    <x v="0"/>
    <n v="5"/>
    <n v="111105"/>
    <s v="王致元"/>
    <x v="0"/>
    <s v="資源班"/>
  </r>
  <r>
    <x v="0"/>
    <n v="6"/>
    <n v="111106"/>
    <s v="王唯安"/>
    <x v="0"/>
    <m/>
  </r>
  <r>
    <x v="0"/>
    <n v="7"/>
    <n v="111107"/>
    <s v="王智佑"/>
    <x v="0"/>
    <m/>
  </r>
  <r>
    <x v="0"/>
    <n v="8"/>
    <n v="111108"/>
    <s v="吳承峻"/>
    <x v="0"/>
    <s v="資源班"/>
  </r>
  <r>
    <x v="0"/>
    <n v="9"/>
    <n v="111109"/>
    <s v="吳冠佑"/>
    <x v="0"/>
    <m/>
  </r>
  <r>
    <x v="0"/>
    <n v="10"/>
    <n v="111110"/>
    <s v="吳冠興"/>
    <x v="0"/>
    <m/>
  </r>
  <r>
    <x v="0"/>
    <n v="11"/>
    <n v="111111"/>
    <s v="吳書齊"/>
    <x v="0"/>
    <m/>
  </r>
  <r>
    <x v="0"/>
    <n v="12"/>
    <n v="111112"/>
    <s v="*李喆方"/>
    <x v="1"/>
    <m/>
  </r>
  <r>
    <x v="0"/>
    <n v="13"/>
    <n v="111113"/>
    <s v="李謝其翃"/>
    <x v="0"/>
    <m/>
  </r>
  <r>
    <x v="0"/>
    <n v="14"/>
    <n v="111114"/>
    <s v="周劭諺"/>
    <x v="0"/>
    <m/>
  </r>
  <r>
    <x v="0"/>
    <n v="15"/>
    <n v="111115"/>
    <s v="林楷哲"/>
    <x v="0"/>
    <m/>
  </r>
  <r>
    <x v="0"/>
    <n v="16"/>
    <n v="111116"/>
    <s v="倪詣超"/>
    <x v="0"/>
    <m/>
  </r>
  <r>
    <x v="0"/>
    <n v="17"/>
    <n v="111117"/>
    <s v="*徐瑄璟"/>
    <x v="1"/>
    <m/>
  </r>
  <r>
    <x v="0"/>
    <n v="18"/>
    <n v="111118"/>
    <s v="崔伯漢"/>
    <x v="0"/>
    <m/>
  </r>
  <r>
    <x v="0"/>
    <n v="19"/>
    <n v="111119"/>
    <s v="張元碩"/>
    <x v="0"/>
    <m/>
  </r>
  <r>
    <x v="0"/>
    <n v="20"/>
    <n v="111120"/>
    <s v="郭承澔"/>
    <x v="0"/>
    <m/>
  </r>
  <r>
    <x v="0"/>
    <n v="21"/>
    <n v="111121"/>
    <s v="陳仕恩"/>
    <x v="0"/>
    <m/>
  </r>
  <r>
    <x v="0"/>
    <n v="22"/>
    <n v="111122"/>
    <s v="陳泓宇"/>
    <x v="0"/>
    <m/>
  </r>
  <r>
    <x v="0"/>
    <n v="23"/>
    <n v="111123"/>
    <s v="陳冠瑋"/>
    <x v="0"/>
    <m/>
  </r>
  <r>
    <x v="0"/>
    <n v="24"/>
    <n v="111124"/>
    <s v="陳品鈞"/>
    <x v="0"/>
    <m/>
  </r>
  <r>
    <x v="0"/>
    <n v="25"/>
    <n v="111125"/>
    <s v="陳弈翔"/>
    <x v="0"/>
    <m/>
  </r>
  <r>
    <x v="0"/>
    <n v="26"/>
    <n v="111126"/>
    <s v="黃奕勝"/>
    <x v="0"/>
    <m/>
  </r>
  <r>
    <x v="0"/>
    <n v="27"/>
    <n v="111127"/>
    <s v="黃靖勲"/>
    <x v="0"/>
    <m/>
  </r>
  <r>
    <x v="0"/>
    <n v="28"/>
    <n v="111128"/>
    <s v="楊杰霖"/>
    <x v="0"/>
    <m/>
  </r>
  <r>
    <x v="0"/>
    <n v="29"/>
    <n v="111129"/>
    <s v="楊東翰"/>
    <x v="0"/>
    <m/>
  </r>
  <r>
    <x v="0"/>
    <n v="30"/>
    <n v="111130"/>
    <s v="廖柏瑋"/>
    <x v="0"/>
    <m/>
  </r>
  <r>
    <x v="0"/>
    <n v="31"/>
    <n v="111131"/>
    <s v="*廖若晴"/>
    <x v="1"/>
    <m/>
  </r>
  <r>
    <x v="0"/>
    <n v="32"/>
    <n v="111132"/>
    <s v="趙翊傑"/>
    <x v="0"/>
    <m/>
  </r>
  <r>
    <x v="0"/>
    <n v="33"/>
    <n v="111133"/>
    <s v="鄭丞展"/>
    <x v="0"/>
    <m/>
  </r>
  <r>
    <x v="0"/>
    <n v="34"/>
    <n v="111134"/>
    <s v="蕭米杉"/>
    <x v="0"/>
    <m/>
  </r>
  <r>
    <x v="0"/>
    <n v="35"/>
    <n v="111135"/>
    <s v="蕭玟涱"/>
    <x v="0"/>
    <m/>
  </r>
  <r>
    <x v="0"/>
    <n v="36"/>
    <n v="111136"/>
    <s v="*賴頤薰"/>
    <x v="1"/>
    <m/>
  </r>
  <r>
    <x v="0"/>
    <n v="37"/>
    <n v="111137"/>
    <s v="簡郁庭"/>
    <x v="0"/>
    <m/>
  </r>
  <r>
    <x v="0"/>
    <n v="38"/>
    <s v="101412"/>
    <s v="李瑞誠"/>
    <x v="0"/>
    <s v="復學生"/>
  </r>
  <r>
    <x v="1"/>
    <n v="1"/>
    <n v="111201"/>
    <s v="*尹孟慈"/>
    <x v="1"/>
    <m/>
  </r>
  <r>
    <x v="1"/>
    <n v="2"/>
    <n v="111202"/>
    <s v="毛有朋"/>
    <x v="0"/>
    <m/>
  </r>
  <r>
    <x v="1"/>
    <n v="3"/>
    <n v="111203"/>
    <s v="王昱翔"/>
    <x v="0"/>
    <s v="資源班"/>
  </r>
  <r>
    <x v="1"/>
    <n v="4"/>
    <n v="111204"/>
    <s v="朱柏澄"/>
    <x v="0"/>
    <m/>
  </r>
  <r>
    <x v="1"/>
    <n v="5"/>
    <n v="111205"/>
    <s v="朱麒文"/>
    <x v="0"/>
    <m/>
  </r>
  <r>
    <x v="1"/>
    <n v="6"/>
    <n v="111206"/>
    <s v="吳祈恩"/>
    <x v="0"/>
    <m/>
  </r>
  <r>
    <x v="1"/>
    <n v="7"/>
    <n v="111207"/>
    <s v="呂明叡"/>
    <x v="0"/>
    <m/>
  </r>
  <r>
    <x v="1"/>
    <n v="8"/>
    <n v="111208"/>
    <s v="呂宸寬"/>
    <x v="0"/>
    <m/>
  </r>
  <r>
    <x v="1"/>
    <n v="9"/>
    <n v="111209"/>
    <s v="*李昀螢"/>
    <x v="1"/>
    <m/>
  </r>
  <r>
    <x v="1"/>
    <n v="10"/>
    <n v="111210"/>
    <s v="李長鴻"/>
    <x v="0"/>
    <m/>
  </r>
  <r>
    <x v="1"/>
    <n v="11"/>
    <n v="111211"/>
    <s v="周昱勛"/>
    <x v="0"/>
    <s v="技優生"/>
  </r>
  <r>
    <x v="1"/>
    <n v="12"/>
    <n v="111212"/>
    <s v="林俊安"/>
    <x v="0"/>
    <m/>
  </r>
  <r>
    <x v="1"/>
    <n v="13"/>
    <n v="111213"/>
    <s v="林彥佑"/>
    <x v="0"/>
    <s v="資源班"/>
  </r>
  <r>
    <x v="1"/>
    <n v="14"/>
    <n v="111214"/>
    <s v="洪晟祐"/>
    <x v="0"/>
    <m/>
  </r>
  <r>
    <x v="1"/>
    <n v="15"/>
    <n v="111215"/>
    <s v="夏紳凱"/>
    <x v="0"/>
    <m/>
  </r>
  <r>
    <x v="1"/>
    <n v="16"/>
    <n v="111216"/>
    <s v="張廷睿"/>
    <x v="0"/>
    <m/>
  </r>
  <r>
    <x v="1"/>
    <n v="17"/>
    <n v="111217"/>
    <s v="張庭毓"/>
    <x v="0"/>
    <m/>
  </r>
  <r>
    <x v="1"/>
    <n v="18"/>
    <n v="111218"/>
    <s v="張濬澤"/>
    <x v="0"/>
    <m/>
  </r>
  <r>
    <x v="1"/>
    <n v="19"/>
    <n v="111219"/>
    <s v="*莊湘淇"/>
    <x v="1"/>
    <m/>
  </r>
  <r>
    <x v="1"/>
    <n v="20"/>
    <n v="111220"/>
    <s v="許元麒"/>
    <x v="0"/>
    <m/>
  </r>
  <r>
    <x v="1"/>
    <n v="21"/>
    <n v="111221"/>
    <s v="*許恩慈"/>
    <x v="1"/>
    <m/>
  </r>
  <r>
    <x v="1"/>
    <n v="22"/>
    <n v="111222"/>
    <s v="陳旻佑"/>
    <x v="0"/>
    <m/>
  </r>
  <r>
    <x v="1"/>
    <n v="23"/>
    <n v="111223"/>
    <s v="陳昱霖"/>
    <x v="0"/>
    <m/>
  </r>
  <r>
    <x v="1"/>
    <n v="24"/>
    <n v="111224"/>
    <s v="陳敬維"/>
    <x v="0"/>
    <m/>
  </r>
  <r>
    <x v="1"/>
    <n v="25"/>
    <n v="111225"/>
    <s v="黃鼎祐"/>
    <x v="0"/>
    <m/>
  </r>
  <r>
    <x v="1"/>
    <n v="26"/>
    <n v="111226"/>
    <s v="楊承錫"/>
    <x v="0"/>
    <m/>
  </r>
  <r>
    <x v="1"/>
    <n v="27"/>
    <n v="111227"/>
    <s v="*葉幸恩"/>
    <x v="1"/>
    <s v="資源班"/>
  </r>
  <r>
    <x v="1"/>
    <n v="28"/>
    <n v="111228"/>
    <s v="鄒宜錦"/>
    <x v="0"/>
    <m/>
  </r>
  <r>
    <x v="1"/>
    <n v="29"/>
    <n v="111229"/>
    <s v="廖允成"/>
    <x v="0"/>
    <m/>
  </r>
  <r>
    <x v="1"/>
    <n v="30"/>
    <n v="111230"/>
    <s v="廖浩翔"/>
    <x v="0"/>
    <m/>
  </r>
  <r>
    <x v="1"/>
    <n v="31"/>
    <n v="111231"/>
    <s v="*蒲姸秀"/>
    <x v="1"/>
    <m/>
  </r>
  <r>
    <x v="1"/>
    <n v="32"/>
    <n v="111232"/>
    <s v="趙昕宥"/>
    <x v="0"/>
    <m/>
  </r>
  <r>
    <x v="1"/>
    <n v="33"/>
    <n v="111233"/>
    <s v="趙宥維"/>
    <x v="0"/>
    <m/>
  </r>
  <r>
    <x v="1"/>
    <n v="34"/>
    <n v="111234"/>
    <s v="賴威翔"/>
    <x v="0"/>
    <m/>
  </r>
  <r>
    <x v="1"/>
    <n v="35"/>
    <n v="111235"/>
    <s v="賴德略"/>
    <x v="0"/>
    <m/>
  </r>
  <r>
    <x v="1"/>
    <n v="36"/>
    <n v="111236"/>
    <s v="謝嘉恩"/>
    <x v="0"/>
    <m/>
  </r>
  <r>
    <x v="1"/>
    <n v="37"/>
    <s v="101419"/>
    <s v="高宇傳"/>
    <x v="0"/>
    <s v="復學生"/>
  </r>
  <r>
    <x v="2"/>
    <n v="1"/>
    <n v="111301"/>
    <s v="吳啟睿"/>
    <x v="0"/>
    <m/>
  </r>
  <r>
    <x v="2"/>
    <n v="2"/>
    <n v="111302"/>
    <s v="宋宥成"/>
    <x v="0"/>
    <m/>
  </r>
  <r>
    <x v="2"/>
    <n v="3"/>
    <n v="111303"/>
    <s v="李政佑"/>
    <x v="0"/>
    <m/>
  </r>
  <r>
    <x v="2"/>
    <n v="4"/>
    <n v="111304"/>
    <s v="周子翔"/>
    <x v="0"/>
    <m/>
  </r>
  <r>
    <x v="2"/>
    <n v="5"/>
    <n v="111305"/>
    <s v="周冠宏"/>
    <x v="0"/>
    <m/>
  </r>
  <r>
    <x v="2"/>
    <n v="6"/>
    <n v="111306"/>
    <s v="林廷翰"/>
    <x v="0"/>
    <m/>
  </r>
  <r>
    <x v="2"/>
    <n v="7"/>
    <n v="111307"/>
    <s v="林昊謙"/>
    <x v="0"/>
    <s v="技優生"/>
  </r>
  <r>
    <x v="2"/>
    <n v="8"/>
    <n v="111308"/>
    <s v="*林知儀"/>
    <x v="1"/>
    <m/>
  </r>
  <r>
    <x v="2"/>
    <n v="9"/>
    <n v="111309"/>
    <s v="*林芷妍"/>
    <x v="1"/>
    <m/>
  </r>
  <r>
    <x v="2"/>
    <n v="10"/>
    <n v="111310"/>
    <s v="姚定為"/>
    <x v="0"/>
    <m/>
  </r>
  <r>
    <x v="2"/>
    <n v="11"/>
    <n v="111311"/>
    <s v="洪子翔"/>
    <x v="0"/>
    <m/>
  </r>
  <r>
    <x v="2"/>
    <n v="12"/>
    <n v="111312"/>
    <s v="夏昌楷"/>
    <x v="0"/>
    <m/>
  </r>
  <r>
    <x v="2"/>
    <n v="13"/>
    <n v="111313"/>
    <s v="孫萬霖"/>
    <x v="0"/>
    <m/>
  </r>
  <r>
    <x v="2"/>
    <n v="14"/>
    <n v="111314"/>
    <s v="徐瑋駿"/>
    <x v="0"/>
    <m/>
  </r>
  <r>
    <x v="2"/>
    <n v="15"/>
    <n v="111315"/>
    <s v="張允瀚"/>
    <x v="0"/>
    <s v="資源班"/>
  </r>
  <r>
    <x v="2"/>
    <n v="16"/>
    <n v="111316"/>
    <s v="許嘉文"/>
    <x v="0"/>
    <m/>
  </r>
  <r>
    <x v="2"/>
    <n v="17"/>
    <n v="111317"/>
    <s v="陳宇翔"/>
    <x v="0"/>
    <m/>
  </r>
  <r>
    <x v="2"/>
    <n v="18"/>
    <n v="111318"/>
    <s v="陳茂榮"/>
    <x v="0"/>
    <s v="技優生"/>
  </r>
  <r>
    <x v="2"/>
    <n v="19"/>
    <n v="111319"/>
    <s v="曾浚凱"/>
    <x v="0"/>
    <m/>
  </r>
  <r>
    <x v="2"/>
    <n v="20"/>
    <n v="111320"/>
    <s v="*曾筠鈞"/>
    <x v="1"/>
    <m/>
  </r>
  <r>
    <x v="2"/>
    <n v="21"/>
    <n v="111321"/>
    <s v="*黃品潔"/>
    <x v="1"/>
    <m/>
  </r>
  <r>
    <x v="2"/>
    <n v="22"/>
    <n v="111322"/>
    <s v="黃柏閎"/>
    <x v="0"/>
    <m/>
  </r>
  <r>
    <x v="2"/>
    <n v="23"/>
    <n v="111323"/>
    <s v="黃紳富"/>
    <x v="0"/>
    <m/>
  </r>
  <r>
    <x v="2"/>
    <n v="24"/>
    <n v="111324"/>
    <s v="楊士霆"/>
    <x v="0"/>
    <m/>
  </r>
  <r>
    <x v="2"/>
    <n v="25"/>
    <n v="111325"/>
    <s v="*楊淳閔"/>
    <x v="1"/>
    <m/>
  </r>
  <r>
    <x v="2"/>
    <n v="26"/>
    <n v="111326"/>
    <s v="葉宇翔"/>
    <x v="0"/>
    <m/>
  </r>
  <r>
    <x v="2"/>
    <n v="27"/>
    <n v="111327"/>
    <s v="劉信廷"/>
    <x v="0"/>
    <m/>
  </r>
  <r>
    <x v="2"/>
    <n v="28"/>
    <n v="111328"/>
    <s v="蔡辰澤"/>
    <x v="0"/>
    <m/>
  </r>
  <r>
    <x v="2"/>
    <n v="29"/>
    <n v="111329"/>
    <s v="蔡侑廷"/>
    <x v="0"/>
    <m/>
  </r>
  <r>
    <x v="2"/>
    <n v="30"/>
    <n v="111330"/>
    <s v="蔡政誠"/>
    <x v="0"/>
    <s v="資源班"/>
  </r>
  <r>
    <x v="2"/>
    <n v="31"/>
    <n v="111331"/>
    <s v="鄭景升"/>
    <x v="0"/>
    <m/>
  </r>
  <r>
    <x v="2"/>
    <n v="32"/>
    <n v="111332"/>
    <s v="盧子皓"/>
    <x v="0"/>
    <m/>
  </r>
  <r>
    <x v="2"/>
    <n v="33"/>
    <n v="111333"/>
    <s v="賴浩宇"/>
    <x v="0"/>
    <m/>
  </r>
  <r>
    <x v="2"/>
    <n v="34"/>
    <n v="111334"/>
    <s v="藍子翔"/>
    <x v="0"/>
    <m/>
  </r>
  <r>
    <x v="2"/>
    <n v="35"/>
    <n v="111335"/>
    <s v="魏于翔"/>
    <x v="0"/>
    <m/>
  </r>
  <r>
    <x v="2"/>
    <n v="36"/>
    <n v="111336"/>
    <s v="羅立祥"/>
    <x v="0"/>
    <m/>
  </r>
  <r>
    <x v="2"/>
    <n v="37"/>
    <s v="091425"/>
    <s v="曾紹恩"/>
    <x v="0"/>
    <s v="資源班"/>
  </r>
  <r>
    <x v="3"/>
    <n v="1"/>
    <n v="111401"/>
    <s v="江亞恆"/>
    <x v="0"/>
    <m/>
  </r>
  <r>
    <x v="3"/>
    <n v="2"/>
    <n v="111402"/>
    <s v="*江雨倢"/>
    <x v="1"/>
    <m/>
  </r>
  <r>
    <x v="3"/>
    <n v="3"/>
    <n v="111403"/>
    <s v="何孟翰"/>
    <x v="0"/>
    <m/>
  </r>
  <r>
    <x v="3"/>
    <n v="4"/>
    <n v="111404"/>
    <s v="*吳奕璇"/>
    <x v="1"/>
    <m/>
  </r>
  <r>
    <x v="3"/>
    <n v="5"/>
    <n v="111405"/>
    <s v="呂杰儒"/>
    <x v="0"/>
    <m/>
  </r>
  <r>
    <x v="3"/>
    <n v="6"/>
    <n v="111406"/>
    <s v="李承侑"/>
    <x v="0"/>
    <m/>
  </r>
  <r>
    <x v="3"/>
    <n v="7"/>
    <n v="111407"/>
    <s v="*李芷菡"/>
    <x v="1"/>
    <m/>
  </r>
  <r>
    <x v="3"/>
    <n v="8"/>
    <n v="111408"/>
    <s v="李恩哲"/>
    <x v="0"/>
    <m/>
  </r>
  <r>
    <x v="3"/>
    <n v="9"/>
    <n v="111409"/>
    <s v="李翔霖"/>
    <x v="0"/>
    <m/>
  </r>
  <r>
    <x v="3"/>
    <n v="10"/>
    <n v="111410"/>
    <s v="*杜東卉"/>
    <x v="1"/>
    <m/>
  </r>
  <r>
    <x v="3"/>
    <n v="11"/>
    <n v="111411"/>
    <s v="沈書亞"/>
    <x v="0"/>
    <m/>
  </r>
  <r>
    <x v="3"/>
    <n v="12"/>
    <n v="111412"/>
    <s v="沈翊全"/>
    <x v="0"/>
    <m/>
  </r>
  <r>
    <x v="3"/>
    <n v="13"/>
    <n v="111413"/>
    <s v="周禹宏"/>
    <x v="0"/>
    <m/>
  </r>
  <r>
    <x v="3"/>
    <n v="14"/>
    <n v="111414"/>
    <s v="林承慶"/>
    <x v="0"/>
    <m/>
  </r>
  <r>
    <x v="3"/>
    <n v="15"/>
    <n v="111415"/>
    <s v="洪翊翔"/>
    <x v="0"/>
    <m/>
  </r>
  <r>
    <x v="3"/>
    <n v="16"/>
    <n v="111416"/>
    <s v="*翁子涵"/>
    <x v="1"/>
    <m/>
  </r>
  <r>
    <x v="3"/>
    <n v="17"/>
    <n v="111417"/>
    <s v="張丞劭"/>
    <x v="0"/>
    <m/>
  </r>
  <r>
    <x v="3"/>
    <n v="18"/>
    <n v="111418"/>
    <s v="*張晏寧"/>
    <x v="1"/>
    <m/>
  </r>
  <r>
    <x v="3"/>
    <n v="19"/>
    <n v="111419"/>
    <s v="強正弘"/>
    <x v="0"/>
    <s v="資源班"/>
  </r>
  <r>
    <x v="3"/>
    <n v="20"/>
    <n v="111420"/>
    <s v="陳其佑"/>
    <x v="0"/>
    <m/>
  </r>
  <r>
    <x v="3"/>
    <n v="21"/>
    <n v="111421"/>
    <s v="陳亮冀"/>
    <x v="0"/>
    <m/>
  </r>
  <r>
    <x v="3"/>
    <n v="22"/>
    <n v="111422"/>
    <s v="陳俍駿"/>
    <x v="0"/>
    <s v="資源班"/>
  </r>
  <r>
    <x v="3"/>
    <n v="23"/>
    <n v="111423"/>
    <s v="陳溢希"/>
    <x v="0"/>
    <s v="資源班"/>
  </r>
  <r>
    <x v="3"/>
    <n v="24"/>
    <n v="111424"/>
    <s v="陸承佑"/>
    <x v="0"/>
    <s v="技優生"/>
  </r>
  <r>
    <x v="3"/>
    <n v="25"/>
    <n v="111425"/>
    <s v="游閎博"/>
    <x v="0"/>
    <m/>
  </r>
  <r>
    <x v="3"/>
    <n v="26"/>
    <n v="111426"/>
    <s v="黃威傑"/>
    <x v="0"/>
    <m/>
  </r>
  <r>
    <x v="3"/>
    <n v="27"/>
    <n v="111427"/>
    <s v="楊欣軒"/>
    <x v="0"/>
    <m/>
  </r>
  <r>
    <x v="3"/>
    <n v="28"/>
    <n v="111428"/>
    <s v="楊柏志"/>
    <x v="0"/>
    <m/>
  </r>
  <r>
    <x v="3"/>
    <n v="29"/>
    <n v="111429"/>
    <s v="廖育志"/>
    <x v="0"/>
    <m/>
  </r>
  <r>
    <x v="3"/>
    <n v="30"/>
    <n v="111430"/>
    <s v="趙律旻"/>
    <x v="0"/>
    <m/>
  </r>
  <r>
    <x v="3"/>
    <n v="31"/>
    <n v="111431"/>
    <s v="劉宇瀚"/>
    <x v="0"/>
    <m/>
  </r>
  <r>
    <x v="3"/>
    <n v="32"/>
    <n v="111432"/>
    <s v="蔡昌翰"/>
    <x v="0"/>
    <m/>
  </r>
  <r>
    <x v="3"/>
    <n v="33"/>
    <n v="111433"/>
    <s v="蔡宥安"/>
    <x v="0"/>
    <m/>
  </r>
  <r>
    <x v="3"/>
    <n v="34"/>
    <n v="111434"/>
    <s v="蔡翰莛"/>
    <x v="0"/>
    <m/>
  </r>
  <r>
    <x v="3"/>
    <n v="35"/>
    <n v="111435"/>
    <s v="鄭庭義"/>
    <x v="0"/>
    <m/>
  </r>
  <r>
    <x v="3"/>
    <n v="36"/>
    <n v="111436"/>
    <s v="穆乙文"/>
    <x v="0"/>
    <m/>
  </r>
  <r>
    <x v="3"/>
    <n v="37"/>
    <n v="111437"/>
    <s v="羅義恭"/>
    <x v="0"/>
    <m/>
  </r>
  <r>
    <x v="4"/>
    <n v="1"/>
    <n v="112101"/>
    <s v="王茂庭"/>
    <x v="0"/>
    <m/>
  </r>
  <r>
    <x v="4"/>
    <n v="2"/>
    <n v="112102"/>
    <s v="王博正"/>
    <x v="0"/>
    <m/>
  </r>
  <r>
    <x v="4"/>
    <n v="3"/>
    <n v="112103"/>
    <s v="江政晏"/>
    <x v="0"/>
    <m/>
  </r>
  <r>
    <x v="4"/>
    <n v="4"/>
    <n v="112104"/>
    <s v="李宗胤"/>
    <x v="0"/>
    <m/>
  </r>
  <r>
    <x v="4"/>
    <n v="5"/>
    <n v="112105"/>
    <s v="周旭照"/>
    <x v="0"/>
    <m/>
  </r>
  <r>
    <x v="4"/>
    <n v="6"/>
    <n v="112106"/>
    <s v="林泓德"/>
    <x v="0"/>
    <m/>
  </r>
  <r>
    <x v="4"/>
    <n v="7"/>
    <n v="112107"/>
    <s v="林俊廷"/>
    <x v="0"/>
    <m/>
  </r>
  <r>
    <x v="4"/>
    <n v="8"/>
    <n v="112108"/>
    <s v="*林盈佑"/>
    <x v="1"/>
    <m/>
  </r>
  <r>
    <x v="4"/>
    <n v="9"/>
    <n v="112109"/>
    <s v="林暉恩"/>
    <x v="0"/>
    <m/>
  </r>
  <r>
    <x v="4"/>
    <n v="10"/>
    <n v="112110"/>
    <s v="林暐倫"/>
    <x v="0"/>
    <m/>
  </r>
  <r>
    <x v="4"/>
    <n v="11"/>
    <n v="112111"/>
    <s v="邱元廷"/>
    <x v="0"/>
    <m/>
  </r>
  <r>
    <x v="4"/>
    <n v="12"/>
    <n v="112112"/>
    <s v="*邱郁涵"/>
    <x v="1"/>
    <m/>
  </r>
  <r>
    <x v="4"/>
    <n v="13"/>
    <n v="112113"/>
    <s v="邱浩閔"/>
    <x v="0"/>
    <m/>
  </r>
  <r>
    <x v="4"/>
    <n v="14"/>
    <n v="112114"/>
    <s v="洪偉庭"/>
    <x v="0"/>
    <m/>
  </r>
  <r>
    <x v="4"/>
    <n v="15"/>
    <n v="112115"/>
    <s v="高富聖"/>
    <x v="0"/>
    <m/>
  </r>
  <r>
    <x v="4"/>
    <n v="16"/>
    <n v="112116"/>
    <s v="張博鈞"/>
    <x v="0"/>
    <m/>
  </r>
  <r>
    <x v="4"/>
    <n v="17"/>
    <n v="112117"/>
    <s v="張舜齊"/>
    <x v="0"/>
    <m/>
  </r>
  <r>
    <x v="4"/>
    <n v="18"/>
    <n v="112118"/>
    <s v="*張慈心"/>
    <x v="1"/>
    <m/>
  </r>
  <r>
    <x v="4"/>
    <n v="19"/>
    <n v="112119"/>
    <s v="梁恩祐"/>
    <x v="0"/>
    <s v="資源班"/>
  </r>
  <r>
    <x v="4"/>
    <n v="20"/>
    <n v="112120"/>
    <s v="許喆凱"/>
    <x v="0"/>
    <m/>
  </r>
  <r>
    <x v="4"/>
    <n v="21"/>
    <n v="112121"/>
    <s v="*許寧心"/>
    <x v="1"/>
    <m/>
  </r>
  <r>
    <x v="4"/>
    <n v="22"/>
    <n v="112122"/>
    <s v="許懷升"/>
    <x v="0"/>
    <m/>
  </r>
  <r>
    <x v="4"/>
    <n v="23"/>
    <n v="112123"/>
    <s v="陳哲佳"/>
    <x v="0"/>
    <m/>
  </r>
  <r>
    <x v="4"/>
    <n v="24"/>
    <n v="112124"/>
    <s v="黃宥恩"/>
    <x v="0"/>
    <s v="資源班"/>
  </r>
  <r>
    <x v="4"/>
    <n v="25"/>
    <n v="112125"/>
    <s v="黃茂展"/>
    <x v="0"/>
    <m/>
  </r>
  <r>
    <x v="4"/>
    <n v="26"/>
    <n v="112126"/>
    <s v="黃家維"/>
    <x v="0"/>
    <m/>
  </r>
  <r>
    <x v="4"/>
    <n v="27"/>
    <n v="112127"/>
    <s v="黃祥恩"/>
    <x v="0"/>
    <s v="技優生"/>
  </r>
  <r>
    <x v="4"/>
    <n v="28"/>
    <n v="112128"/>
    <s v="黃楷崴"/>
    <x v="0"/>
    <m/>
  </r>
  <r>
    <x v="4"/>
    <n v="29"/>
    <n v="112129"/>
    <s v="*黃語薰"/>
    <x v="1"/>
    <m/>
  </r>
  <r>
    <x v="4"/>
    <n v="30"/>
    <n v="112130"/>
    <s v="楊竣詠"/>
    <x v="0"/>
    <s v="技優生"/>
  </r>
  <r>
    <x v="4"/>
    <n v="31"/>
    <n v="112131"/>
    <s v="董柏洋"/>
    <x v="0"/>
    <s v="資源班"/>
  </r>
  <r>
    <x v="4"/>
    <n v="32"/>
    <n v="112132"/>
    <s v="*廖心萍"/>
    <x v="1"/>
    <m/>
  </r>
  <r>
    <x v="4"/>
    <n v="33"/>
    <n v="112133"/>
    <s v="劉威廷"/>
    <x v="0"/>
    <m/>
  </r>
  <r>
    <x v="4"/>
    <n v="34"/>
    <n v="112134"/>
    <s v="劉宥里"/>
    <x v="0"/>
    <m/>
  </r>
  <r>
    <x v="4"/>
    <n v="35"/>
    <n v="112135"/>
    <s v="練廷緯"/>
    <x v="0"/>
    <m/>
  </r>
  <r>
    <x v="4"/>
    <n v="36"/>
    <n v="112136"/>
    <s v="謝仲維"/>
    <x v="0"/>
    <m/>
  </r>
  <r>
    <x v="4"/>
    <n v="37"/>
    <n v="112137"/>
    <s v="簡旭中"/>
    <x v="0"/>
    <m/>
  </r>
  <r>
    <x v="4"/>
    <n v="38"/>
    <n v="112138"/>
    <s v="顏名駿"/>
    <x v="0"/>
    <s v="自棄學籍"/>
  </r>
  <r>
    <x v="4"/>
    <n v="39"/>
    <n v="112139"/>
    <s v="龔哲民"/>
    <x v="0"/>
    <m/>
  </r>
  <r>
    <x v="5"/>
    <n v="1"/>
    <n v="112201"/>
    <s v="王楷鈞"/>
    <x v="0"/>
    <m/>
  </r>
  <r>
    <x v="5"/>
    <n v="2"/>
    <n v="112202"/>
    <s v="吳承紘"/>
    <x v="0"/>
    <s v="資源班"/>
  </r>
  <r>
    <x v="5"/>
    <n v="3"/>
    <n v="112203"/>
    <s v="呂宥琛"/>
    <x v="0"/>
    <m/>
  </r>
  <r>
    <x v="5"/>
    <n v="4"/>
    <n v="112204"/>
    <s v="李辰宥"/>
    <x v="0"/>
    <m/>
  </r>
  <r>
    <x v="5"/>
    <n v="5"/>
    <n v="112205"/>
    <s v="李宜璁"/>
    <x v="0"/>
    <m/>
  </r>
  <r>
    <x v="5"/>
    <n v="6"/>
    <n v="112206"/>
    <s v="李恆寬"/>
    <x v="0"/>
    <m/>
  </r>
  <r>
    <x v="5"/>
    <n v="7"/>
    <n v="112207"/>
    <s v="李涔郡"/>
    <x v="0"/>
    <m/>
  </r>
  <r>
    <x v="5"/>
    <n v="8"/>
    <n v="112208"/>
    <s v="周敬祐"/>
    <x v="0"/>
    <m/>
  </r>
  <r>
    <x v="5"/>
    <n v="9"/>
    <n v="112209"/>
    <s v="林佑燁"/>
    <x v="0"/>
    <m/>
  </r>
  <r>
    <x v="5"/>
    <n v="10"/>
    <n v="112210"/>
    <s v="林柏勝"/>
    <x v="0"/>
    <m/>
  </r>
  <r>
    <x v="5"/>
    <n v="11"/>
    <n v="112211"/>
    <s v="邵崧恩"/>
    <x v="0"/>
    <m/>
  </r>
  <r>
    <x v="5"/>
    <n v="12"/>
    <n v="112212"/>
    <s v="洪農翔"/>
    <x v="0"/>
    <m/>
  </r>
  <r>
    <x v="5"/>
    <n v="13"/>
    <n v="112213"/>
    <s v="范昊言"/>
    <x v="0"/>
    <m/>
  </r>
  <r>
    <x v="5"/>
    <n v="14"/>
    <n v="112214"/>
    <s v="高墀宇"/>
    <x v="0"/>
    <m/>
  </r>
  <r>
    <x v="5"/>
    <n v="15"/>
    <n v="112215"/>
    <s v="張永聖"/>
    <x v="0"/>
    <m/>
  </r>
  <r>
    <x v="5"/>
    <n v="16"/>
    <n v="112216"/>
    <s v="曹峰嘉"/>
    <x v="0"/>
    <s v="資源班"/>
  </r>
  <r>
    <x v="5"/>
    <n v="17"/>
    <n v="112217"/>
    <s v="梁代泓"/>
    <x v="0"/>
    <m/>
  </r>
  <r>
    <x v="5"/>
    <n v="18"/>
    <n v="112218"/>
    <s v="梁程鈞"/>
    <x v="0"/>
    <m/>
  </r>
  <r>
    <x v="5"/>
    <n v="19"/>
    <n v="112219"/>
    <s v="莊仃志"/>
    <x v="0"/>
    <m/>
  </r>
  <r>
    <x v="5"/>
    <n v="20"/>
    <n v="112220"/>
    <s v="許耀陽"/>
    <x v="0"/>
    <m/>
  </r>
  <r>
    <x v="5"/>
    <n v="21"/>
    <n v="112221"/>
    <s v="郭丞志"/>
    <x v="0"/>
    <s v="資源班"/>
  </r>
  <r>
    <x v="5"/>
    <n v="22"/>
    <n v="112222"/>
    <s v="郭承恩"/>
    <x v="0"/>
    <m/>
  </r>
  <r>
    <x v="5"/>
    <n v="23"/>
    <n v="112223"/>
    <s v="陳劭恩"/>
    <x v="0"/>
    <m/>
  </r>
  <r>
    <x v="5"/>
    <n v="24"/>
    <n v="112224"/>
    <s v="陳冠瑋"/>
    <x v="0"/>
    <s v="技優生"/>
  </r>
  <r>
    <x v="5"/>
    <n v="25"/>
    <n v="112225"/>
    <s v="陳則安"/>
    <x v="0"/>
    <m/>
  </r>
  <r>
    <x v="5"/>
    <n v="26"/>
    <n v="112226"/>
    <s v="陳畇佑"/>
    <x v="0"/>
    <m/>
  </r>
  <r>
    <x v="5"/>
    <n v="27"/>
    <n v="112227"/>
    <s v="黃柏誠"/>
    <x v="0"/>
    <m/>
  </r>
  <r>
    <x v="5"/>
    <n v="28"/>
    <n v="112228"/>
    <s v="楊睿綸"/>
    <x v="0"/>
    <m/>
  </r>
  <r>
    <x v="5"/>
    <n v="29"/>
    <n v="112229"/>
    <s v="楊豐禾"/>
    <x v="0"/>
    <m/>
  </r>
  <r>
    <x v="5"/>
    <n v="30"/>
    <n v="112230"/>
    <s v="詹盛宇"/>
    <x v="0"/>
    <m/>
  </r>
  <r>
    <x v="5"/>
    <n v="31"/>
    <n v="112231"/>
    <s v="劉昊"/>
    <x v="0"/>
    <m/>
  </r>
  <r>
    <x v="5"/>
    <n v="32"/>
    <n v="112232"/>
    <s v="蔡正宇"/>
    <x v="0"/>
    <m/>
  </r>
  <r>
    <x v="5"/>
    <n v="33"/>
    <n v="112233"/>
    <s v="蔡承哲"/>
    <x v="0"/>
    <m/>
  </r>
  <r>
    <x v="5"/>
    <n v="34"/>
    <n v="112234"/>
    <s v="賴建廷"/>
    <x v="0"/>
    <m/>
  </r>
  <r>
    <x v="5"/>
    <n v="35"/>
    <n v="112235"/>
    <s v="簡浩宇"/>
    <x v="0"/>
    <m/>
  </r>
  <r>
    <x v="5"/>
    <n v="36"/>
    <n v="112236"/>
    <s v="顏宸以"/>
    <x v="0"/>
    <m/>
  </r>
  <r>
    <x v="5"/>
    <n v="37"/>
    <n v="112237"/>
    <s v="蘇培凱"/>
    <x v="0"/>
    <m/>
  </r>
  <r>
    <x v="5"/>
    <n v="38"/>
    <s v="092326"/>
    <s v="黃偉哲"/>
    <x v="0"/>
    <s v="復學生"/>
  </r>
  <r>
    <x v="6"/>
    <n v="1"/>
    <n v="112301"/>
    <s v="王志祐"/>
    <x v="0"/>
    <m/>
  </r>
  <r>
    <x v="6"/>
    <n v="2"/>
    <n v="112302"/>
    <s v="成祥"/>
    <x v="0"/>
    <m/>
  </r>
  <r>
    <x v="6"/>
    <n v="3"/>
    <n v="112303"/>
    <s v="余厚恩"/>
    <x v="0"/>
    <m/>
  </r>
  <r>
    <x v="6"/>
    <n v="4"/>
    <n v="112304"/>
    <s v="吳宇竣"/>
    <x v="0"/>
    <m/>
  </r>
  <r>
    <x v="6"/>
    <n v="5"/>
    <n v="112305"/>
    <s v="吳宥墡"/>
    <x v="0"/>
    <m/>
  </r>
  <r>
    <x v="6"/>
    <n v="6"/>
    <n v="112306"/>
    <s v="李銓祐"/>
    <x v="0"/>
    <m/>
  </r>
  <r>
    <x v="6"/>
    <n v="7"/>
    <n v="112307"/>
    <s v="周暐程"/>
    <x v="0"/>
    <m/>
  </r>
  <r>
    <x v="6"/>
    <n v="8"/>
    <n v="112308"/>
    <s v="林冠宇"/>
    <x v="0"/>
    <m/>
  </r>
  <r>
    <x v="6"/>
    <n v="9"/>
    <n v="112309"/>
    <s v="林奕呈"/>
    <x v="0"/>
    <m/>
  </r>
  <r>
    <x v="6"/>
    <n v="10"/>
    <n v="112310"/>
    <s v="林權鋐"/>
    <x v="0"/>
    <m/>
  </r>
  <r>
    <x v="6"/>
    <n v="11"/>
    <n v="112311"/>
    <s v="凃俊安"/>
    <x v="0"/>
    <m/>
  </r>
  <r>
    <x v="6"/>
    <n v="12"/>
    <n v="112312"/>
    <s v="馬可宸"/>
    <x v="0"/>
    <s v="資源班"/>
  </r>
  <r>
    <x v="6"/>
    <n v="13"/>
    <n v="112313"/>
    <s v="康柏叡"/>
    <x v="0"/>
    <m/>
  </r>
  <r>
    <x v="6"/>
    <n v="14"/>
    <n v="112314"/>
    <s v="張允執"/>
    <x v="0"/>
    <m/>
  </r>
  <r>
    <x v="6"/>
    <n v="15"/>
    <n v="112315"/>
    <s v="張志宥"/>
    <x v="0"/>
    <m/>
  </r>
  <r>
    <x v="6"/>
    <n v="16"/>
    <n v="112316"/>
    <s v="張書豪"/>
    <x v="0"/>
    <m/>
  </r>
  <r>
    <x v="6"/>
    <n v="17"/>
    <n v="112317"/>
    <s v="許展瑞"/>
    <x v="0"/>
    <m/>
  </r>
  <r>
    <x v="6"/>
    <n v="18"/>
    <n v="112318"/>
    <s v="許凱崴"/>
    <x v="0"/>
    <s v="技優生"/>
  </r>
  <r>
    <x v="6"/>
    <n v="19"/>
    <n v="112319"/>
    <s v="郭秉豐"/>
    <x v="0"/>
    <s v="資源班"/>
  </r>
  <r>
    <x v="6"/>
    <n v="20"/>
    <n v="112320"/>
    <s v="陳君豪"/>
    <x v="0"/>
    <m/>
  </r>
  <r>
    <x v="6"/>
    <n v="21"/>
    <n v="112321"/>
    <s v="陳俊佑"/>
    <x v="0"/>
    <m/>
  </r>
  <r>
    <x v="6"/>
    <n v="22"/>
    <n v="112322"/>
    <s v="陳柏熏"/>
    <x v="0"/>
    <m/>
  </r>
  <r>
    <x v="6"/>
    <n v="23"/>
    <n v="112323"/>
    <s v="陳柏諺"/>
    <x v="0"/>
    <m/>
  </r>
  <r>
    <x v="6"/>
    <n v="24"/>
    <n v="112324"/>
    <s v="陳竑睿"/>
    <x v="0"/>
    <m/>
  </r>
  <r>
    <x v="6"/>
    <n v="25"/>
    <n v="112325"/>
    <s v="陳韋志"/>
    <x v="0"/>
    <m/>
  </r>
  <r>
    <x v="6"/>
    <n v="26"/>
    <n v="112326"/>
    <s v="陳貫宇"/>
    <x v="0"/>
    <m/>
  </r>
  <r>
    <x v="6"/>
    <n v="27"/>
    <n v="112327"/>
    <s v="陶宇軒"/>
    <x v="0"/>
    <m/>
  </r>
  <r>
    <x v="6"/>
    <n v="28"/>
    <n v="112328"/>
    <s v="曾柏銨"/>
    <x v="0"/>
    <m/>
  </r>
  <r>
    <x v="6"/>
    <n v="29"/>
    <n v="112329"/>
    <s v="黃廷敬"/>
    <x v="0"/>
    <m/>
  </r>
  <r>
    <x v="6"/>
    <n v="30"/>
    <n v="112330"/>
    <s v="黃珉碩"/>
    <x v="0"/>
    <m/>
  </r>
  <r>
    <x v="6"/>
    <n v="31"/>
    <n v="112331"/>
    <s v="葉奇沅"/>
    <x v="0"/>
    <m/>
  </r>
  <r>
    <x v="6"/>
    <n v="32"/>
    <n v="112332"/>
    <s v="歐柏宏"/>
    <x v="0"/>
    <s v="原住民"/>
  </r>
  <r>
    <x v="6"/>
    <n v="33"/>
    <n v="112333"/>
    <s v="蔡定恩"/>
    <x v="0"/>
    <m/>
  </r>
  <r>
    <x v="6"/>
    <n v="34"/>
    <n v="112334"/>
    <s v="蔡濬澤"/>
    <x v="0"/>
    <s v="資源班"/>
  </r>
  <r>
    <x v="6"/>
    <n v="35"/>
    <n v="112335"/>
    <s v="鄭宇昊"/>
    <x v="0"/>
    <m/>
  </r>
  <r>
    <x v="6"/>
    <n v="36"/>
    <n v="112336"/>
    <s v="鄭宇倫"/>
    <x v="0"/>
    <m/>
  </r>
  <r>
    <x v="6"/>
    <n v="37"/>
    <n v="112337"/>
    <s v="鄭安佑"/>
    <x v="0"/>
    <m/>
  </r>
  <r>
    <x v="6"/>
    <n v="38"/>
    <n v="112338"/>
    <s v="戴佑叡"/>
    <x v="0"/>
    <m/>
  </r>
  <r>
    <x v="6"/>
    <n v="39"/>
    <n v="112339"/>
    <s v="韓仕恩"/>
    <x v="0"/>
    <m/>
  </r>
  <r>
    <x v="7"/>
    <n v="1"/>
    <n v="112401"/>
    <s v="王駿賢"/>
    <x v="0"/>
    <s v="技優生"/>
  </r>
  <r>
    <x v="7"/>
    <n v="2"/>
    <n v="112402"/>
    <s v="江星也"/>
    <x v="0"/>
    <m/>
  </r>
  <r>
    <x v="7"/>
    <n v="3"/>
    <n v="112403"/>
    <s v="吳仲達"/>
    <x v="0"/>
    <m/>
  </r>
  <r>
    <x v="7"/>
    <n v="4"/>
    <n v="112404"/>
    <s v="吳東信"/>
    <x v="0"/>
    <m/>
  </r>
  <r>
    <x v="7"/>
    <n v="5"/>
    <n v="112405"/>
    <s v="吳禹叡"/>
    <x v="0"/>
    <m/>
  </r>
  <r>
    <x v="7"/>
    <n v="6"/>
    <n v="112406"/>
    <s v="李承展"/>
    <x v="0"/>
    <m/>
  </r>
  <r>
    <x v="7"/>
    <n v="7"/>
    <n v="112407"/>
    <s v="李宥德"/>
    <x v="0"/>
    <m/>
  </r>
  <r>
    <x v="7"/>
    <n v="8"/>
    <n v="112408"/>
    <s v="林威宇"/>
    <x v="0"/>
    <m/>
  </r>
  <r>
    <x v="7"/>
    <n v="9"/>
    <n v="112409"/>
    <s v="林義軒"/>
    <x v="0"/>
    <m/>
  </r>
  <r>
    <x v="7"/>
    <n v="10"/>
    <n v="112410"/>
    <s v="侯鼎為"/>
    <x v="0"/>
    <m/>
  </r>
  <r>
    <x v="7"/>
    <n v="11"/>
    <n v="112411"/>
    <s v="胡瀚仁"/>
    <x v="0"/>
    <m/>
  </r>
  <r>
    <x v="7"/>
    <n v="12"/>
    <n v="112412"/>
    <s v="徐慶翔"/>
    <x v="0"/>
    <m/>
  </r>
  <r>
    <x v="7"/>
    <n v="13"/>
    <n v="112413"/>
    <s v="徐麟凱"/>
    <x v="0"/>
    <m/>
  </r>
  <r>
    <x v="7"/>
    <n v="14"/>
    <n v="112414"/>
    <s v="高丞佑"/>
    <x v="0"/>
    <m/>
  </r>
  <r>
    <x v="7"/>
    <n v="15"/>
    <n v="112415"/>
    <s v="張沛"/>
    <x v="0"/>
    <s v="技優生"/>
  </r>
  <r>
    <x v="7"/>
    <n v="16"/>
    <n v="112416"/>
    <s v="張瑋恆"/>
    <x v="0"/>
    <m/>
  </r>
  <r>
    <x v="7"/>
    <n v="17"/>
    <n v="112417"/>
    <s v="陳宜康"/>
    <x v="0"/>
    <s v="資源班"/>
  </r>
  <r>
    <x v="7"/>
    <n v="18"/>
    <n v="112418"/>
    <s v="陳冠瑋"/>
    <x v="0"/>
    <m/>
  </r>
  <r>
    <x v="7"/>
    <n v="19"/>
    <n v="112419"/>
    <s v="陳威丞"/>
    <x v="0"/>
    <m/>
  </r>
  <r>
    <x v="7"/>
    <n v="20"/>
    <n v="112420"/>
    <s v="陳宥任"/>
    <x v="0"/>
    <m/>
  </r>
  <r>
    <x v="7"/>
    <n v="21"/>
    <n v="112421"/>
    <s v="陳昱辰"/>
    <x v="0"/>
    <m/>
  </r>
  <r>
    <x v="7"/>
    <n v="22"/>
    <n v="112422"/>
    <s v="陳柏橋"/>
    <x v="0"/>
    <m/>
  </r>
  <r>
    <x v="7"/>
    <n v="23"/>
    <n v="112423"/>
    <s v="陳竑宇"/>
    <x v="0"/>
    <m/>
  </r>
  <r>
    <x v="7"/>
    <n v="24"/>
    <n v="112424"/>
    <s v="曾柏霖"/>
    <x v="0"/>
    <m/>
  </r>
  <r>
    <x v="7"/>
    <n v="25"/>
    <n v="112425"/>
    <s v="黃子宸"/>
    <x v="0"/>
    <m/>
  </r>
  <r>
    <x v="7"/>
    <n v="26"/>
    <n v="112426"/>
    <s v="黃世紘"/>
    <x v="0"/>
    <m/>
  </r>
  <r>
    <x v="7"/>
    <n v="27"/>
    <n v="112427"/>
    <s v="黃俊嘉"/>
    <x v="0"/>
    <s v="資源班"/>
  </r>
  <r>
    <x v="7"/>
    <n v="28"/>
    <n v="112428"/>
    <s v="黃昱量"/>
    <x v="0"/>
    <m/>
  </r>
  <r>
    <x v="7"/>
    <n v="29"/>
    <n v="112429"/>
    <s v="黃浩睿"/>
    <x v="0"/>
    <m/>
  </r>
  <r>
    <x v="7"/>
    <n v="30"/>
    <n v="112430"/>
    <s v="楊展鈞"/>
    <x v="0"/>
    <m/>
  </r>
  <r>
    <x v="7"/>
    <n v="31"/>
    <n v="112431"/>
    <s v="楊恩勝"/>
    <x v="0"/>
    <m/>
  </r>
  <r>
    <x v="7"/>
    <n v="32"/>
    <n v="112432"/>
    <s v="葉恩瑀"/>
    <x v="0"/>
    <m/>
  </r>
  <r>
    <x v="7"/>
    <n v="33"/>
    <n v="112433"/>
    <s v="詹鈡棠"/>
    <x v="0"/>
    <m/>
  </r>
  <r>
    <x v="7"/>
    <n v="34"/>
    <n v="112434"/>
    <s v="廖彥欽"/>
    <x v="0"/>
    <m/>
  </r>
  <r>
    <x v="7"/>
    <n v="35"/>
    <n v="112435"/>
    <s v="廖彥碩"/>
    <x v="0"/>
    <s v="資源班"/>
  </r>
  <r>
    <x v="7"/>
    <n v="36"/>
    <n v="112436"/>
    <s v="廖翊辰"/>
    <x v="0"/>
    <m/>
  </r>
  <r>
    <x v="7"/>
    <n v="37"/>
    <n v="112437"/>
    <s v="劉秀泰"/>
    <x v="0"/>
    <m/>
  </r>
  <r>
    <x v="7"/>
    <n v="38"/>
    <n v="112438"/>
    <s v="歐陽哲"/>
    <x v="0"/>
    <m/>
  </r>
  <r>
    <x v="8"/>
    <n v="1"/>
    <n v="113101"/>
    <s v="方偉安"/>
    <x v="0"/>
    <m/>
  </r>
  <r>
    <x v="8"/>
    <n v="2"/>
    <n v="113102"/>
    <s v="王俊挺"/>
    <x v="0"/>
    <m/>
  </r>
  <r>
    <x v="8"/>
    <n v="3"/>
    <n v="113103"/>
    <s v="王柏崴"/>
    <x v="0"/>
    <m/>
  </r>
  <r>
    <x v="8"/>
    <n v="4"/>
    <n v="113104"/>
    <s v="王家興"/>
    <x v="0"/>
    <s v="原住民"/>
  </r>
  <r>
    <x v="8"/>
    <n v="5"/>
    <n v="113105"/>
    <s v="王關翔"/>
    <x v="0"/>
    <m/>
  </r>
  <r>
    <x v="8"/>
    <n v="6"/>
    <n v="113106"/>
    <s v="江鈞泰"/>
    <x v="0"/>
    <m/>
  </r>
  <r>
    <x v="8"/>
    <n v="7"/>
    <n v="113107"/>
    <s v="李季錞"/>
    <x v="0"/>
    <m/>
  </r>
  <r>
    <x v="8"/>
    <n v="8"/>
    <n v="113108"/>
    <s v="李致凱"/>
    <x v="0"/>
    <m/>
  </r>
  <r>
    <x v="8"/>
    <n v="9"/>
    <n v="113109"/>
    <s v="李嘉斌"/>
    <x v="0"/>
    <s v="資源班"/>
  </r>
  <r>
    <x v="8"/>
    <n v="10"/>
    <n v="113110"/>
    <s v="李穎翰"/>
    <x v="0"/>
    <m/>
  </r>
  <r>
    <x v="8"/>
    <n v="11"/>
    <n v="113111"/>
    <s v="杜宸睿"/>
    <x v="0"/>
    <s v="技優生"/>
  </r>
  <r>
    <x v="8"/>
    <n v="12"/>
    <n v="113112"/>
    <s v="林正原"/>
    <x v="0"/>
    <s v="技優生"/>
  </r>
  <r>
    <x v="8"/>
    <n v="13"/>
    <n v="113113"/>
    <s v="林佑丞"/>
    <x v="0"/>
    <m/>
  </r>
  <r>
    <x v="8"/>
    <n v="14"/>
    <n v="113114"/>
    <s v="林均泰"/>
    <x v="0"/>
    <m/>
  </r>
  <r>
    <x v="8"/>
    <n v="15"/>
    <n v="113115"/>
    <s v="張獻文"/>
    <x v="0"/>
    <m/>
  </r>
  <r>
    <x v="8"/>
    <n v="16"/>
    <n v="113116"/>
    <s v="梁允澄"/>
    <x v="0"/>
    <m/>
  </r>
  <r>
    <x v="8"/>
    <n v="17"/>
    <n v="113117"/>
    <s v="*莊喆晴"/>
    <x v="1"/>
    <m/>
  </r>
  <r>
    <x v="8"/>
    <n v="18"/>
    <n v="113118"/>
    <s v="*許怡楨"/>
    <x v="1"/>
    <m/>
  </r>
  <r>
    <x v="8"/>
    <n v="19"/>
    <n v="113119"/>
    <s v="許柏安"/>
    <x v="0"/>
    <m/>
  </r>
  <r>
    <x v="8"/>
    <n v="20"/>
    <n v="113120"/>
    <s v="許書郡"/>
    <x v="0"/>
    <m/>
  </r>
  <r>
    <x v="8"/>
    <n v="21"/>
    <n v="113121"/>
    <s v="許軒倫"/>
    <x v="0"/>
    <m/>
  </r>
  <r>
    <x v="8"/>
    <n v="22"/>
    <n v="113122"/>
    <s v="陳人愷"/>
    <x v="0"/>
    <m/>
  </r>
  <r>
    <x v="8"/>
    <n v="23"/>
    <n v="113123"/>
    <s v="陳明琦"/>
    <x v="0"/>
    <m/>
  </r>
  <r>
    <x v="8"/>
    <n v="24"/>
    <n v="113124"/>
    <s v="陳柏安"/>
    <x v="0"/>
    <m/>
  </r>
  <r>
    <x v="8"/>
    <n v="25"/>
    <n v="113125"/>
    <s v="陳迦勒"/>
    <x v="0"/>
    <m/>
  </r>
  <r>
    <x v="8"/>
    <n v="26"/>
    <n v="113126"/>
    <s v="楊鈞睿"/>
    <x v="0"/>
    <m/>
  </r>
  <r>
    <x v="8"/>
    <n v="27"/>
    <n v="113127"/>
    <s v="董承翰"/>
    <x v="0"/>
    <m/>
  </r>
  <r>
    <x v="8"/>
    <n v="28"/>
    <n v="113128"/>
    <s v="劉佳瑋"/>
    <x v="0"/>
    <m/>
  </r>
  <r>
    <x v="8"/>
    <n v="29"/>
    <n v="113129"/>
    <s v="劉尚恩"/>
    <x v="0"/>
    <m/>
  </r>
  <r>
    <x v="8"/>
    <n v="30"/>
    <n v="113130"/>
    <s v="劉長兀"/>
    <x v="0"/>
    <m/>
  </r>
  <r>
    <x v="8"/>
    <n v="31"/>
    <n v="113131"/>
    <s v="蔡奇學"/>
    <x v="0"/>
    <m/>
  </r>
  <r>
    <x v="8"/>
    <n v="32"/>
    <n v="113132"/>
    <s v="*蔡嘉心"/>
    <x v="1"/>
    <m/>
  </r>
  <r>
    <x v="8"/>
    <n v="33"/>
    <n v="113133"/>
    <s v="鄭穎聰"/>
    <x v="0"/>
    <m/>
  </r>
  <r>
    <x v="8"/>
    <n v="34"/>
    <n v="113134"/>
    <s v="瞿天予"/>
    <x v="0"/>
    <m/>
  </r>
  <r>
    <x v="8"/>
    <n v="35"/>
    <n v="113135"/>
    <s v="魏君翰"/>
    <x v="0"/>
    <m/>
  </r>
  <r>
    <x v="8"/>
    <n v="36"/>
    <n v="113136"/>
    <s v="羅弘遠"/>
    <x v="0"/>
    <m/>
  </r>
  <r>
    <x v="8"/>
    <n v="37"/>
    <n v="113137"/>
    <s v="*鐘文伶"/>
    <x v="1"/>
    <s v="資源班"/>
  </r>
  <r>
    <x v="8"/>
    <n v="38"/>
    <s v="103313"/>
    <s v="洪銘汛"/>
    <x v="0"/>
    <s v="復學生"/>
  </r>
  <r>
    <x v="9"/>
    <n v="1"/>
    <n v="113201"/>
    <s v="王上豪"/>
    <x v="0"/>
    <m/>
  </r>
  <r>
    <x v="9"/>
    <n v="2"/>
    <n v="113202"/>
    <s v="朱定宇"/>
    <x v="0"/>
    <m/>
  </r>
  <r>
    <x v="9"/>
    <n v="3"/>
    <n v="113203"/>
    <s v="朱俊憲"/>
    <x v="0"/>
    <m/>
  </r>
  <r>
    <x v="9"/>
    <n v="4"/>
    <n v="113204"/>
    <s v="*吳佳頤"/>
    <x v="1"/>
    <m/>
  </r>
  <r>
    <x v="9"/>
    <n v="5"/>
    <n v="113205"/>
    <s v="吳軒宇"/>
    <x v="0"/>
    <m/>
  </r>
  <r>
    <x v="9"/>
    <n v="6"/>
    <n v="113206"/>
    <s v="巫政紘"/>
    <x v="0"/>
    <s v="技優生"/>
  </r>
  <r>
    <x v="9"/>
    <n v="7"/>
    <n v="113207"/>
    <s v="周祐成"/>
    <x v="0"/>
    <m/>
  </r>
  <r>
    <x v="9"/>
    <n v="8"/>
    <n v="113208"/>
    <s v="林立杰"/>
    <x v="0"/>
    <m/>
  </r>
  <r>
    <x v="9"/>
    <n v="9"/>
    <n v="113209"/>
    <s v="洪彥臣"/>
    <x v="0"/>
    <m/>
  </r>
  <r>
    <x v="9"/>
    <n v="10"/>
    <n v="113210"/>
    <s v="范廷睿"/>
    <x v="0"/>
    <m/>
  </r>
  <r>
    <x v="9"/>
    <n v="11"/>
    <n v="113211"/>
    <s v="唐立杰"/>
    <x v="0"/>
    <m/>
  </r>
  <r>
    <x v="9"/>
    <n v="12"/>
    <n v="113212"/>
    <s v="唐鼎翰"/>
    <x v="0"/>
    <m/>
  </r>
  <r>
    <x v="9"/>
    <n v="13"/>
    <n v="113213"/>
    <s v="桑柏宇"/>
    <x v="0"/>
    <m/>
  </r>
  <r>
    <x v="9"/>
    <n v="14"/>
    <n v="113214"/>
    <s v="康祐宇"/>
    <x v="0"/>
    <m/>
  </r>
  <r>
    <x v="9"/>
    <n v="15"/>
    <n v="113215"/>
    <s v="張劭宇"/>
    <x v="0"/>
    <m/>
  </r>
  <r>
    <x v="9"/>
    <n v="16"/>
    <n v="113216"/>
    <s v="張珈愷"/>
    <x v="0"/>
    <m/>
  </r>
  <r>
    <x v="9"/>
    <n v="17"/>
    <n v="113217"/>
    <s v="張祐銓"/>
    <x v="0"/>
    <m/>
  </r>
  <r>
    <x v="9"/>
    <n v="18"/>
    <n v="113218"/>
    <s v="張瑋翔"/>
    <x v="0"/>
    <m/>
  </r>
  <r>
    <x v="9"/>
    <n v="19"/>
    <n v="113219"/>
    <s v="張譯"/>
    <x v="0"/>
    <m/>
  </r>
  <r>
    <x v="9"/>
    <n v="20"/>
    <n v="113220"/>
    <s v="梁育瑋"/>
    <x v="0"/>
    <s v="技優生"/>
  </r>
  <r>
    <x v="9"/>
    <n v="21"/>
    <n v="113221"/>
    <s v="許睿翔"/>
    <x v="0"/>
    <m/>
  </r>
  <r>
    <x v="9"/>
    <n v="22"/>
    <n v="113222"/>
    <s v="郭彥宏"/>
    <x v="0"/>
    <m/>
  </r>
  <r>
    <x v="9"/>
    <n v="23"/>
    <n v="113223"/>
    <s v="*郭睿晴"/>
    <x v="1"/>
    <m/>
  </r>
  <r>
    <x v="9"/>
    <n v="24"/>
    <n v="113224"/>
    <s v="陳均睿"/>
    <x v="0"/>
    <m/>
  </r>
  <r>
    <x v="9"/>
    <n v="25"/>
    <n v="113225"/>
    <s v="陳明佑"/>
    <x v="0"/>
    <m/>
  </r>
  <r>
    <x v="9"/>
    <n v="26"/>
    <s v="113226"/>
    <s v="陳宣愷"/>
    <x v="0"/>
    <m/>
  </r>
  <r>
    <x v="9"/>
    <n v="27"/>
    <n v="113227"/>
    <s v="*陳籽涵"/>
    <x v="1"/>
    <m/>
  </r>
  <r>
    <x v="9"/>
    <n v="28"/>
    <n v="113228"/>
    <s v="陳富翔"/>
    <x v="0"/>
    <s v="資源班"/>
  </r>
  <r>
    <x v="9"/>
    <n v="29"/>
    <n v="113229"/>
    <s v="楊之漢"/>
    <x v="0"/>
    <m/>
  </r>
  <r>
    <x v="9"/>
    <n v="30"/>
    <n v="113230"/>
    <s v="楊證錩"/>
    <x v="0"/>
    <m/>
  </r>
  <r>
    <x v="9"/>
    <n v="31"/>
    <n v="113231"/>
    <s v="詹育臨"/>
    <x v="0"/>
    <m/>
  </r>
  <r>
    <x v="9"/>
    <n v="32"/>
    <n v="113232"/>
    <s v="雷凱恩"/>
    <x v="0"/>
    <s v="資源班"/>
  </r>
  <r>
    <x v="9"/>
    <n v="33"/>
    <n v="113233"/>
    <s v="劉冠廷"/>
    <x v="0"/>
    <m/>
  </r>
  <r>
    <x v="9"/>
    <n v="34"/>
    <n v="113234"/>
    <s v="鄭兆翔"/>
    <x v="0"/>
    <s v="資源班"/>
  </r>
  <r>
    <x v="9"/>
    <n v="35"/>
    <n v="113235"/>
    <s v="賴啟斌"/>
    <x v="0"/>
    <m/>
  </r>
  <r>
    <x v="9"/>
    <n v="36"/>
    <n v="113236"/>
    <s v="謝鎮鴻"/>
    <x v="0"/>
    <m/>
  </r>
  <r>
    <x v="9"/>
    <n v="37"/>
    <n v="113237"/>
    <s v="羅文鴻"/>
    <x v="0"/>
    <m/>
  </r>
  <r>
    <x v="10"/>
    <n v="1"/>
    <n v="113301"/>
    <s v="丁翊祐"/>
    <x v="0"/>
    <m/>
  </r>
  <r>
    <x v="10"/>
    <n v="2"/>
    <n v="113302"/>
    <s v="王式恩"/>
    <x v="0"/>
    <m/>
  </r>
  <r>
    <x v="10"/>
    <n v="3"/>
    <n v="113303"/>
    <s v="*石瑀涵"/>
    <x v="1"/>
    <m/>
  </r>
  <r>
    <x v="10"/>
    <n v="4"/>
    <n v="113304"/>
    <s v="何皓文"/>
    <x v="0"/>
    <m/>
  </r>
  <r>
    <x v="10"/>
    <n v="5"/>
    <n v="113305"/>
    <s v="吳宸宇"/>
    <x v="0"/>
    <m/>
  </r>
  <r>
    <x v="10"/>
    <n v="6"/>
    <n v="113306"/>
    <s v="吳宸寬"/>
    <x v="0"/>
    <m/>
  </r>
  <r>
    <x v="10"/>
    <n v="7"/>
    <n v="113307"/>
    <s v="李帛紘"/>
    <x v="0"/>
    <m/>
  </r>
  <r>
    <x v="10"/>
    <n v="8"/>
    <n v="113308"/>
    <s v="李彥勳"/>
    <x v="0"/>
    <m/>
  </r>
  <r>
    <x v="10"/>
    <n v="9"/>
    <n v="113309"/>
    <s v="林至瀚"/>
    <x v="0"/>
    <m/>
  </r>
  <r>
    <x v="10"/>
    <n v="10"/>
    <n v="113310"/>
    <s v="林定甫"/>
    <x v="0"/>
    <m/>
  </r>
  <r>
    <x v="10"/>
    <n v="11"/>
    <n v="113311"/>
    <s v="林秉賢"/>
    <x v="0"/>
    <m/>
  </r>
  <r>
    <x v="10"/>
    <n v="12"/>
    <n v="113312"/>
    <s v="林品翔"/>
    <x v="0"/>
    <s v="資源班"/>
  </r>
  <r>
    <x v="10"/>
    <n v="13"/>
    <n v="113313"/>
    <s v="*林靖芬"/>
    <x v="1"/>
    <m/>
  </r>
  <r>
    <x v="10"/>
    <n v="14"/>
    <n v="113314"/>
    <s v="范哲睿"/>
    <x v="0"/>
    <m/>
  </r>
  <r>
    <x v="10"/>
    <n v="15"/>
    <n v="113315"/>
    <s v="郁昊明"/>
    <x v="0"/>
    <m/>
  </r>
  <r>
    <x v="10"/>
    <n v="16"/>
    <n v="113316"/>
    <s v="唐學涵"/>
    <x v="0"/>
    <m/>
  </r>
  <r>
    <x v="10"/>
    <n v="17"/>
    <n v="113317"/>
    <s v="張友銘"/>
    <x v="0"/>
    <m/>
  </r>
  <r>
    <x v="10"/>
    <n v="18"/>
    <n v="113318"/>
    <s v="張惟喆"/>
    <x v="0"/>
    <m/>
  </r>
  <r>
    <x v="10"/>
    <n v="19"/>
    <n v="113319"/>
    <s v="梁允平"/>
    <x v="0"/>
    <s v="資源班"/>
  </r>
  <r>
    <x v="10"/>
    <n v="20"/>
    <n v="113320"/>
    <s v="莫祖安"/>
    <x v="0"/>
    <m/>
  </r>
  <r>
    <x v="10"/>
    <n v="21"/>
    <n v="113321"/>
    <s v="許聖鴻"/>
    <x v="0"/>
    <m/>
  </r>
  <r>
    <x v="10"/>
    <n v="22"/>
    <n v="113322"/>
    <s v="陳羽佑"/>
    <x v="0"/>
    <m/>
  </r>
  <r>
    <x v="10"/>
    <n v="23"/>
    <n v="113323"/>
    <s v="陳澤霆"/>
    <x v="0"/>
    <m/>
  </r>
  <r>
    <x v="10"/>
    <n v="24"/>
    <n v="113324"/>
    <s v="彭念祖"/>
    <x v="0"/>
    <m/>
  </r>
  <r>
    <x v="10"/>
    <n v="25"/>
    <n v="113325"/>
    <s v="游翔凱"/>
    <x v="0"/>
    <m/>
  </r>
  <r>
    <x v="10"/>
    <n v="26"/>
    <n v="113326"/>
    <s v="賀泓鈞"/>
    <x v="0"/>
    <m/>
  </r>
  <r>
    <x v="10"/>
    <n v="27"/>
    <n v="113327"/>
    <s v="黃彥瑾"/>
    <x v="0"/>
    <s v="資源班"/>
  </r>
  <r>
    <x v="10"/>
    <n v="28"/>
    <n v="113328"/>
    <s v="黃逸安"/>
    <x v="0"/>
    <s v="原住民"/>
  </r>
  <r>
    <x v="10"/>
    <n v="29"/>
    <n v="113329"/>
    <s v="黃德炫"/>
    <x v="0"/>
    <m/>
  </r>
  <r>
    <x v="10"/>
    <n v="30"/>
    <n v="113330"/>
    <s v="黃譯霆"/>
    <x v="0"/>
    <s v="技優生"/>
  </r>
  <r>
    <x v="10"/>
    <n v="31"/>
    <n v="113331"/>
    <s v="楊城傅"/>
    <x v="0"/>
    <m/>
  </r>
  <r>
    <x v="10"/>
    <n v="32"/>
    <n v="113332"/>
    <s v="楊宥興"/>
    <x v="0"/>
    <m/>
  </r>
  <r>
    <x v="10"/>
    <n v="33"/>
    <n v="113333"/>
    <s v="楊靜宥"/>
    <x v="0"/>
    <m/>
  </r>
  <r>
    <x v="10"/>
    <n v="34"/>
    <n v="113334"/>
    <s v="廖昱惟"/>
    <x v="0"/>
    <m/>
  </r>
  <r>
    <x v="10"/>
    <n v="35"/>
    <n v="113335"/>
    <s v="*劉芷妡"/>
    <x v="1"/>
    <m/>
  </r>
  <r>
    <x v="10"/>
    <n v="36"/>
    <n v="113336"/>
    <s v="賴冠銘"/>
    <x v="0"/>
    <m/>
  </r>
  <r>
    <x v="10"/>
    <n v="37"/>
    <n v="113337"/>
    <s v="戴家銘"/>
    <x v="0"/>
    <m/>
  </r>
  <r>
    <x v="10"/>
    <n v="38"/>
    <n v="113338"/>
    <s v="謝承翰"/>
    <x v="0"/>
    <s v="技優生"/>
  </r>
  <r>
    <x v="11"/>
    <n v="1"/>
    <n v="114101"/>
    <s v="方學智"/>
    <x v="0"/>
    <m/>
  </r>
  <r>
    <x v="11"/>
    <n v="2"/>
    <n v="114102"/>
    <s v="仲崇銘"/>
    <x v="0"/>
    <m/>
  </r>
  <r>
    <x v="11"/>
    <n v="3"/>
    <n v="114103"/>
    <s v="江尚豈"/>
    <x v="0"/>
    <m/>
  </r>
  <r>
    <x v="11"/>
    <n v="4"/>
    <n v="114104"/>
    <s v="江冠佑"/>
    <x v="0"/>
    <m/>
  </r>
  <r>
    <x v="11"/>
    <n v="5"/>
    <n v="114105"/>
    <s v="吳宗翰"/>
    <x v="0"/>
    <m/>
  </r>
  <r>
    <x v="11"/>
    <n v="6"/>
    <n v="114106"/>
    <s v="吳秉融"/>
    <x v="0"/>
    <m/>
  </r>
  <r>
    <x v="11"/>
    <n v="7"/>
    <n v="114107"/>
    <s v="李永晢"/>
    <x v="0"/>
    <s v="自棄學籍"/>
  </r>
  <r>
    <x v="11"/>
    <n v="8"/>
    <n v="114108"/>
    <s v="*李沁華"/>
    <x v="1"/>
    <m/>
  </r>
  <r>
    <x v="11"/>
    <n v="9"/>
    <n v="114109"/>
    <s v="李松嶽"/>
    <x v="0"/>
    <m/>
  </r>
  <r>
    <x v="11"/>
    <n v="10"/>
    <n v="114110"/>
    <s v="李柏儀"/>
    <x v="0"/>
    <m/>
  </r>
  <r>
    <x v="11"/>
    <n v="11"/>
    <n v="114111"/>
    <s v="李浩瑋"/>
    <x v="0"/>
    <m/>
  </r>
  <r>
    <x v="11"/>
    <n v="12"/>
    <n v="114112"/>
    <s v="周秉毅"/>
    <x v="0"/>
    <m/>
  </r>
  <r>
    <x v="11"/>
    <n v="13"/>
    <n v="114113"/>
    <s v="周眞德"/>
    <x v="0"/>
    <m/>
  </r>
  <r>
    <x v="11"/>
    <n v="14"/>
    <n v="114114"/>
    <s v="林廷威"/>
    <x v="0"/>
    <m/>
  </r>
  <r>
    <x v="11"/>
    <n v="15"/>
    <n v="114115"/>
    <s v="施正佑"/>
    <x v="0"/>
    <m/>
  </r>
  <r>
    <x v="11"/>
    <n v="16"/>
    <n v="114116"/>
    <s v="*洪珮珊"/>
    <x v="1"/>
    <s v="資源班"/>
  </r>
  <r>
    <x v="11"/>
    <n v="17"/>
    <n v="114117"/>
    <s v="范庭瑞"/>
    <x v="0"/>
    <m/>
  </r>
  <r>
    <x v="11"/>
    <n v="18"/>
    <n v="114118"/>
    <s v="張宸睿"/>
    <x v="0"/>
    <m/>
  </r>
  <r>
    <x v="11"/>
    <n v="19"/>
    <n v="114119"/>
    <s v="張恭豪"/>
    <x v="0"/>
    <s v="資源班"/>
  </r>
  <r>
    <x v="11"/>
    <n v="20"/>
    <n v="114120"/>
    <s v="梁哲瑋"/>
    <x v="0"/>
    <m/>
  </r>
  <r>
    <x v="11"/>
    <n v="21"/>
    <n v="114121"/>
    <s v="許哲綸"/>
    <x v="0"/>
    <m/>
  </r>
  <r>
    <x v="11"/>
    <n v="22"/>
    <n v="114122"/>
    <s v="陳佑竑"/>
    <x v="0"/>
    <m/>
  </r>
  <r>
    <x v="11"/>
    <n v="23"/>
    <n v="114123"/>
    <s v="陳秉言"/>
    <x v="0"/>
    <m/>
  </r>
  <r>
    <x v="11"/>
    <n v="24"/>
    <n v="114124"/>
    <s v="陳品錡"/>
    <x v="0"/>
    <m/>
  </r>
  <r>
    <x v="11"/>
    <n v="25"/>
    <n v="114125"/>
    <s v="陳庠驊"/>
    <x v="0"/>
    <s v="技優生"/>
  </r>
  <r>
    <x v="11"/>
    <n v="26"/>
    <n v="114126"/>
    <s v="陳祈瑞"/>
    <x v="0"/>
    <m/>
  </r>
  <r>
    <x v="11"/>
    <n v="27"/>
    <n v="114127"/>
    <s v="陳竑安"/>
    <x v="0"/>
    <m/>
  </r>
  <r>
    <x v="11"/>
    <n v="28"/>
    <n v="114128"/>
    <s v="温致威"/>
    <x v="0"/>
    <m/>
  </r>
  <r>
    <x v="11"/>
    <n v="29"/>
    <n v="114129"/>
    <s v="葉杰宸"/>
    <x v="0"/>
    <m/>
  </r>
  <r>
    <x v="11"/>
    <n v="30"/>
    <n v="114130"/>
    <s v="詹秉叡"/>
    <x v="0"/>
    <m/>
  </r>
  <r>
    <x v="11"/>
    <n v="31"/>
    <n v="114131"/>
    <s v="廖威利"/>
    <x v="0"/>
    <m/>
  </r>
  <r>
    <x v="11"/>
    <n v="32"/>
    <n v="114132"/>
    <s v="劉宇翔"/>
    <x v="0"/>
    <m/>
  </r>
  <r>
    <x v="11"/>
    <n v="33"/>
    <n v="114133"/>
    <s v="潘世睿"/>
    <x v="0"/>
    <m/>
  </r>
  <r>
    <x v="11"/>
    <n v="34"/>
    <n v="114134"/>
    <s v="*潘思宣"/>
    <x v="1"/>
    <m/>
  </r>
  <r>
    <x v="11"/>
    <n v="35"/>
    <n v="114135"/>
    <s v="潘鈺安"/>
    <x v="0"/>
    <m/>
  </r>
  <r>
    <x v="11"/>
    <n v="36"/>
    <n v="114136"/>
    <s v="鄭景鴻"/>
    <x v="0"/>
    <m/>
  </r>
  <r>
    <x v="11"/>
    <n v="37"/>
    <n v="114137"/>
    <s v="鄭閔瀚"/>
    <x v="0"/>
    <m/>
  </r>
  <r>
    <x v="11"/>
    <n v="38"/>
    <s v="104218"/>
    <s v="張肇倫"/>
    <x v="0"/>
    <s v="復學生"/>
  </r>
  <r>
    <x v="12"/>
    <n v="1"/>
    <n v="114201"/>
    <s v="丁立倫"/>
    <x v="0"/>
    <s v="資源班"/>
  </r>
  <r>
    <x v="12"/>
    <n v="2"/>
    <n v="114202"/>
    <s v="于致鋐"/>
    <x v="0"/>
    <m/>
  </r>
  <r>
    <x v="12"/>
    <n v="3"/>
    <n v="114203"/>
    <s v="王子嘉"/>
    <x v="0"/>
    <m/>
  </r>
  <r>
    <x v="12"/>
    <n v="4"/>
    <n v="114204"/>
    <s v="王健毅"/>
    <x v="0"/>
    <m/>
  </r>
  <r>
    <x v="12"/>
    <n v="5"/>
    <n v="114205"/>
    <s v="王復康"/>
    <x v="0"/>
    <m/>
  </r>
  <r>
    <x v="12"/>
    <n v="6"/>
    <n v="114206"/>
    <s v="*吳瑞琪"/>
    <x v="1"/>
    <m/>
  </r>
  <r>
    <x v="12"/>
    <n v="7"/>
    <n v="114207"/>
    <s v="宋昱霖"/>
    <x v="0"/>
    <m/>
  </r>
  <r>
    <x v="12"/>
    <n v="8"/>
    <n v="114208"/>
    <s v="李宜享"/>
    <x v="0"/>
    <m/>
  </r>
  <r>
    <x v="12"/>
    <n v="9"/>
    <n v="114209"/>
    <s v="李品澔"/>
    <x v="0"/>
    <m/>
  </r>
  <r>
    <x v="12"/>
    <n v="10"/>
    <n v="114210"/>
    <s v="李羿陞"/>
    <x v="0"/>
    <m/>
  </r>
  <r>
    <x v="12"/>
    <n v="11"/>
    <n v="114211"/>
    <s v="周駿期"/>
    <x v="0"/>
    <m/>
  </r>
  <r>
    <x v="12"/>
    <n v="12"/>
    <n v="114212"/>
    <s v="林世勳"/>
    <x v="0"/>
    <m/>
  </r>
  <r>
    <x v="12"/>
    <n v="13"/>
    <n v="114213"/>
    <s v="林侑謙"/>
    <x v="0"/>
    <s v="資源班"/>
  </r>
  <r>
    <x v="12"/>
    <n v="14"/>
    <n v="114214"/>
    <s v="邱奕國"/>
    <x v="0"/>
    <m/>
  </r>
  <r>
    <x v="12"/>
    <n v="15"/>
    <n v="114215"/>
    <s v="俞佑杰"/>
    <x v="0"/>
    <m/>
  </r>
  <r>
    <x v="12"/>
    <n v="16"/>
    <n v="114216"/>
    <s v="胡睿恩"/>
    <x v="0"/>
    <m/>
  </r>
  <r>
    <x v="12"/>
    <n v="17"/>
    <n v="114217"/>
    <s v="袁翊宸"/>
    <x v="0"/>
    <m/>
  </r>
  <r>
    <x v="12"/>
    <n v="18"/>
    <n v="114218"/>
    <s v="高詩凱"/>
    <x v="0"/>
    <m/>
  </r>
  <r>
    <x v="12"/>
    <n v="19"/>
    <n v="114219"/>
    <s v="張大澤"/>
    <x v="0"/>
    <s v="資源班"/>
  </r>
  <r>
    <x v="12"/>
    <n v="20"/>
    <n v="114220"/>
    <s v="*許桐瑄"/>
    <x v="1"/>
    <m/>
  </r>
  <r>
    <x v="12"/>
    <n v="21"/>
    <n v="114221"/>
    <s v="陳司翰"/>
    <x v="0"/>
    <m/>
  </r>
  <r>
    <x v="12"/>
    <n v="22"/>
    <n v="114222"/>
    <s v="陳冠廷"/>
    <x v="0"/>
    <m/>
  </r>
  <r>
    <x v="12"/>
    <n v="23"/>
    <n v="114223"/>
    <s v="陳宥維"/>
    <x v="0"/>
    <m/>
  </r>
  <r>
    <x v="12"/>
    <n v="24"/>
    <n v="114224"/>
    <s v="陳郁仁"/>
    <x v="0"/>
    <m/>
  </r>
  <r>
    <x v="12"/>
    <n v="25"/>
    <n v="114225"/>
    <s v="陳驛"/>
    <x v="0"/>
    <m/>
  </r>
  <r>
    <x v="12"/>
    <n v="26"/>
    <n v="114226"/>
    <s v="游淮鈞"/>
    <x v="0"/>
    <s v="資源班"/>
  </r>
  <r>
    <x v="12"/>
    <n v="27"/>
    <n v="114227"/>
    <s v="童睿騰"/>
    <x v="0"/>
    <m/>
  </r>
  <r>
    <x v="12"/>
    <n v="28"/>
    <n v="114228"/>
    <s v="楊呈翊"/>
    <x v="0"/>
    <m/>
  </r>
  <r>
    <x v="12"/>
    <n v="29"/>
    <n v="114229"/>
    <s v="楊傑善"/>
    <x v="0"/>
    <m/>
  </r>
  <r>
    <x v="12"/>
    <n v="30"/>
    <n v="114230"/>
    <s v="葉宥澤"/>
    <x v="0"/>
    <m/>
  </r>
  <r>
    <x v="12"/>
    <n v="31"/>
    <n v="114231"/>
    <s v="劉彦德"/>
    <x v="0"/>
    <m/>
  </r>
  <r>
    <x v="12"/>
    <n v="32"/>
    <n v="114232"/>
    <s v="*賴思伃"/>
    <x v="1"/>
    <m/>
  </r>
  <r>
    <x v="12"/>
    <n v="33"/>
    <n v="114233"/>
    <s v="謝柏暘"/>
    <x v="0"/>
    <m/>
  </r>
  <r>
    <x v="12"/>
    <n v="34"/>
    <n v="114234"/>
    <s v="鍾承恩"/>
    <x v="0"/>
    <m/>
  </r>
  <r>
    <x v="12"/>
    <n v="35"/>
    <n v="114235"/>
    <s v="羅益成"/>
    <x v="0"/>
    <m/>
  </r>
  <r>
    <x v="12"/>
    <n v="36"/>
    <n v="114236"/>
    <s v="羅勝耀"/>
    <x v="0"/>
    <m/>
  </r>
  <r>
    <x v="12"/>
    <n v="37"/>
    <n v="114237"/>
    <s v="龔雋庭"/>
    <x v="0"/>
    <m/>
  </r>
  <r>
    <x v="12"/>
    <n v="38"/>
    <s v="104136"/>
    <s v="蘭媗羽"/>
    <x v="1"/>
    <s v="轉學生"/>
  </r>
  <r>
    <x v="13"/>
    <n v="1"/>
    <n v="115101"/>
    <s v="方郁祥"/>
    <x v="0"/>
    <m/>
  </r>
  <r>
    <x v="13"/>
    <n v="2"/>
    <n v="115102"/>
    <s v="王竑鈞"/>
    <x v="0"/>
    <s v="資源班"/>
  </r>
  <r>
    <x v="13"/>
    <n v="3"/>
    <n v="115103"/>
    <s v="王經綸"/>
    <x v="0"/>
    <s v="資源班"/>
  </r>
  <r>
    <x v="13"/>
    <n v="4"/>
    <n v="115104"/>
    <s v="何彥良"/>
    <x v="0"/>
    <m/>
  </r>
  <r>
    <x v="13"/>
    <n v="5"/>
    <n v="115105"/>
    <s v="吳睿哲"/>
    <x v="0"/>
    <m/>
  </r>
  <r>
    <x v="13"/>
    <n v="6"/>
    <n v="115106"/>
    <s v="呂思翰"/>
    <x v="0"/>
    <m/>
  </r>
  <r>
    <x v="13"/>
    <n v="7"/>
    <n v="115107"/>
    <s v="宋奕緯"/>
    <x v="0"/>
    <m/>
  </r>
  <r>
    <x v="13"/>
    <n v="8"/>
    <n v="115108"/>
    <s v="周榮榆"/>
    <x v="0"/>
    <m/>
  </r>
  <r>
    <x v="13"/>
    <n v="9"/>
    <n v="115109"/>
    <s v="林宏洋"/>
    <x v="0"/>
    <m/>
  </r>
  <r>
    <x v="13"/>
    <n v="10"/>
    <n v="115110"/>
    <s v="林家陞"/>
    <x v="0"/>
    <s v="技優生"/>
  </r>
  <r>
    <x v="13"/>
    <n v="11"/>
    <n v="115111"/>
    <s v="邱子瑞"/>
    <x v="0"/>
    <m/>
  </r>
  <r>
    <x v="13"/>
    <n v="12"/>
    <n v="115112"/>
    <s v="洪進德"/>
    <x v="0"/>
    <m/>
  </r>
  <r>
    <x v="13"/>
    <n v="13"/>
    <n v="115113"/>
    <s v="孫惟忠"/>
    <x v="0"/>
    <m/>
  </r>
  <r>
    <x v="13"/>
    <n v="14"/>
    <n v="115114"/>
    <s v="翁世群"/>
    <x v="0"/>
    <s v="技優生"/>
  </r>
  <r>
    <x v="13"/>
    <n v="15"/>
    <n v="115115"/>
    <s v="張惟宏"/>
    <x v="0"/>
    <s v="資源班"/>
  </r>
  <r>
    <x v="13"/>
    <n v="16"/>
    <n v="115116"/>
    <s v="張智鈞"/>
    <x v="0"/>
    <m/>
  </r>
  <r>
    <x v="13"/>
    <n v="17"/>
    <n v="115117"/>
    <s v="張誌軒"/>
    <x v="0"/>
    <m/>
  </r>
  <r>
    <x v="13"/>
    <n v="18"/>
    <n v="115118"/>
    <s v="莊晨希"/>
    <x v="0"/>
    <m/>
  </r>
  <r>
    <x v="13"/>
    <n v="19"/>
    <n v="115119"/>
    <s v="許皓凱"/>
    <x v="0"/>
    <m/>
  </r>
  <r>
    <x v="13"/>
    <n v="20"/>
    <n v="115120"/>
    <s v="郭家宇"/>
    <x v="0"/>
    <m/>
  </r>
  <r>
    <x v="13"/>
    <n v="21"/>
    <n v="115121"/>
    <s v="陳信憲"/>
    <x v="0"/>
    <m/>
  </r>
  <r>
    <x v="13"/>
    <n v="22"/>
    <n v="115122"/>
    <s v="陳奕豪"/>
    <x v="0"/>
    <m/>
  </r>
  <r>
    <x v="13"/>
    <n v="23"/>
    <n v="115123"/>
    <s v="*陳渝恩"/>
    <x v="1"/>
    <m/>
  </r>
  <r>
    <x v="13"/>
    <n v="24"/>
    <n v="115124"/>
    <s v="*陸姵旗"/>
    <x v="1"/>
    <s v="體優生"/>
  </r>
  <r>
    <x v="13"/>
    <n v="25"/>
    <n v="115125"/>
    <s v="黃予禾"/>
    <x v="0"/>
    <m/>
  </r>
  <r>
    <x v="13"/>
    <n v="26"/>
    <n v="115126"/>
    <s v="*黃心亞"/>
    <x v="1"/>
    <m/>
  </r>
  <r>
    <x v="13"/>
    <n v="27"/>
    <n v="115127"/>
    <s v="黃丞毅"/>
    <x v="0"/>
    <m/>
  </r>
  <r>
    <x v="13"/>
    <n v="28"/>
    <n v="115128"/>
    <s v="黃柏皓"/>
    <x v="0"/>
    <m/>
  </r>
  <r>
    <x v="13"/>
    <n v="29"/>
    <n v="115129"/>
    <s v="黃偉豪"/>
    <x v="0"/>
    <m/>
  </r>
  <r>
    <x v="13"/>
    <n v="30"/>
    <n v="115130"/>
    <s v="*楊芸瑄"/>
    <x v="1"/>
    <m/>
  </r>
  <r>
    <x v="13"/>
    <n v="31"/>
    <n v="115131"/>
    <s v="葉政穎"/>
    <x v="0"/>
    <m/>
  </r>
  <r>
    <x v="13"/>
    <n v="32"/>
    <n v="115132"/>
    <s v="葉柏李"/>
    <x v="0"/>
    <m/>
  </r>
  <r>
    <x v="13"/>
    <n v="33"/>
    <n v="115133"/>
    <s v="廖仕玄"/>
    <x v="0"/>
    <m/>
  </r>
  <r>
    <x v="13"/>
    <n v="34"/>
    <n v="115134"/>
    <s v="劉倚廷"/>
    <x v="0"/>
    <m/>
  </r>
  <r>
    <x v="13"/>
    <n v="35"/>
    <n v="115135"/>
    <s v="賴家靖"/>
    <x v="0"/>
    <m/>
  </r>
  <r>
    <x v="13"/>
    <n v="36"/>
    <n v="115136"/>
    <s v="應翔恩"/>
    <x v="0"/>
    <m/>
  </r>
  <r>
    <x v="13"/>
    <n v="37"/>
    <n v="115137"/>
    <s v="謝秉融"/>
    <x v="0"/>
    <m/>
  </r>
  <r>
    <x v="13"/>
    <n v="38"/>
    <n v="115138"/>
    <s v="藍允辰"/>
    <x v="0"/>
    <m/>
  </r>
  <r>
    <x v="13"/>
    <n v="39"/>
    <s v="095204"/>
    <s v="余俊毅"/>
    <x v="0"/>
    <s v="復學生"/>
  </r>
  <r>
    <x v="14"/>
    <n v="1"/>
    <n v="115201"/>
    <s v="古庭睿"/>
    <x v="0"/>
    <m/>
  </r>
  <r>
    <x v="14"/>
    <n v="2"/>
    <n v="115202"/>
    <s v="白振佑"/>
    <x v="0"/>
    <m/>
  </r>
  <r>
    <x v="14"/>
    <n v="3"/>
    <n v="115203"/>
    <s v="李昶毅"/>
    <x v="0"/>
    <m/>
  </r>
  <r>
    <x v="14"/>
    <n v="4"/>
    <n v="115204"/>
    <s v="周子翔"/>
    <x v="0"/>
    <m/>
  </r>
  <r>
    <x v="14"/>
    <n v="5"/>
    <n v="115205"/>
    <s v="林文義"/>
    <x v="0"/>
    <s v="資源班"/>
  </r>
  <r>
    <x v="14"/>
    <n v="6"/>
    <n v="115206"/>
    <s v="林伯謙"/>
    <x v="0"/>
    <m/>
  </r>
  <r>
    <x v="14"/>
    <n v="7"/>
    <n v="115207"/>
    <s v="林承信"/>
    <x v="0"/>
    <m/>
  </r>
  <r>
    <x v="14"/>
    <n v="8"/>
    <n v="115208"/>
    <s v="林詠棋"/>
    <x v="0"/>
    <m/>
  </r>
  <r>
    <x v="14"/>
    <n v="9"/>
    <n v="115209"/>
    <s v="林逸惟"/>
    <x v="0"/>
    <m/>
  </r>
  <r>
    <x v="14"/>
    <n v="10"/>
    <n v="115210"/>
    <s v="林楓晟"/>
    <x v="0"/>
    <m/>
  </r>
  <r>
    <x v="14"/>
    <n v="11"/>
    <n v="115211"/>
    <s v="邱威荏"/>
    <x v="0"/>
    <m/>
  </r>
  <r>
    <x v="14"/>
    <n v="12"/>
    <n v="115212"/>
    <s v="侯凱鈞"/>
    <x v="0"/>
    <m/>
  </r>
  <r>
    <x v="14"/>
    <n v="13"/>
    <n v="115213"/>
    <s v="秦銘均"/>
    <x v="0"/>
    <m/>
  </r>
  <r>
    <x v="14"/>
    <n v="14"/>
    <n v="115214"/>
    <s v="張為皓"/>
    <x v="0"/>
    <m/>
  </r>
  <r>
    <x v="14"/>
    <n v="15"/>
    <n v="115215"/>
    <s v="張嘉恩"/>
    <x v="0"/>
    <m/>
  </r>
  <r>
    <x v="14"/>
    <n v="16"/>
    <n v="115216"/>
    <s v="許君豪"/>
    <x v="0"/>
    <s v="技優生"/>
  </r>
  <r>
    <x v="14"/>
    <n v="17"/>
    <n v="115217"/>
    <s v="許博翔"/>
    <x v="0"/>
    <m/>
  </r>
  <r>
    <x v="14"/>
    <n v="18"/>
    <n v="115218"/>
    <s v="郭宗騰"/>
    <x v="0"/>
    <m/>
  </r>
  <r>
    <x v="14"/>
    <n v="19"/>
    <n v="115219"/>
    <s v="陳俊延"/>
    <x v="0"/>
    <s v="資源班"/>
  </r>
  <r>
    <x v="14"/>
    <n v="20"/>
    <n v="115220"/>
    <s v="陳譯"/>
    <x v="0"/>
    <m/>
  </r>
  <r>
    <x v="14"/>
    <n v="21"/>
    <n v="115221"/>
    <s v="彭竑叡"/>
    <x v="0"/>
    <m/>
  </r>
  <r>
    <x v="14"/>
    <n v="22"/>
    <n v="115222"/>
    <s v="曾暐文"/>
    <x v="0"/>
    <m/>
  </r>
  <r>
    <x v="14"/>
    <n v="23"/>
    <n v="115223"/>
    <s v="黃英豪"/>
    <x v="0"/>
    <m/>
  </r>
  <r>
    <x v="14"/>
    <n v="24"/>
    <n v="115224"/>
    <s v="葉子平"/>
    <x v="0"/>
    <m/>
  </r>
  <r>
    <x v="14"/>
    <n v="25"/>
    <n v="115225"/>
    <s v="鄒亞豫"/>
    <x v="0"/>
    <m/>
  </r>
  <r>
    <x v="14"/>
    <n v="26"/>
    <n v="115226"/>
    <s v="廖冠宇"/>
    <x v="0"/>
    <m/>
  </r>
  <r>
    <x v="14"/>
    <n v="27"/>
    <n v="115227"/>
    <s v="劉崇志"/>
    <x v="0"/>
    <m/>
  </r>
  <r>
    <x v="14"/>
    <n v="28"/>
    <n v="115228"/>
    <s v="潘紘宇"/>
    <x v="0"/>
    <s v="技優生"/>
  </r>
  <r>
    <x v="14"/>
    <n v="29"/>
    <n v="115229"/>
    <s v="蔡宇翰"/>
    <x v="0"/>
    <m/>
  </r>
  <r>
    <x v="14"/>
    <n v="30"/>
    <n v="115230"/>
    <s v="蔡念成"/>
    <x v="0"/>
    <m/>
  </r>
  <r>
    <x v="14"/>
    <n v="31"/>
    <n v="115231"/>
    <s v="鄭宏杰"/>
    <x v="0"/>
    <m/>
  </r>
  <r>
    <x v="14"/>
    <n v="32"/>
    <n v="115232"/>
    <s v="鄭睿安"/>
    <x v="0"/>
    <m/>
  </r>
  <r>
    <x v="14"/>
    <n v="33"/>
    <n v="115233"/>
    <s v="盧翊函"/>
    <x v="0"/>
    <m/>
  </r>
  <r>
    <x v="14"/>
    <n v="34"/>
    <n v="115234"/>
    <s v="薛聿甯"/>
    <x v="0"/>
    <s v="資源班"/>
  </r>
  <r>
    <x v="14"/>
    <n v="35"/>
    <n v="115235"/>
    <s v="謝宇喆"/>
    <x v="0"/>
    <m/>
  </r>
  <r>
    <x v="14"/>
    <n v="36"/>
    <n v="115236"/>
    <s v="韓周彥"/>
    <x v="0"/>
    <m/>
  </r>
  <r>
    <x v="14"/>
    <n v="37"/>
    <n v="115237"/>
    <s v="簡鉦沅"/>
    <x v="0"/>
    <m/>
  </r>
  <r>
    <x v="14"/>
    <n v="38"/>
    <n v="115238"/>
    <s v="羅楷閎"/>
    <x v="0"/>
    <m/>
  </r>
  <r>
    <x v="15"/>
    <n v="1"/>
    <n v="118101"/>
    <s v="方嘉俊"/>
    <x v="0"/>
    <m/>
  </r>
  <r>
    <x v="15"/>
    <n v="2"/>
    <n v="118102"/>
    <s v="王善平"/>
    <x v="0"/>
    <m/>
  </r>
  <r>
    <x v="15"/>
    <n v="3"/>
    <n v="118103"/>
    <s v="*王萱"/>
    <x v="1"/>
    <m/>
  </r>
  <r>
    <x v="15"/>
    <n v="4"/>
    <n v="118104"/>
    <s v="何天平"/>
    <x v="0"/>
    <m/>
  </r>
  <r>
    <x v="15"/>
    <n v="5"/>
    <n v="118105"/>
    <s v="*何思瑢"/>
    <x v="1"/>
    <m/>
  </r>
  <r>
    <x v="15"/>
    <n v="6"/>
    <n v="118106"/>
    <s v="吳禹寰"/>
    <x v="0"/>
    <m/>
  </r>
  <r>
    <x v="15"/>
    <n v="7"/>
    <n v="118107"/>
    <s v="吳浚宇"/>
    <x v="0"/>
    <m/>
  </r>
  <r>
    <x v="15"/>
    <n v="8"/>
    <n v="118108"/>
    <s v="*李品嫻"/>
    <x v="1"/>
    <m/>
  </r>
  <r>
    <x v="15"/>
    <n v="9"/>
    <n v="118109"/>
    <s v="沈均祐"/>
    <x v="0"/>
    <s v="資源班"/>
  </r>
  <r>
    <x v="15"/>
    <n v="10"/>
    <n v="118110"/>
    <s v="*周小箏"/>
    <x v="1"/>
    <m/>
  </r>
  <r>
    <x v="15"/>
    <n v="11"/>
    <n v="118111"/>
    <s v="*林亞樺"/>
    <x v="1"/>
    <m/>
  </r>
  <r>
    <x v="15"/>
    <n v="12"/>
    <n v="118112"/>
    <s v="*林芷君"/>
    <x v="1"/>
    <m/>
  </r>
  <r>
    <x v="15"/>
    <n v="13"/>
    <n v="118113"/>
    <s v="洪博韻"/>
    <x v="0"/>
    <s v="資源班"/>
  </r>
  <r>
    <x v="15"/>
    <n v="14"/>
    <n v="118114"/>
    <s v="*范婷宇"/>
    <x v="1"/>
    <m/>
  </r>
  <r>
    <x v="15"/>
    <n v="15"/>
    <n v="118115"/>
    <s v="*徐佩妤"/>
    <x v="1"/>
    <m/>
  </r>
  <r>
    <x v="15"/>
    <n v="16"/>
    <n v="118116"/>
    <s v="張晉嘉"/>
    <x v="0"/>
    <m/>
  </r>
  <r>
    <x v="15"/>
    <n v="17"/>
    <n v="118117"/>
    <s v="*張曉築"/>
    <x v="1"/>
    <m/>
  </r>
  <r>
    <x v="15"/>
    <n v="18"/>
    <n v="118118"/>
    <s v="連偉勝"/>
    <x v="0"/>
    <m/>
  </r>
  <r>
    <x v="15"/>
    <n v="19"/>
    <n v="118119"/>
    <s v="*連涴儀"/>
    <x v="1"/>
    <m/>
  </r>
  <r>
    <x v="15"/>
    <n v="20"/>
    <n v="118120"/>
    <s v="*郭芊妤"/>
    <x v="1"/>
    <m/>
  </r>
  <r>
    <x v="15"/>
    <n v="21"/>
    <n v="118121"/>
    <s v="陳冠希"/>
    <x v="0"/>
    <m/>
  </r>
  <r>
    <x v="15"/>
    <n v="22"/>
    <n v="118122"/>
    <s v="陳品佑"/>
    <x v="0"/>
    <s v="資源班"/>
  </r>
  <r>
    <x v="15"/>
    <n v="23"/>
    <n v="118123"/>
    <s v="*陳宥筑"/>
    <x v="1"/>
    <m/>
  </r>
  <r>
    <x v="15"/>
    <n v="24"/>
    <n v="118124"/>
    <s v="*陳彥云"/>
    <x v="1"/>
    <m/>
  </r>
  <r>
    <x v="15"/>
    <n v="25"/>
    <n v="118125"/>
    <s v="*陳昱蓉"/>
    <x v="1"/>
    <m/>
  </r>
  <r>
    <x v="15"/>
    <n v="26"/>
    <n v="118126"/>
    <s v="*陳詩佳"/>
    <x v="1"/>
    <s v="技優生"/>
  </r>
  <r>
    <x v="15"/>
    <n v="27"/>
    <n v="118127"/>
    <s v="曾秉佑"/>
    <x v="0"/>
    <m/>
  </r>
  <r>
    <x v="15"/>
    <n v="28"/>
    <n v="118128"/>
    <s v="黃民賢"/>
    <x v="0"/>
    <m/>
  </r>
  <r>
    <x v="15"/>
    <n v="29"/>
    <n v="118129"/>
    <s v="*黃睿宜"/>
    <x v="1"/>
    <m/>
  </r>
  <r>
    <x v="15"/>
    <n v="30"/>
    <n v="118130"/>
    <s v="*劉名恩"/>
    <x v="1"/>
    <m/>
  </r>
  <r>
    <x v="15"/>
    <n v="31"/>
    <n v="118131"/>
    <s v="*劉宜臻"/>
    <x v="1"/>
    <m/>
  </r>
  <r>
    <x v="15"/>
    <n v="32"/>
    <n v="118132"/>
    <s v="*蕭鈺庭"/>
    <x v="1"/>
    <m/>
  </r>
  <r>
    <x v="15"/>
    <n v="33"/>
    <n v="118133"/>
    <s v="饒孝澤"/>
    <x v="0"/>
    <m/>
  </r>
  <r>
    <x v="16"/>
    <n v="1"/>
    <n v="118201"/>
    <s v="王宥勝"/>
    <x v="0"/>
    <s v="資源班"/>
  </r>
  <r>
    <x v="16"/>
    <n v="2"/>
    <n v="118202"/>
    <s v="朱錡鋒"/>
    <x v="0"/>
    <m/>
  </r>
  <r>
    <x v="16"/>
    <n v="3"/>
    <n v="118203"/>
    <s v="江峻瑋"/>
    <x v="0"/>
    <m/>
  </r>
  <r>
    <x v="16"/>
    <n v="4"/>
    <n v="118204"/>
    <s v="江晨佑"/>
    <x v="0"/>
    <m/>
  </r>
  <r>
    <x v="16"/>
    <n v="5"/>
    <n v="118205"/>
    <s v="吳柏翰"/>
    <x v="0"/>
    <m/>
  </r>
  <r>
    <x v="16"/>
    <n v="6"/>
    <n v="118206"/>
    <s v="*周子盈"/>
    <x v="1"/>
    <m/>
  </r>
  <r>
    <x v="16"/>
    <n v="7"/>
    <n v="118207"/>
    <s v="林子恆"/>
    <x v="0"/>
    <m/>
  </r>
  <r>
    <x v="16"/>
    <n v="8"/>
    <n v="118208"/>
    <s v="*林彥妤"/>
    <x v="1"/>
    <m/>
  </r>
  <r>
    <x v="16"/>
    <n v="9"/>
    <n v="118209"/>
    <s v="*林映彤"/>
    <x v="1"/>
    <m/>
  </r>
  <r>
    <x v="16"/>
    <n v="10"/>
    <n v="118210"/>
    <s v="*洪薇礎"/>
    <x v="1"/>
    <m/>
  </r>
  <r>
    <x v="16"/>
    <n v="11"/>
    <n v="118211"/>
    <s v="*涂安喬"/>
    <x v="1"/>
    <m/>
  </r>
  <r>
    <x v="16"/>
    <n v="12"/>
    <n v="118212"/>
    <s v="高碩廷"/>
    <x v="0"/>
    <s v="資源班"/>
  </r>
  <r>
    <x v="16"/>
    <n v="13"/>
    <n v="118213"/>
    <s v="*張怡雯"/>
    <x v="1"/>
    <m/>
  </r>
  <r>
    <x v="16"/>
    <n v="14"/>
    <n v="118214"/>
    <s v="*梁韵妍"/>
    <x v="1"/>
    <m/>
  </r>
  <r>
    <x v="16"/>
    <n v="15"/>
    <n v="118215"/>
    <s v="*莊喬晳"/>
    <x v="1"/>
    <m/>
  </r>
  <r>
    <x v="16"/>
    <n v="16"/>
    <n v="118216"/>
    <s v="*許以樂"/>
    <x v="1"/>
    <m/>
  </r>
  <r>
    <x v="16"/>
    <n v="17"/>
    <n v="118217"/>
    <s v="許家碩"/>
    <x v="0"/>
    <s v="資源班"/>
  </r>
  <r>
    <x v="16"/>
    <n v="18"/>
    <n v="118218"/>
    <s v="陳育寬"/>
    <x v="0"/>
    <m/>
  </r>
  <r>
    <x v="16"/>
    <n v="19"/>
    <n v="118219"/>
    <s v="陳冠廷"/>
    <x v="0"/>
    <m/>
  </r>
  <r>
    <x v="16"/>
    <n v="20"/>
    <n v="118220"/>
    <s v="陳品宏"/>
    <x v="0"/>
    <m/>
  </r>
  <r>
    <x v="16"/>
    <n v="21"/>
    <n v="118221"/>
    <s v="*陳映潔"/>
    <x v="1"/>
    <m/>
  </r>
  <r>
    <x v="16"/>
    <n v="22"/>
    <n v="118222"/>
    <s v="*陳昱晴"/>
    <x v="1"/>
    <m/>
  </r>
  <r>
    <x v="16"/>
    <n v="23"/>
    <n v="118223"/>
    <s v="*陳楀晴"/>
    <x v="1"/>
    <m/>
  </r>
  <r>
    <x v="16"/>
    <n v="24"/>
    <n v="118224"/>
    <s v="黃子恩"/>
    <x v="0"/>
    <m/>
  </r>
  <r>
    <x v="16"/>
    <n v="25"/>
    <n v="118225"/>
    <s v="黃崇睿"/>
    <x v="0"/>
    <m/>
  </r>
  <r>
    <x v="16"/>
    <n v="26"/>
    <n v="118226"/>
    <s v="*楊淋鈞"/>
    <x v="1"/>
    <m/>
  </r>
  <r>
    <x v="16"/>
    <n v="27"/>
    <n v="118227"/>
    <s v="*蔡佩岑"/>
    <x v="1"/>
    <m/>
  </r>
  <r>
    <x v="16"/>
    <n v="28"/>
    <n v="118228"/>
    <s v="蔡定綸"/>
    <x v="0"/>
    <m/>
  </r>
  <r>
    <x v="16"/>
    <n v="29"/>
    <n v="118229"/>
    <s v="*蔡宜蓁"/>
    <x v="1"/>
    <m/>
  </r>
  <r>
    <x v="16"/>
    <n v="30"/>
    <n v="118230"/>
    <s v="*賴佳惠"/>
    <x v="1"/>
    <s v="技優生"/>
  </r>
  <r>
    <x v="16"/>
    <n v="31"/>
    <n v="118231"/>
    <s v="*謝雅竹"/>
    <x v="1"/>
    <m/>
  </r>
  <r>
    <x v="16"/>
    <n v="32"/>
    <n v="118232"/>
    <s v="*魏予寘"/>
    <x v="1"/>
    <m/>
  </r>
  <r>
    <x v="17"/>
    <n v="1"/>
    <n v="116101"/>
    <s v="李宗宥"/>
    <x v="0"/>
    <m/>
  </r>
  <r>
    <x v="17"/>
    <n v="2"/>
    <n v="116102"/>
    <s v="李寅森"/>
    <x v="0"/>
    <m/>
  </r>
  <r>
    <x v="17"/>
    <n v="3"/>
    <n v="116103"/>
    <s v="*林佑宣"/>
    <x v="1"/>
    <m/>
  </r>
  <r>
    <x v="17"/>
    <n v="4"/>
    <n v="116104"/>
    <s v="林冠丞"/>
    <x v="0"/>
    <m/>
  </r>
  <r>
    <x v="17"/>
    <n v="5"/>
    <n v="116105"/>
    <s v="郭上瑜"/>
    <x v="0"/>
    <m/>
  </r>
  <r>
    <x v="17"/>
    <n v="6"/>
    <n v="116106"/>
    <s v="陳力愷"/>
    <x v="0"/>
    <m/>
  </r>
  <r>
    <x v="17"/>
    <n v="7"/>
    <n v="116107"/>
    <s v="*陳姿廷"/>
    <x v="1"/>
    <m/>
  </r>
  <r>
    <x v="17"/>
    <n v="8"/>
    <n v="116108"/>
    <s v="陳彥廷"/>
    <x v="0"/>
    <m/>
  </r>
  <r>
    <x v="17"/>
    <n v="9"/>
    <n v="116109"/>
    <s v="黃子峻"/>
    <x v="0"/>
    <m/>
  </r>
  <r>
    <x v="17"/>
    <n v="10"/>
    <n v="116110"/>
    <s v="廖奕鈞"/>
    <x v="0"/>
    <m/>
  </r>
  <r>
    <x v="17"/>
    <n v="11"/>
    <n v="116111"/>
    <s v="盧昱翔"/>
    <x v="0"/>
    <m/>
  </r>
  <r>
    <x v="18"/>
    <n v="1"/>
    <n v="117101"/>
    <s v="江宇桀"/>
    <x v="0"/>
    <m/>
  </r>
  <r>
    <x v="18"/>
    <n v="2"/>
    <n v="117102"/>
    <s v="吳柏澄"/>
    <x v="0"/>
    <m/>
  </r>
  <r>
    <x v="18"/>
    <n v="3"/>
    <n v="117103"/>
    <s v="吳勝楷"/>
    <x v="0"/>
    <m/>
  </r>
  <r>
    <x v="18"/>
    <n v="4"/>
    <n v="117104"/>
    <s v="呂致遠"/>
    <x v="0"/>
    <m/>
  </r>
  <r>
    <x v="18"/>
    <n v="5"/>
    <n v="117105"/>
    <s v="李偉哲"/>
    <x v="0"/>
    <m/>
  </r>
  <r>
    <x v="18"/>
    <n v="6"/>
    <n v="117106"/>
    <s v="林其緯"/>
    <x v="0"/>
    <m/>
  </r>
  <r>
    <x v="18"/>
    <n v="7"/>
    <n v="117107"/>
    <s v="林哲葦"/>
    <x v="0"/>
    <m/>
  </r>
  <r>
    <x v="18"/>
    <n v="8"/>
    <n v="117108"/>
    <s v="林家亨"/>
    <x v="0"/>
    <s v="自棄學籍"/>
  </r>
  <r>
    <x v="18"/>
    <n v="9"/>
    <n v="117109"/>
    <s v="姚勝胘"/>
    <x v="0"/>
    <m/>
  </r>
  <r>
    <x v="18"/>
    <n v="10"/>
    <n v="117110"/>
    <s v="*陳盈霏"/>
    <x v="1"/>
    <m/>
  </r>
  <r>
    <x v="18"/>
    <n v="11"/>
    <n v="117111"/>
    <s v="*陳皓萱"/>
    <x v="1"/>
    <m/>
  </r>
  <r>
    <x v="18"/>
    <n v="12"/>
    <n v="117112"/>
    <s v="彭守澤"/>
    <x v="0"/>
    <m/>
  </r>
  <r>
    <x v="18"/>
    <n v="13"/>
    <n v="117113"/>
    <s v="潘奎亨"/>
    <x v="0"/>
    <m/>
  </r>
  <r>
    <x v="18"/>
    <n v="14"/>
    <n v="117114"/>
    <s v="蔡銘育"/>
    <x v="0"/>
    <m/>
  </r>
  <r>
    <x v="18"/>
    <n v="15"/>
    <n v="117115"/>
    <s v="*蕭以婷"/>
    <x v="1"/>
    <m/>
  </r>
  <r>
    <x v="18"/>
    <n v="16"/>
    <n v="117116"/>
    <s v="蕭永之"/>
    <x v="0"/>
    <m/>
  </r>
  <r>
    <x v="18"/>
    <n v="17"/>
    <n v="117117"/>
    <s v="謝承翰"/>
    <x v="0"/>
    <m/>
  </r>
  <r>
    <x v="19"/>
    <n v="1"/>
    <n v="101101"/>
    <s v="任祥誌"/>
    <x v="0"/>
    <m/>
  </r>
  <r>
    <x v="19"/>
    <n v="2"/>
    <n v="101102"/>
    <s v="朱諺信"/>
    <x v="0"/>
    <m/>
  </r>
  <r>
    <x v="19"/>
    <n v="3"/>
    <n v="101103"/>
    <s v="何瑋哲"/>
    <x v="0"/>
    <m/>
  </r>
  <r>
    <x v="19"/>
    <n v="4"/>
    <n v="101104"/>
    <s v="余宥慶"/>
    <x v="0"/>
    <m/>
  </r>
  <r>
    <x v="19"/>
    <n v="5"/>
    <n v="101105"/>
    <s v="吳彥陞"/>
    <x v="0"/>
    <m/>
  </r>
  <r>
    <x v="19"/>
    <n v="6"/>
    <n v="101106"/>
    <s v="吳柏毅"/>
    <x v="0"/>
    <m/>
  </r>
  <r>
    <x v="19"/>
    <n v="7"/>
    <n v="101107"/>
    <s v="吳玴綱"/>
    <x v="0"/>
    <m/>
  </r>
  <r>
    <x v="19"/>
    <n v="8"/>
    <n v="101108"/>
    <s v="宋致宇"/>
    <x v="0"/>
    <m/>
  </r>
  <r>
    <x v="19"/>
    <n v="9"/>
    <n v="101109"/>
    <s v="李穎憲"/>
    <x v="0"/>
    <s v="技優生"/>
  </r>
  <r>
    <x v="19"/>
    <n v="10"/>
    <n v="101110"/>
    <s v="林則言"/>
    <x v="0"/>
    <m/>
  </r>
  <r>
    <x v="19"/>
    <n v="11"/>
    <n v="101111"/>
    <s v="姚昱呈"/>
    <x v="0"/>
    <m/>
  </r>
  <r>
    <x v="19"/>
    <n v="12"/>
    <n v="101112"/>
    <s v="張宇承"/>
    <x v="0"/>
    <m/>
  </r>
  <r>
    <x v="19"/>
    <n v="13"/>
    <n v="101113"/>
    <s v="張冠維"/>
    <x v="0"/>
    <m/>
  </r>
  <r>
    <x v="19"/>
    <n v="14"/>
    <n v="101114"/>
    <s v="莊政翰"/>
    <x v="0"/>
    <m/>
  </r>
  <r>
    <x v="19"/>
    <n v="15"/>
    <n v="101115"/>
    <s v="許澤曦"/>
    <x v="0"/>
    <m/>
  </r>
  <r>
    <x v="19"/>
    <n v="16"/>
    <n v="101116"/>
    <s v="郭子祺"/>
    <x v="0"/>
    <m/>
  </r>
  <r>
    <x v="19"/>
    <n v="17"/>
    <n v="101117"/>
    <s v="陳帛駿"/>
    <x v="0"/>
    <m/>
  </r>
  <r>
    <x v="19"/>
    <n v="18"/>
    <n v="101118"/>
    <s v="*陳品聿"/>
    <x v="1"/>
    <m/>
  </r>
  <r>
    <x v="19"/>
    <n v="19"/>
    <n v="101119"/>
    <s v="陳柏羽"/>
    <x v="0"/>
    <m/>
  </r>
  <r>
    <x v="19"/>
    <n v="20"/>
    <n v="101120"/>
    <s v="陳柏聿"/>
    <x v="0"/>
    <m/>
  </r>
  <r>
    <x v="19"/>
    <n v="21"/>
    <n v="101121"/>
    <s v="陳緯綸"/>
    <x v="0"/>
    <m/>
  </r>
  <r>
    <x v="19"/>
    <n v="22"/>
    <n v="101122"/>
    <s v="傅郁惟"/>
    <x v="0"/>
    <m/>
  </r>
  <r>
    <x v="19"/>
    <n v="23"/>
    <n v="101123"/>
    <s v="彭海荃"/>
    <x v="0"/>
    <m/>
  </r>
  <r>
    <x v="19"/>
    <n v="24"/>
    <n v="101124"/>
    <s v="曾瑋庭"/>
    <x v="0"/>
    <m/>
  </r>
  <r>
    <x v="19"/>
    <n v="25"/>
    <n v="101125"/>
    <s v="游日僑"/>
    <x v="0"/>
    <m/>
  </r>
  <r>
    <x v="19"/>
    <n v="26"/>
    <n v="101126"/>
    <s v="*黃郁涵"/>
    <x v="1"/>
    <m/>
  </r>
  <r>
    <x v="19"/>
    <n v="27"/>
    <n v="101127"/>
    <s v="*黃雅楨"/>
    <x v="1"/>
    <m/>
  </r>
  <r>
    <x v="19"/>
    <n v="28"/>
    <n v="101128"/>
    <s v="楊易儒"/>
    <x v="0"/>
    <m/>
  </r>
  <r>
    <x v="19"/>
    <n v="29"/>
    <n v="101130"/>
    <s v="楊翰柏"/>
    <x v="0"/>
    <s v="資源班"/>
  </r>
  <r>
    <x v="19"/>
    <n v="30"/>
    <n v="101131"/>
    <s v="廖明皓"/>
    <x v="0"/>
    <s v="技優生"/>
  </r>
  <r>
    <x v="19"/>
    <n v="31"/>
    <n v="101132"/>
    <s v="駱威廷"/>
    <x v="0"/>
    <m/>
  </r>
  <r>
    <x v="19"/>
    <n v="32"/>
    <n v="101133"/>
    <s v="*謝佳芯"/>
    <x v="1"/>
    <m/>
  </r>
  <r>
    <x v="19"/>
    <n v="33"/>
    <n v="101134"/>
    <s v="顏杰綸"/>
    <x v="0"/>
    <m/>
  </r>
  <r>
    <x v="20"/>
    <n v="1"/>
    <n v="101201"/>
    <s v="王立言"/>
    <x v="0"/>
    <m/>
  </r>
  <r>
    <x v="20"/>
    <n v="2"/>
    <n v="101202"/>
    <s v="王歆皓"/>
    <x v="0"/>
    <m/>
  </r>
  <r>
    <x v="20"/>
    <n v="3"/>
    <n v="101204"/>
    <s v="何勁廷"/>
    <x v="0"/>
    <m/>
  </r>
  <r>
    <x v="20"/>
    <n v="4"/>
    <n v="101206"/>
    <s v="吳迪"/>
    <x v="0"/>
    <m/>
  </r>
  <r>
    <x v="20"/>
    <n v="5"/>
    <n v="101207"/>
    <s v="宋偉豪"/>
    <x v="0"/>
    <s v="技優生"/>
  </r>
  <r>
    <x v="20"/>
    <n v="6"/>
    <n v="101208"/>
    <s v="李承壕"/>
    <x v="0"/>
    <m/>
  </r>
  <r>
    <x v="20"/>
    <n v="7"/>
    <n v="101209"/>
    <s v="李彥暉"/>
    <x v="0"/>
    <m/>
  </r>
  <r>
    <x v="20"/>
    <n v="8"/>
    <n v="101210"/>
    <s v="周凡喆"/>
    <x v="0"/>
    <s v="技優生"/>
  </r>
  <r>
    <x v="20"/>
    <n v="9"/>
    <n v="101211"/>
    <s v="林宣呈"/>
    <x v="0"/>
    <m/>
  </r>
  <r>
    <x v="20"/>
    <n v="10"/>
    <n v="101212"/>
    <s v="林開予"/>
    <x v="0"/>
    <m/>
  </r>
  <r>
    <x v="20"/>
    <n v="11"/>
    <n v="101213"/>
    <s v="邱以理"/>
    <x v="0"/>
    <m/>
  </r>
  <r>
    <x v="20"/>
    <n v="12"/>
    <n v="101214"/>
    <s v="*徐彩雲"/>
    <x v="1"/>
    <m/>
  </r>
  <r>
    <x v="20"/>
    <n v="13"/>
    <n v="101215"/>
    <s v="高丞逸"/>
    <x v="0"/>
    <m/>
  </r>
  <r>
    <x v="20"/>
    <n v="14"/>
    <n v="101216"/>
    <s v="張仲霆"/>
    <x v="0"/>
    <m/>
  </r>
  <r>
    <x v="20"/>
    <n v="15"/>
    <n v="101217"/>
    <s v="*郭子綺"/>
    <x v="1"/>
    <m/>
  </r>
  <r>
    <x v="20"/>
    <n v="16"/>
    <n v="101218"/>
    <s v="陳廷祐"/>
    <x v="0"/>
    <m/>
  </r>
  <r>
    <x v="20"/>
    <n v="17"/>
    <n v="101219"/>
    <s v="陳俊宇"/>
    <x v="0"/>
    <m/>
  </r>
  <r>
    <x v="20"/>
    <n v="18"/>
    <n v="101220"/>
    <s v="陳品叡"/>
    <x v="0"/>
    <m/>
  </r>
  <r>
    <x v="20"/>
    <n v="19"/>
    <n v="101221"/>
    <s v="陳宥任"/>
    <x v="0"/>
    <m/>
  </r>
  <r>
    <x v="20"/>
    <n v="20"/>
    <n v="101222"/>
    <s v="陳瑋杰"/>
    <x v="0"/>
    <m/>
  </r>
  <r>
    <x v="20"/>
    <n v="21"/>
    <n v="101224"/>
    <s v="黃敬恩"/>
    <x v="0"/>
    <m/>
  </r>
  <r>
    <x v="20"/>
    <n v="22"/>
    <n v="101225"/>
    <s v="楊詠崴"/>
    <x v="0"/>
    <m/>
  </r>
  <r>
    <x v="20"/>
    <n v="23"/>
    <n v="101226"/>
    <s v="葉銘埁"/>
    <x v="0"/>
    <m/>
  </r>
  <r>
    <x v="20"/>
    <n v="24"/>
    <n v="101227"/>
    <s v="*廖子瑩"/>
    <x v="1"/>
    <m/>
  </r>
  <r>
    <x v="20"/>
    <n v="25"/>
    <n v="101228"/>
    <s v="廖昱祥"/>
    <x v="0"/>
    <m/>
  </r>
  <r>
    <x v="20"/>
    <n v="26"/>
    <n v="101229"/>
    <s v="劉昱圻"/>
    <x v="0"/>
    <m/>
  </r>
  <r>
    <x v="20"/>
    <n v="27"/>
    <n v="101230"/>
    <s v="劉偉仁"/>
    <x v="0"/>
    <m/>
  </r>
  <r>
    <x v="20"/>
    <n v="28"/>
    <n v="101232"/>
    <s v="蕭凱正"/>
    <x v="0"/>
    <m/>
  </r>
  <r>
    <x v="20"/>
    <n v="29"/>
    <n v="101233"/>
    <s v="謝中皓"/>
    <x v="0"/>
    <m/>
  </r>
  <r>
    <x v="20"/>
    <n v="30"/>
    <n v="101234"/>
    <s v="謝承翰"/>
    <x v="0"/>
    <m/>
  </r>
  <r>
    <x v="20"/>
    <n v="31"/>
    <s v="091433"/>
    <s v="簡均諺"/>
    <x v="0"/>
    <s v="復學生"/>
  </r>
  <r>
    <x v="21"/>
    <n v="1"/>
    <n v="101301"/>
    <s v="毛宥賢"/>
    <x v="0"/>
    <s v="技優生"/>
  </r>
  <r>
    <x v="21"/>
    <n v="2"/>
    <n v="101302"/>
    <s v="王晨愷"/>
    <x v="0"/>
    <m/>
  </r>
  <r>
    <x v="21"/>
    <n v="3"/>
    <n v="101303"/>
    <s v="江政祐"/>
    <x v="0"/>
    <m/>
  </r>
  <r>
    <x v="21"/>
    <n v="4"/>
    <n v="101305"/>
    <s v="何俊陞"/>
    <x v="0"/>
    <m/>
  </r>
  <r>
    <x v="21"/>
    <n v="5"/>
    <n v="101306"/>
    <s v="*吳晏萁"/>
    <x v="1"/>
    <m/>
  </r>
  <r>
    <x v="21"/>
    <n v="6"/>
    <n v="101307"/>
    <s v="呂旻諺"/>
    <x v="0"/>
    <m/>
  </r>
  <r>
    <x v="21"/>
    <n v="7"/>
    <n v="101308"/>
    <s v="李承冠"/>
    <x v="0"/>
    <m/>
  </r>
  <r>
    <x v="21"/>
    <n v="8"/>
    <n v="101309"/>
    <s v="沈俊言"/>
    <x v="0"/>
    <m/>
  </r>
  <r>
    <x v="21"/>
    <n v="9"/>
    <n v="101310"/>
    <s v="林祐增"/>
    <x v="0"/>
    <m/>
  </r>
  <r>
    <x v="21"/>
    <n v="10"/>
    <n v="101311"/>
    <s v="柳彥丞"/>
    <x v="0"/>
    <m/>
  </r>
  <r>
    <x v="21"/>
    <n v="11"/>
    <n v="101312"/>
    <s v="高宗玄"/>
    <x v="0"/>
    <m/>
  </r>
  <r>
    <x v="21"/>
    <n v="12"/>
    <n v="101313"/>
    <s v="*張采恩"/>
    <x v="1"/>
    <m/>
  </r>
  <r>
    <x v="21"/>
    <n v="13"/>
    <n v="101314"/>
    <s v="*張翊庭"/>
    <x v="1"/>
    <m/>
  </r>
  <r>
    <x v="21"/>
    <n v="14"/>
    <n v="101315"/>
    <s v="莊勝宇"/>
    <x v="0"/>
    <m/>
  </r>
  <r>
    <x v="21"/>
    <n v="15"/>
    <n v="101316"/>
    <s v="許皓翔"/>
    <x v="0"/>
    <s v="技優生"/>
  </r>
  <r>
    <x v="21"/>
    <n v="16"/>
    <n v="101317"/>
    <s v="*陳怡安"/>
    <x v="1"/>
    <m/>
  </r>
  <r>
    <x v="21"/>
    <n v="17"/>
    <n v="101318"/>
    <s v="陳易佐"/>
    <x v="0"/>
    <m/>
  </r>
  <r>
    <x v="21"/>
    <n v="18"/>
    <n v="101319"/>
    <s v="陳奕廷"/>
    <x v="0"/>
    <m/>
  </r>
  <r>
    <x v="21"/>
    <n v="19"/>
    <n v="101320"/>
    <s v="陳傑倫"/>
    <x v="0"/>
    <m/>
  </r>
  <r>
    <x v="21"/>
    <n v="20"/>
    <n v="101321"/>
    <s v="黃呂凱"/>
    <x v="0"/>
    <m/>
  </r>
  <r>
    <x v="21"/>
    <n v="21"/>
    <n v="101322"/>
    <s v="黃承佑"/>
    <x v="0"/>
    <m/>
  </r>
  <r>
    <x v="21"/>
    <n v="22"/>
    <n v="101323"/>
    <s v="黃柏勳"/>
    <x v="0"/>
    <s v="資源班"/>
  </r>
  <r>
    <x v="21"/>
    <n v="23"/>
    <n v="101324"/>
    <s v="黃聖丰"/>
    <x v="0"/>
    <m/>
  </r>
  <r>
    <x v="21"/>
    <n v="24"/>
    <n v="101325"/>
    <s v="鄒宗憲"/>
    <x v="0"/>
    <m/>
  </r>
  <r>
    <x v="21"/>
    <n v="25"/>
    <n v="101326"/>
    <s v="劉李新"/>
    <x v="0"/>
    <m/>
  </r>
  <r>
    <x v="21"/>
    <n v="26"/>
    <n v="101327"/>
    <s v="劉俊希"/>
    <x v="0"/>
    <m/>
  </r>
  <r>
    <x v="21"/>
    <n v="27"/>
    <n v="101328"/>
    <s v="劉奕劭"/>
    <x v="0"/>
    <m/>
  </r>
  <r>
    <x v="21"/>
    <n v="28"/>
    <n v="101329"/>
    <s v="潘世穎"/>
    <x v="0"/>
    <m/>
  </r>
  <r>
    <x v="21"/>
    <n v="29"/>
    <n v="101330"/>
    <s v="蔡政宏"/>
    <x v="0"/>
    <m/>
  </r>
  <r>
    <x v="21"/>
    <n v="30"/>
    <n v="101331"/>
    <s v="蔣繼元"/>
    <x v="0"/>
    <m/>
  </r>
  <r>
    <x v="21"/>
    <n v="31"/>
    <n v="101332"/>
    <s v="鄭宇辰"/>
    <x v="0"/>
    <m/>
  </r>
  <r>
    <x v="21"/>
    <n v="32"/>
    <n v="101333"/>
    <s v="蕭翰欽"/>
    <x v="0"/>
    <m/>
  </r>
  <r>
    <x v="21"/>
    <n v="33"/>
    <n v="101334"/>
    <s v="羅健維"/>
    <x v="0"/>
    <m/>
  </r>
  <r>
    <x v="22"/>
    <n v="1"/>
    <n v="101401"/>
    <s v="王秉緯"/>
    <x v="0"/>
    <s v="技優生"/>
  </r>
  <r>
    <x v="22"/>
    <n v="2"/>
    <n v="101402"/>
    <s v="王鼎鈞"/>
    <x v="0"/>
    <m/>
  </r>
  <r>
    <x v="22"/>
    <n v="3"/>
    <n v="101403"/>
    <s v="*古沛渝"/>
    <x v="1"/>
    <m/>
  </r>
  <r>
    <x v="22"/>
    <n v="4"/>
    <n v="101404"/>
    <s v="申翔崴"/>
    <x v="0"/>
    <m/>
  </r>
  <r>
    <x v="22"/>
    <n v="5"/>
    <n v="101405"/>
    <s v="*朱珮萱"/>
    <x v="1"/>
    <s v="技優生"/>
  </r>
  <r>
    <x v="22"/>
    <n v="6"/>
    <n v="101406"/>
    <s v="吳育昇"/>
    <x v="0"/>
    <m/>
  </r>
  <r>
    <x v="22"/>
    <n v="7"/>
    <n v="101407"/>
    <s v="吳佳豪"/>
    <x v="0"/>
    <m/>
  </r>
  <r>
    <x v="22"/>
    <n v="8"/>
    <n v="101408"/>
    <s v="吳長韵"/>
    <x v="0"/>
    <m/>
  </r>
  <r>
    <x v="22"/>
    <n v="9"/>
    <n v="101409"/>
    <s v="李則昊"/>
    <x v="0"/>
    <m/>
  </r>
  <r>
    <x v="22"/>
    <n v="10"/>
    <n v="101410"/>
    <s v="李柏文"/>
    <x v="0"/>
    <m/>
  </r>
  <r>
    <x v="22"/>
    <n v="11"/>
    <n v="101411"/>
    <s v="李得源"/>
    <x v="0"/>
    <m/>
  </r>
  <r>
    <x v="22"/>
    <n v="12"/>
    <n v="101413"/>
    <s v="汪正洋"/>
    <x v="0"/>
    <m/>
  </r>
  <r>
    <x v="22"/>
    <n v="13"/>
    <n v="101414"/>
    <s v="林易頡"/>
    <x v="0"/>
    <m/>
  </r>
  <r>
    <x v="22"/>
    <n v="14"/>
    <n v="101415"/>
    <s v="洪晟峯"/>
    <x v="0"/>
    <m/>
  </r>
  <r>
    <x v="22"/>
    <n v="15"/>
    <n v="101416"/>
    <s v="胡善文"/>
    <x v="0"/>
    <m/>
  </r>
  <r>
    <x v="22"/>
    <n v="16"/>
    <n v="101417"/>
    <s v="徐柏源"/>
    <x v="0"/>
    <s v="技優生"/>
  </r>
  <r>
    <x v="22"/>
    <n v="17"/>
    <n v="101418"/>
    <s v="秦子洋"/>
    <x v="0"/>
    <m/>
  </r>
  <r>
    <x v="22"/>
    <n v="18"/>
    <n v="101420"/>
    <s v="張家維"/>
    <x v="0"/>
    <m/>
  </r>
  <r>
    <x v="22"/>
    <n v="19"/>
    <n v="101421"/>
    <s v="*張舒羽"/>
    <x v="1"/>
    <m/>
  </r>
  <r>
    <x v="22"/>
    <n v="20"/>
    <n v="101422"/>
    <s v="許閔亦"/>
    <x v="0"/>
    <m/>
  </r>
  <r>
    <x v="22"/>
    <n v="21"/>
    <n v="101423"/>
    <s v="郭品佑"/>
    <x v="0"/>
    <m/>
  </r>
  <r>
    <x v="22"/>
    <n v="22"/>
    <n v="101424"/>
    <s v="陳律丞"/>
    <x v="0"/>
    <m/>
  </r>
  <r>
    <x v="22"/>
    <n v="23"/>
    <n v="101426"/>
    <s v="陳暐杰"/>
    <x v="0"/>
    <m/>
  </r>
  <r>
    <x v="22"/>
    <n v="24"/>
    <n v="101427"/>
    <s v="陳震崴"/>
    <x v="0"/>
    <m/>
  </r>
  <r>
    <x v="22"/>
    <n v="25"/>
    <n v="101428"/>
    <s v="*黃玟芳"/>
    <x v="1"/>
    <m/>
  </r>
  <r>
    <x v="22"/>
    <n v="26"/>
    <n v="101429"/>
    <s v="楊俊輝"/>
    <x v="0"/>
    <m/>
  </r>
  <r>
    <x v="22"/>
    <n v="27"/>
    <n v="101430"/>
    <s v="葉治賢"/>
    <x v="0"/>
    <m/>
  </r>
  <r>
    <x v="22"/>
    <n v="28"/>
    <n v="101431"/>
    <s v="鄒秉哲"/>
    <x v="0"/>
    <m/>
  </r>
  <r>
    <x v="22"/>
    <n v="29"/>
    <n v="101432"/>
    <s v="蕭新原"/>
    <x v="0"/>
    <m/>
  </r>
  <r>
    <x v="22"/>
    <n v="30"/>
    <n v="101433"/>
    <s v="*蘇瑋翎"/>
    <x v="1"/>
    <m/>
  </r>
  <r>
    <x v="22"/>
    <n v="31"/>
    <s v="081206"/>
    <s v="江庭暉"/>
    <x v="0"/>
    <s v="復學生"/>
  </r>
  <r>
    <x v="23"/>
    <n v="1"/>
    <n v="102101"/>
    <s v="何冠鋐"/>
    <x v="0"/>
    <s v="技優生"/>
  </r>
  <r>
    <x v="23"/>
    <n v="2"/>
    <n v="102102"/>
    <s v="何冠霖"/>
    <x v="0"/>
    <m/>
  </r>
  <r>
    <x v="23"/>
    <n v="3"/>
    <n v="102103"/>
    <s v="何品毅"/>
    <x v="0"/>
    <m/>
  </r>
  <r>
    <x v="23"/>
    <n v="4"/>
    <n v="102104"/>
    <s v="何遠杰"/>
    <x v="0"/>
    <m/>
  </r>
  <r>
    <x v="23"/>
    <n v="5"/>
    <n v="102105"/>
    <s v="呂承翰"/>
    <x v="0"/>
    <m/>
  </r>
  <r>
    <x v="23"/>
    <n v="6"/>
    <n v="102106"/>
    <s v="宋秉曄"/>
    <x v="0"/>
    <m/>
  </r>
  <r>
    <x v="23"/>
    <n v="7"/>
    <n v="102107"/>
    <s v="*李嘉怡"/>
    <x v="1"/>
    <m/>
  </r>
  <r>
    <x v="23"/>
    <n v="8"/>
    <n v="102108"/>
    <s v="*汪廷蓁"/>
    <x v="1"/>
    <m/>
  </r>
  <r>
    <x v="23"/>
    <n v="9"/>
    <n v="102110"/>
    <s v="林奕丞"/>
    <x v="0"/>
    <m/>
  </r>
  <r>
    <x v="23"/>
    <n v="10"/>
    <n v="102112"/>
    <s v="*林蔚彤"/>
    <x v="1"/>
    <m/>
  </r>
  <r>
    <x v="23"/>
    <n v="11"/>
    <n v="102113"/>
    <s v="紀柏丞"/>
    <x v="0"/>
    <m/>
  </r>
  <r>
    <x v="23"/>
    <n v="12"/>
    <n v="102114"/>
    <s v="孫丞佐"/>
    <x v="0"/>
    <s v="資源班"/>
  </r>
  <r>
    <x v="23"/>
    <n v="13"/>
    <n v="102115"/>
    <s v="徐皓"/>
    <x v="0"/>
    <m/>
  </r>
  <r>
    <x v="23"/>
    <n v="14"/>
    <n v="102116"/>
    <s v="徐竣齊"/>
    <x v="0"/>
    <m/>
  </r>
  <r>
    <x v="23"/>
    <n v="15"/>
    <n v="102117"/>
    <s v="徐曉正"/>
    <x v="0"/>
    <m/>
  </r>
  <r>
    <x v="23"/>
    <n v="16"/>
    <n v="102118"/>
    <s v="張庭毓"/>
    <x v="0"/>
    <m/>
  </r>
  <r>
    <x v="23"/>
    <n v="17"/>
    <n v="102119"/>
    <s v="張恩為"/>
    <x v="0"/>
    <s v="原住民"/>
  </r>
  <r>
    <x v="23"/>
    <n v="18"/>
    <n v="102121"/>
    <s v="張皓睿"/>
    <x v="0"/>
    <s v="資源班"/>
  </r>
  <r>
    <x v="23"/>
    <n v="19"/>
    <n v="102122"/>
    <s v="許元睿"/>
    <x v="0"/>
    <m/>
  </r>
  <r>
    <x v="23"/>
    <n v="20"/>
    <n v="102123"/>
    <s v="*許安綺"/>
    <x v="1"/>
    <m/>
  </r>
  <r>
    <x v="23"/>
    <n v="21"/>
    <n v="102124"/>
    <s v="許祐誠"/>
    <x v="0"/>
    <m/>
  </r>
  <r>
    <x v="23"/>
    <n v="22"/>
    <n v="102125"/>
    <s v="陳廷恩"/>
    <x v="0"/>
    <m/>
  </r>
  <r>
    <x v="23"/>
    <n v="23"/>
    <n v="102126"/>
    <s v="*陳玟妤"/>
    <x v="1"/>
    <m/>
  </r>
  <r>
    <x v="23"/>
    <n v="24"/>
    <n v="102127"/>
    <s v="黄偉晟"/>
    <x v="0"/>
    <m/>
  </r>
  <r>
    <x v="23"/>
    <n v="25"/>
    <n v="102128"/>
    <s v="楊世研"/>
    <x v="0"/>
    <m/>
  </r>
  <r>
    <x v="23"/>
    <n v="26"/>
    <n v="102129"/>
    <s v="楊浚頡"/>
    <x v="0"/>
    <m/>
  </r>
  <r>
    <x v="23"/>
    <n v="27"/>
    <n v="102130"/>
    <s v="詹曜宇"/>
    <x v="0"/>
    <m/>
  </r>
  <r>
    <x v="23"/>
    <n v="28"/>
    <n v="102131"/>
    <s v="廖晨亦"/>
    <x v="0"/>
    <m/>
  </r>
  <r>
    <x v="23"/>
    <n v="29"/>
    <n v="102132"/>
    <s v="鄭丞翔"/>
    <x v="0"/>
    <m/>
  </r>
  <r>
    <x v="23"/>
    <n v="30"/>
    <n v="102134"/>
    <s v="賴昱安"/>
    <x v="0"/>
    <m/>
  </r>
  <r>
    <x v="23"/>
    <n v="31"/>
    <n v="102135"/>
    <s v="賴科諺"/>
    <x v="0"/>
    <m/>
  </r>
  <r>
    <x v="23"/>
    <n v="32"/>
    <n v="102136"/>
    <s v="羅楷喆"/>
    <x v="0"/>
    <m/>
  </r>
  <r>
    <x v="23"/>
    <n v="33"/>
    <n v="102137"/>
    <s v="續偲睿"/>
    <x v="0"/>
    <m/>
  </r>
  <r>
    <x v="23"/>
    <n v="34"/>
    <s v="092120"/>
    <s v="曾俊庭"/>
    <x v="0"/>
    <s v="資源班"/>
  </r>
  <r>
    <x v="24"/>
    <n v="1"/>
    <n v="102201"/>
    <s v="王力爲"/>
    <x v="0"/>
    <m/>
  </r>
  <r>
    <x v="24"/>
    <n v="2"/>
    <n v="102202"/>
    <s v="王祥瑋"/>
    <x v="0"/>
    <m/>
  </r>
  <r>
    <x v="24"/>
    <n v="3"/>
    <n v="102203"/>
    <s v="古俊德"/>
    <x v="0"/>
    <s v="資源班"/>
  </r>
  <r>
    <x v="24"/>
    <n v="4"/>
    <n v="102204"/>
    <s v="朱哲漢"/>
    <x v="0"/>
    <m/>
  </r>
  <r>
    <x v="24"/>
    <n v="5"/>
    <n v="102205"/>
    <s v="吳俊毅"/>
    <x v="0"/>
    <m/>
  </r>
  <r>
    <x v="24"/>
    <n v="6"/>
    <n v="102206"/>
    <s v="李承晏"/>
    <x v="0"/>
    <m/>
  </r>
  <r>
    <x v="24"/>
    <n v="7"/>
    <n v="102207"/>
    <s v="李庭緯"/>
    <x v="0"/>
    <m/>
  </r>
  <r>
    <x v="24"/>
    <n v="8"/>
    <n v="102208"/>
    <s v="李懿庭"/>
    <x v="0"/>
    <m/>
  </r>
  <r>
    <x v="24"/>
    <n v="9"/>
    <n v="102209"/>
    <s v="周宜弘"/>
    <x v="0"/>
    <m/>
  </r>
  <r>
    <x v="24"/>
    <n v="10"/>
    <n v="102210"/>
    <s v="周柏瑋"/>
    <x v="0"/>
    <s v="資源班"/>
  </r>
  <r>
    <x v="24"/>
    <n v="11"/>
    <n v="102211"/>
    <s v="林柏劭"/>
    <x v="0"/>
    <m/>
  </r>
  <r>
    <x v="24"/>
    <n v="12"/>
    <n v="102212"/>
    <s v="林韋呈"/>
    <x v="0"/>
    <m/>
  </r>
  <r>
    <x v="24"/>
    <n v="13"/>
    <n v="102214"/>
    <s v="林敬庭"/>
    <x v="0"/>
    <m/>
  </r>
  <r>
    <x v="24"/>
    <n v="14"/>
    <n v="102215"/>
    <s v="林駿傑"/>
    <x v="0"/>
    <s v="技優生"/>
  </r>
  <r>
    <x v="24"/>
    <n v="15"/>
    <n v="102217"/>
    <s v="徐睿謙"/>
    <x v="0"/>
    <m/>
  </r>
  <r>
    <x v="24"/>
    <n v="16"/>
    <n v="102218"/>
    <s v="張子旭"/>
    <x v="0"/>
    <m/>
  </r>
  <r>
    <x v="24"/>
    <n v="17"/>
    <n v="102219"/>
    <s v="張承恩"/>
    <x v="0"/>
    <s v="資源班"/>
  </r>
  <r>
    <x v="24"/>
    <n v="18"/>
    <n v="102220"/>
    <s v="張雋希"/>
    <x v="0"/>
    <m/>
  </r>
  <r>
    <x v="24"/>
    <n v="19"/>
    <n v="102221"/>
    <s v="郭承祐"/>
    <x v="0"/>
    <m/>
  </r>
  <r>
    <x v="24"/>
    <n v="20"/>
    <n v="102222"/>
    <s v="陳宗賢"/>
    <x v="0"/>
    <m/>
  </r>
  <r>
    <x v="24"/>
    <n v="21"/>
    <n v="102223"/>
    <s v="陳泓安"/>
    <x v="0"/>
    <s v="技優生"/>
  </r>
  <r>
    <x v="24"/>
    <n v="22"/>
    <n v="102224"/>
    <s v="陳冠廷"/>
    <x v="0"/>
    <m/>
  </r>
  <r>
    <x v="24"/>
    <n v="23"/>
    <n v="102225"/>
    <s v="陳柏亨"/>
    <x v="0"/>
    <m/>
  </r>
  <r>
    <x v="24"/>
    <n v="24"/>
    <n v="102226"/>
    <s v="陳柏睿"/>
    <x v="0"/>
    <m/>
  </r>
  <r>
    <x v="24"/>
    <n v="25"/>
    <n v="102227"/>
    <s v="陳胤廷"/>
    <x v="0"/>
    <m/>
  </r>
  <r>
    <x v="24"/>
    <n v="26"/>
    <n v="102228"/>
    <s v="楊聖澤"/>
    <x v="0"/>
    <m/>
  </r>
  <r>
    <x v="24"/>
    <n v="27"/>
    <n v="102231"/>
    <s v="劉宇恩"/>
    <x v="0"/>
    <m/>
  </r>
  <r>
    <x v="24"/>
    <n v="28"/>
    <n v="102232"/>
    <s v="蔡承諺"/>
    <x v="0"/>
    <m/>
  </r>
  <r>
    <x v="24"/>
    <n v="29"/>
    <n v="102233"/>
    <s v="蔡東霖"/>
    <x v="0"/>
    <m/>
  </r>
  <r>
    <x v="24"/>
    <n v="30"/>
    <n v="102234"/>
    <s v="鄧亦佐"/>
    <x v="0"/>
    <m/>
  </r>
  <r>
    <x v="24"/>
    <n v="31"/>
    <n v="102235"/>
    <s v="龍羿辰"/>
    <x v="0"/>
    <m/>
  </r>
  <r>
    <x v="24"/>
    <n v="32"/>
    <n v="102237"/>
    <s v="顏睿廷"/>
    <x v="0"/>
    <m/>
  </r>
  <r>
    <x v="25"/>
    <n v="1"/>
    <n v="102301"/>
    <s v="王子傑"/>
    <x v="0"/>
    <m/>
  </r>
  <r>
    <x v="25"/>
    <n v="2"/>
    <n v="102302"/>
    <s v="王以源"/>
    <x v="0"/>
    <m/>
  </r>
  <r>
    <x v="25"/>
    <n v="3"/>
    <n v="102303"/>
    <s v="王瀚璘"/>
    <x v="0"/>
    <m/>
  </r>
  <r>
    <x v="25"/>
    <n v="4"/>
    <n v="102304"/>
    <s v="何愷文"/>
    <x v="0"/>
    <m/>
  </r>
  <r>
    <x v="25"/>
    <n v="5"/>
    <n v="102305"/>
    <s v="李宇晨"/>
    <x v="0"/>
    <m/>
  </r>
  <r>
    <x v="25"/>
    <n v="6"/>
    <n v="102306"/>
    <s v="李秉鴻"/>
    <x v="0"/>
    <m/>
  </r>
  <r>
    <x v="25"/>
    <n v="7"/>
    <n v="102307"/>
    <s v="李冠志"/>
    <x v="0"/>
    <s v="技優生"/>
  </r>
  <r>
    <x v="25"/>
    <n v="8"/>
    <n v="102308"/>
    <s v="李威志"/>
    <x v="0"/>
    <m/>
  </r>
  <r>
    <x v="25"/>
    <n v="9"/>
    <n v="102309"/>
    <s v="卓聖淵"/>
    <x v="0"/>
    <m/>
  </r>
  <r>
    <x v="25"/>
    <n v="10"/>
    <n v="102310"/>
    <s v="周承叡"/>
    <x v="0"/>
    <m/>
  </r>
  <r>
    <x v="25"/>
    <n v="11"/>
    <n v="102311"/>
    <s v="林奕安"/>
    <x v="0"/>
    <s v="技優生"/>
  </r>
  <r>
    <x v="25"/>
    <n v="12"/>
    <n v="102312"/>
    <s v="林軒詠"/>
    <x v="0"/>
    <m/>
  </r>
  <r>
    <x v="25"/>
    <n v="13"/>
    <n v="102313"/>
    <s v="林聖哲"/>
    <x v="0"/>
    <m/>
  </r>
  <r>
    <x v="25"/>
    <n v="14"/>
    <n v="102314"/>
    <s v="邱冠哲"/>
    <x v="0"/>
    <m/>
  </r>
  <r>
    <x v="25"/>
    <n v="15"/>
    <n v="102315"/>
    <s v="施緯杰"/>
    <x v="0"/>
    <m/>
  </r>
  <r>
    <x v="25"/>
    <n v="16"/>
    <n v="102316"/>
    <s v="紀騰㨗"/>
    <x v="0"/>
    <m/>
  </r>
  <r>
    <x v="25"/>
    <n v="17"/>
    <n v="102317"/>
    <s v="倪子凡"/>
    <x v="0"/>
    <m/>
  </r>
  <r>
    <x v="25"/>
    <n v="18"/>
    <n v="102318"/>
    <s v="徐唯祐"/>
    <x v="0"/>
    <m/>
  </r>
  <r>
    <x v="25"/>
    <n v="19"/>
    <n v="102320"/>
    <s v="曹峻議"/>
    <x v="0"/>
    <m/>
  </r>
  <r>
    <x v="25"/>
    <n v="20"/>
    <n v="102321"/>
    <s v="梅睿文"/>
    <x v="0"/>
    <m/>
  </r>
  <r>
    <x v="25"/>
    <n v="21"/>
    <n v="102322"/>
    <s v="莊林翰"/>
    <x v="0"/>
    <m/>
  </r>
  <r>
    <x v="25"/>
    <n v="22"/>
    <n v="102323"/>
    <s v="郭又誠"/>
    <x v="0"/>
    <m/>
  </r>
  <r>
    <x v="25"/>
    <n v="23"/>
    <n v="102324"/>
    <s v="陳佑恩"/>
    <x v="0"/>
    <m/>
  </r>
  <r>
    <x v="25"/>
    <n v="24"/>
    <n v="102325"/>
    <s v="陳俊恩"/>
    <x v="0"/>
    <s v="資源班"/>
  </r>
  <r>
    <x v="25"/>
    <n v="25"/>
    <n v="102326"/>
    <s v="陳宥辰"/>
    <x v="0"/>
    <m/>
  </r>
  <r>
    <x v="25"/>
    <n v="26"/>
    <n v="102327"/>
    <s v="陳雋希"/>
    <x v="0"/>
    <m/>
  </r>
  <r>
    <x v="25"/>
    <n v="27"/>
    <n v="102328"/>
    <s v="黃崑祐"/>
    <x v="0"/>
    <s v="資源班"/>
  </r>
  <r>
    <x v="25"/>
    <n v="28"/>
    <n v="102329"/>
    <s v="廖子豪"/>
    <x v="0"/>
    <m/>
  </r>
  <r>
    <x v="25"/>
    <n v="29"/>
    <n v="102330"/>
    <s v="劉子豪"/>
    <x v="0"/>
    <m/>
  </r>
  <r>
    <x v="25"/>
    <n v="30"/>
    <n v="102331"/>
    <s v="劉日發"/>
    <x v="0"/>
    <m/>
  </r>
  <r>
    <x v="25"/>
    <n v="31"/>
    <n v="102332"/>
    <s v="劉育睿"/>
    <x v="0"/>
    <m/>
  </r>
  <r>
    <x v="25"/>
    <n v="32"/>
    <n v="102333"/>
    <s v="鄭朝展"/>
    <x v="0"/>
    <m/>
  </r>
  <r>
    <x v="25"/>
    <n v="33"/>
    <n v="102335"/>
    <s v="賴冠丞"/>
    <x v="0"/>
    <m/>
  </r>
  <r>
    <x v="25"/>
    <n v="34"/>
    <n v="102336"/>
    <s v="薛旭程"/>
    <x v="0"/>
    <m/>
  </r>
  <r>
    <x v="25"/>
    <n v="35"/>
    <n v="102337"/>
    <s v="鍾柏勳"/>
    <x v="0"/>
    <m/>
  </r>
  <r>
    <x v="26"/>
    <n v="1"/>
    <n v="102401"/>
    <s v="王彥翔"/>
    <x v="0"/>
    <m/>
  </r>
  <r>
    <x v="26"/>
    <n v="2"/>
    <n v="102402"/>
    <s v="王浩銓"/>
    <x v="0"/>
    <m/>
  </r>
  <r>
    <x v="26"/>
    <n v="3"/>
    <n v="102403"/>
    <s v="王鵬程"/>
    <x v="0"/>
    <m/>
  </r>
  <r>
    <x v="26"/>
    <n v="4"/>
    <n v="102404"/>
    <s v="朱羿勳"/>
    <x v="0"/>
    <m/>
  </r>
  <r>
    <x v="26"/>
    <n v="5"/>
    <n v="102405"/>
    <s v="江哲言"/>
    <x v="0"/>
    <s v="技優生"/>
  </r>
  <r>
    <x v="26"/>
    <n v="6"/>
    <n v="102406"/>
    <s v="吳侑奕"/>
    <x v="0"/>
    <m/>
  </r>
  <r>
    <x v="26"/>
    <n v="7"/>
    <n v="102407"/>
    <s v="吳澤鍇"/>
    <x v="0"/>
    <m/>
  </r>
  <r>
    <x v="26"/>
    <n v="8"/>
    <n v="102408"/>
    <s v="吳駿朋"/>
    <x v="0"/>
    <s v="資源班"/>
  </r>
  <r>
    <x v="26"/>
    <n v="9"/>
    <n v="102409"/>
    <s v="李承勳"/>
    <x v="0"/>
    <m/>
  </r>
  <r>
    <x v="26"/>
    <n v="10"/>
    <n v="102410"/>
    <s v="李濬丞"/>
    <x v="0"/>
    <m/>
  </r>
  <r>
    <x v="26"/>
    <n v="11"/>
    <n v="102411"/>
    <s v="林允希"/>
    <x v="0"/>
    <m/>
  </r>
  <r>
    <x v="26"/>
    <n v="12"/>
    <n v="102412"/>
    <s v="林岑恩"/>
    <x v="0"/>
    <m/>
  </r>
  <r>
    <x v="26"/>
    <n v="13"/>
    <n v="102413"/>
    <s v="林庚翰"/>
    <x v="0"/>
    <m/>
  </r>
  <r>
    <x v="26"/>
    <n v="14"/>
    <n v="102414"/>
    <s v="林承逸"/>
    <x v="0"/>
    <m/>
  </r>
  <r>
    <x v="26"/>
    <n v="15"/>
    <n v="102415"/>
    <s v="林柏廷"/>
    <x v="0"/>
    <m/>
  </r>
  <r>
    <x v="26"/>
    <n v="16"/>
    <n v="102416"/>
    <s v="林澤濬"/>
    <x v="0"/>
    <m/>
  </r>
  <r>
    <x v="26"/>
    <n v="17"/>
    <n v="102417"/>
    <s v="邱威明"/>
    <x v="0"/>
    <m/>
  </r>
  <r>
    <x v="26"/>
    <n v="18"/>
    <n v="102418"/>
    <s v="洪秉昇"/>
    <x v="0"/>
    <m/>
  </r>
  <r>
    <x v="26"/>
    <n v="19"/>
    <n v="102419"/>
    <s v="洪偉宸"/>
    <x v="0"/>
    <m/>
  </r>
  <r>
    <x v="26"/>
    <n v="20"/>
    <n v="102420"/>
    <s v="唐楚浚"/>
    <x v="0"/>
    <m/>
  </r>
  <r>
    <x v="26"/>
    <n v="21"/>
    <n v="102421"/>
    <s v="張澤勳"/>
    <x v="0"/>
    <m/>
  </r>
  <r>
    <x v="26"/>
    <n v="22"/>
    <n v="102422"/>
    <s v="章佳揚"/>
    <x v="0"/>
    <s v="技優生"/>
  </r>
  <r>
    <x v="26"/>
    <n v="23"/>
    <n v="102423"/>
    <s v="陳威銘"/>
    <x v="0"/>
    <m/>
  </r>
  <r>
    <x v="26"/>
    <n v="24"/>
    <n v="102424"/>
    <s v="陳潁謙"/>
    <x v="0"/>
    <m/>
  </r>
  <r>
    <x v="26"/>
    <n v="25"/>
    <n v="102425"/>
    <s v="曾愛修"/>
    <x v="0"/>
    <s v="資源班"/>
  </r>
  <r>
    <x v="26"/>
    <n v="26"/>
    <n v="102426"/>
    <s v="黃冠頤"/>
    <x v="0"/>
    <m/>
  </r>
  <r>
    <x v="26"/>
    <n v="27"/>
    <n v="102427"/>
    <s v="黃昱睿"/>
    <x v="0"/>
    <m/>
  </r>
  <r>
    <x v="26"/>
    <n v="28"/>
    <n v="102428"/>
    <s v="楊雲雁"/>
    <x v="0"/>
    <m/>
  </r>
  <r>
    <x v="26"/>
    <n v="29"/>
    <n v="102429"/>
    <s v="葉柏誠"/>
    <x v="0"/>
    <m/>
  </r>
  <r>
    <x v="26"/>
    <n v="30"/>
    <n v="102430"/>
    <s v="詹易桓"/>
    <x v="0"/>
    <m/>
  </r>
  <r>
    <x v="26"/>
    <n v="31"/>
    <n v="102431"/>
    <s v="趙翊丞"/>
    <x v="0"/>
    <m/>
  </r>
  <r>
    <x v="26"/>
    <n v="32"/>
    <n v="102432"/>
    <s v="劉威廷"/>
    <x v="0"/>
    <m/>
  </r>
  <r>
    <x v="26"/>
    <n v="33"/>
    <n v="102433"/>
    <s v="潘勳緯"/>
    <x v="0"/>
    <m/>
  </r>
  <r>
    <x v="26"/>
    <n v="34"/>
    <n v="102434"/>
    <s v="鄭閎寅"/>
    <x v="0"/>
    <m/>
  </r>
  <r>
    <x v="26"/>
    <n v="35"/>
    <n v="102436"/>
    <s v="鐘晨恩"/>
    <x v="0"/>
    <m/>
  </r>
  <r>
    <x v="26"/>
    <n v="36"/>
    <s v="092332"/>
    <s v="蔡承軒"/>
    <x v="0"/>
    <s v="復學生"/>
  </r>
  <r>
    <x v="27"/>
    <n v="1"/>
    <n v="103101"/>
    <s v="方淮弘"/>
    <x v="0"/>
    <m/>
  </r>
  <r>
    <x v="27"/>
    <n v="2"/>
    <n v="103102"/>
    <s v="王柏鈞"/>
    <x v="0"/>
    <m/>
  </r>
  <r>
    <x v="27"/>
    <n v="3"/>
    <n v="103103"/>
    <s v="吳火獅"/>
    <x v="0"/>
    <m/>
  </r>
  <r>
    <x v="27"/>
    <n v="4"/>
    <n v="103104"/>
    <s v="李佳駿"/>
    <x v="0"/>
    <m/>
  </r>
  <r>
    <x v="27"/>
    <n v="5"/>
    <n v="103105"/>
    <s v="李浩宇"/>
    <x v="0"/>
    <s v="資源班"/>
  </r>
  <r>
    <x v="27"/>
    <n v="6"/>
    <n v="103106"/>
    <s v="*林軒綺"/>
    <x v="1"/>
    <s v="資源班"/>
  </r>
  <r>
    <x v="27"/>
    <n v="7"/>
    <n v="103107"/>
    <s v="侯昕佑"/>
    <x v="0"/>
    <m/>
  </r>
  <r>
    <x v="27"/>
    <n v="8"/>
    <n v="103108"/>
    <s v="張仁澈"/>
    <x v="0"/>
    <m/>
  </r>
  <r>
    <x v="27"/>
    <n v="9"/>
    <n v="103109"/>
    <s v="張仕勳"/>
    <x v="0"/>
    <m/>
  </r>
  <r>
    <x v="27"/>
    <n v="10"/>
    <n v="103110"/>
    <s v="張昀翰"/>
    <x v="0"/>
    <m/>
  </r>
  <r>
    <x v="27"/>
    <n v="11"/>
    <n v="103112"/>
    <s v="梁如豪"/>
    <x v="0"/>
    <m/>
  </r>
  <r>
    <x v="27"/>
    <n v="12"/>
    <n v="103113"/>
    <s v="許杰宇"/>
    <x v="0"/>
    <m/>
  </r>
  <r>
    <x v="27"/>
    <n v="13"/>
    <n v="103114"/>
    <s v="陳志然"/>
    <x v="0"/>
    <m/>
  </r>
  <r>
    <x v="27"/>
    <n v="14"/>
    <n v="103115"/>
    <s v="陳冠勳"/>
    <x v="0"/>
    <m/>
  </r>
  <r>
    <x v="27"/>
    <n v="15"/>
    <n v="103116"/>
    <s v="陳羿鈞"/>
    <x v="0"/>
    <m/>
  </r>
  <r>
    <x v="27"/>
    <n v="16"/>
    <n v="103117"/>
    <s v="*陳珮軒"/>
    <x v="1"/>
    <m/>
  </r>
  <r>
    <x v="27"/>
    <n v="17"/>
    <n v="103118"/>
    <s v="陳源漢"/>
    <x v="0"/>
    <m/>
  </r>
  <r>
    <x v="27"/>
    <n v="18"/>
    <n v="103119"/>
    <s v="陳德安"/>
    <x v="0"/>
    <m/>
  </r>
  <r>
    <x v="27"/>
    <n v="19"/>
    <n v="103120"/>
    <s v="曾俊豪"/>
    <x v="0"/>
    <m/>
  </r>
  <r>
    <x v="27"/>
    <n v="20"/>
    <n v="103121"/>
    <s v="游宇申"/>
    <x v="0"/>
    <s v="技優生"/>
  </r>
  <r>
    <x v="27"/>
    <n v="21"/>
    <n v="103122"/>
    <s v="*黃子芸"/>
    <x v="1"/>
    <m/>
  </r>
  <r>
    <x v="27"/>
    <n v="22"/>
    <n v="103123"/>
    <s v="黃宏育"/>
    <x v="0"/>
    <m/>
  </r>
  <r>
    <x v="27"/>
    <n v="23"/>
    <n v="103124"/>
    <s v="黃柏誌"/>
    <x v="0"/>
    <m/>
  </r>
  <r>
    <x v="27"/>
    <n v="24"/>
    <n v="103125"/>
    <s v="楊凱程"/>
    <x v="0"/>
    <m/>
  </r>
  <r>
    <x v="27"/>
    <n v="25"/>
    <n v="103126"/>
    <s v="*董佳瑜"/>
    <x v="1"/>
    <m/>
  </r>
  <r>
    <x v="27"/>
    <n v="26"/>
    <n v="103127"/>
    <s v="董權漢"/>
    <x v="0"/>
    <m/>
  </r>
  <r>
    <x v="27"/>
    <n v="27"/>
    <n v="103128"/>
    <s v="詹竣森"/>
    <x v="0"/>
    <m/>
  </r>
  <r>
    <x v="27"/>
    <n v="28"/>
    <n v="103129"/>
    <s v="蔡佑昀"/>
    <x v="0"/>
    <m/>
  </r>
  <r>
    <x v="27"/>
    <n v="29"/>
    <n v="103130"/>
    <s v="蔡承諭"/>
    <x v="0"/>
    <m/>
  </r>
  <r>
    <x v="27"/>
    <n v="30"/>
    <n v="103131"/>
    <s v="澹臺令程"/>
    <x v="0"/>
    <m/>
  </r>
  <r>
    <x v="27"/>
    <n v="31"/>
    <n v="103132"/>
    <s v="蕭存凱"/>
    <x v="0"/>
    <m/>
  </r>
  <r>
    <x v="27"/>
    <n v="32"/>
    <n v="103133"/>
    <s v="謝承峻"/>
    <x v="0"/>
    <m/>
  </r>
  <r>
    <x v="27"/>
    <n v="33"/>
    <n v="103135"/>
    <s v="*魏千純"/>
    <x v="1"/>
    <m/>
  </r>
  <r>
    <x v="27"/>
    <n v="34"/>
    <s v="093211"/>
    <s v="姜皓文"/>
    <x v="0"/>
    <s v="復學生"/>
  </r>
  <r>
    <x v="28"/>
    <n v="1"/>
    <n v="103201"/>
    <s v="朱子翰"/>
    <x v="0"/>
    <m/>
  </r>
  <r>
    <x v="28"/>
    <n v="2"/>
    <n v="103202"/>
    <s v="何李駿"/>
    <x v="0"/>
    <m/>
  </r>
  <r>
    <x v="28"/>
    <n v="3"/>
    <n v="103203"/>
    <s v="余祚昌"/>
    <x v="0"/>
    <m/>
  </r>
  <r>
    <x v="28"/>
    <n v="4"/>
    <n v="103204"/>
    <s v="李元祺"/>
    <x v="0"/>
    <m/>
  </r>
  <r>
    <x v="28"/>
    <n v="5"/>
    <n v="103205"/>
    <s v="李鈞諺"/>
    <x v="0"/>
    <m/>
  </r>
  <r>
    <x v="28"/>
    <n v="6"/>
    <n v="103206"/>
    <s v="李雙成"/>
    <x v="0"/>
    <s v="技優生"/>
  </r>
  <r>
    <x v="28"/>
    <n v="7"/>
    <n v="103207"/>
    <s v="周哲維"/>
    <x v="0"/>
    <m/>
  </r>
  <r>
    <x v="28"/>
    <n v="8"/>
    <n v="103208"/>
    <s v="周聖翔"/>
    <x v="0"/>
    <m/>
  </r>
  <r>
    <x v="28"/>
    <n v="9"/>
    <n v="103209"/>
    <s v="孟朝軍"/>
    <x v="0"/>
    <m/>
  </r>
  <r>
    <x v="28"/>
    <n v="10"/>
    <n v="103210"/>
    <s v="林均翰"/>
    <x v="0"/>
    <m/>
  </r>
  <r>
    <x v="28"/>
    <n v="11"/>
    <n v="103211"/>
    <s v="洪鉦堯"/>
    <x v="0"/>
    <m/>
  </r>
  <r>
    <x v="28"/>
    <n v="12"/>
    <n v="103212"/>
    <s v="徐晟崴"/>
    <x v="0"/>
    <m/>
  </r>
  <r>
    <x v="28"/>
    <n v="13"/>
    <n v="103213"/>
    <s v="張中睿"/>
    <x v="0"/>
    <m/>
  </r>
  <r>
    <x v="28"/>
    <n v="14"/>
    <n v="103215"/>
    <s v="符耀仁"/>
    <x v="0"/>
    <m/>
  </r>
  <r>
    <x v="28"/>
    <n v="15"/>
    <n v="103216"/>
    <s v="許承愷"/>
    <x v="0"/>
    <m/>
  </r>
  <r>
    <x v="28"/>
    <n v="16"/>
    <n v="103218"/>
    <s v="陳田祐"/>
    <x v="0"/>
    <m/>
  </r>
  <r>
    <x v="28"/>
    <n v="17"/>
    <n v="103219"/>
    <s v="陳立修"/>
    <x v="0"/>
    <m/>
  </r>
  <r>
    <x v="28"/>
    <n v="18"/>
    <n v="103220"/>
    <s v="陳宇皓"/>
    <x v="0"/>
    <m/>
  </r>
  <r>
    <x v="28"/>
    <n v="19"/>
    <n v="103221"/>
    <s v="陳金富"/>
    <x v="0"/>
    <m/>
  </r>
  <r>
    <x v="28"/>
    <n v="20"/>
    <n v="103222"/>
    <s v="陳冠銘"/>
    <x v="0"/>
    <m/>
  </r>
  <r>
    <x v="28"/>
    <n v="21"/>
    <n v="103223"/>
    <s v="陳威佑"/>
    <x v="0"/>
    <m/>
  </r>
  <r>
    <x v="28"/>
    <n v="22"/>
    <n v="103224"/>
    <s v="陳霆偉"/>
    <x v="0"/>
    <m/>
  </r>
  <r>
    <x v="28"/>
    <n v="23"/>
    <n v="103225"/>
    <s v="楊秉竑"/>
    <x v="0"/>
    <m/>
  </r>
  <r>
    <x v="28"/>
    <n v="24"/>
    <n v="103226"/>
    <s v="楊翊帆"/>
    <x v="0"/>
    <s v="資源班"/>
  </r>
  <r>
    <x v="28"/>
    <n v="25"/>
    <n v="103227"/>
    <s v="葉恩宇"/>
    <x v="0"/>
    <m/>
  </r>
  <r>
    <x v="28"/>
    <n v="26"/>
    <n v="103228"/>
    <s v="*廖苡媃"/>
    <x v="1"/>
    <s v="體優生"/>
  </r>
  <r>
    <x v="28"/>
    <n v="27"/>
    <n v="103229"/>
    <s v="*廖宸珮"/>
    <x v="1"/>
    <s v="體優生"/>
  </r>
  <r>
    <x v="28"/>
    <n v="28"/>
    <n v="103231"/>
    <s v="*劉思彤"/>
    <x v="1"/>
    <m/>
  </r>
  <r>
    <x v="28"/>
    <n v="29"/>
    <n v="103232"/>
    <s v="劉謹綸"/>
    <x v="0"/>
    <m/>
  </r>
  <r>
    <x v="28"/>
    <n v="30"/>
    <n v="103233"/>
    <s v="*蔡佾芹"/>
    <x v="1"/>
    <s v="體優生"/>
  </r>
  <r>
    <x v="28"/>
    <n v="31"/>
    <n v="103234"/>
    <s v="蔡政彬"/>
    <x v="0"/>
    <m/>
  </r>
  <r>
    <x v="28"/>
    <n v="32"/>
    <n v="103235"/>
    <s v="鄭任博"/>
    <x v="0"/>
    <m/>
  </r>
  <r>
    <x v="28"/>
    <n v="33"/>
    <n v="103236"/>
    <s v="*謝知熙"/>
    <x v="1"/>
    <s v="資源班"/>
  </r>
  <r>
    <x v="28"/>
    <n v="34"/>
    <n v="103237"/>
    <s v="羅家閎"/>
    <x v="0"/>
    <m/>
  </r>
  <r>
    <x v="29"/>
    <n v="1"/>
    <n v="103301"/>
    <s v="曲浩誠"/>
    <x v="0"/>
    <m/>
  </r>
  <r>
    <x v="29"/>
    <n v="2"/>
    <n v="103302"/>
    <s v="呂宸逸"/>
    <x v="0"/>
    <m/>
  </r>
  <r>
    <x v="29"/>
    <n v="3"/>
    <n v="103303"/>
    <s v="李柏樺"/>
    <x v="0"/>
    <m/>
  </r>
  <r>
    <x v="29"/>
    <n v="4"/>
    <n v="103304"/>
    <s v="汪冠昀"/>
    <x v="0"/>
    <m/>
  </r>
  <r>
    <x v="29"/>
    <n v="5"/>
    <n v="103305"/>
    <s v="林弘宇"/>
    <x v="0"/>
    <s v="資源班"/>
  </r>
  <r>
    <x v="29"/>
    <n v="6"/>
    <n v="103306"/>
    <s v="林劭恩"/>
    <x v="0"/>
    <m/>
  </r>
  <r>
    <x v="29"/>
    <n v="7"/>
    <n v="103307"/>
    <s v="*林欣儒"/>
    <x v="1"/>
    <s v="體優生"/>
  </r>
  <r>
    <x v="29"/>
    <n v="8"/>
    <n v="103308"/>
    <s v="林倫德"/>
    <x v="0"/>
    <m/>
  </r>
  <r>
    <x v="29"/>
    <n v="9"/>
    <n v="103309"/>
    <s v="林峪安"/>
    <x v="0"/>
    <m/>
  </r>
  <r>
    <x v="29"/>
    <n v="10"/>
    <n v="103310"/>
    <s v="侯昱愷"/>
    <x v="0"/>
    <m/>
  </r>
  <r>
    <x v="29"/>
    <n v="11"/>
    <n v="103311"/>
    <s v="柳詠昇"/>
    <x v="0"/>
    <m/>
  </r>
  <r>
    <x v="29"/>
    <n v="12"/>
    <n v="103312"/>
    <s v="柳傳厚"/>
    <x v="0"/>
    <m/>
  </r>
  <r>
    <x v="29"/>
    <n v="13"/>
    <n v="103314"/>
    <s v="胡智翔"/>
    <x v="0"/>
    <m/>
  </r>
  <r>
    <x v="29"/>
    <n v="14"/>
    <n v="103315"/>
    <s v="梁惟喆"/>
    <x v="0"/>
    <m/>
  </r>
  <r>
    <x v="29"/>
    <n v="15"/>
    <n v="103316"/>
    <s v="許振桓"/>
    <x v="0"/>
    <m/>
  </r>
  <r>
    <x v="29"/>
    <n v="16"/>
    <n v="103317"/>
    <s v="郭博哲"/>
    <x v="0"/>
    <m/>
  </r>
  <r>
    <x v="29"/>
    <n v="17"/>
    <n v="103318"/>
    <s v="陳文智"/>
    <x v="0"/>
    <m/>
  </r>
  <r>
    <x v="29"/>
    <n v="18"/>
    <n v="103319"/>
    <s v="陳廷祐"/>
    <x v="0"/>
    <m/>
  </r>
  <r>
    <x v="29"/>
    <n v="19"/>
    <n v="103320"/>
    <s v="陳品叡"/>
    <x v="0"/>
    <m/>
  </r>
  <r>
    <x v="29"/>
    <n v="20"/>
    <n v="103321"/>
    <s v="陳威佑"/>
    <x v="0"/>
    <m/>
  </r>
  <r>
    <x v="29"/>
    <n v="21"/>
    <n v="103322"/>
    <s v="陳彥宇"/>
    <x v="0"/>
    <m/>
  </r>
  <r>
    <x v="29"/>
    <n v="22"/>
    <n v="103323"/>
    <s v="陳彥勳"/>
    <x v="0"/>
    <s v="資源班"/>
  </r>
  <r>
    <x v="29"/>
    <n v="23"/>
    <n v="103324"/>
    <s v="陳韋廷"/>
    <x v="0"/>
    <m/>
  </r>
  <r>
    <x v="29"/>
    <n v="24"/>
    <n v="103325"/>
    <s v="傅堂鈞"/>
    <x v="0"/>
    <m/>
  </r>
  <r>
    <x v="29"/>
    <n v="25"/>
    <n v="103326"/>
    <s v="葉柏均"/>
    <x v="0"/>
    <m/>
  </r>
  <r>
    <x v="29"/>
    <n v="26"/>
    <n v="103327"/>
    <s v="*劉柏妘"/>
    <x v="1"/>
    <m/>
  </r>
  <r>
    <x v="29"/>
    <n v="27"/>
    <n v="103328"/>
    <s v="劉鰫鈁"/>
    <x v="0"/>
    <m/>
  </r>
  <r>
    <x v="29"/>
    <n v="28"/>
    <n v="103329"/>
    <s v="*潘紀妍"/>
    <x v="1"/>
    <m/>
  </r>
  <r>
    <x v="29"/>
    <n v="29"/>
    <n v="103330"/>
    <s v="鄭光宏"/>
    <x v="0"/>
    <m/>
  </r>
  <r>
    <x v="29"/>
    <n v="30"/>
    <n v="103331"/>
    <s v="鄭惟駿"/>
    <x v="0"/>
    <s v="技優生"/>
  </r>
  <r>
    <x v="29"/>
    <n v="31"/>
    <n v="103332"/>
    <s v="賴佳暐"/>
    <x v="0"/>
    <m/>
  </r>
  <r>
    <x v="29"/>
    <n v="32"/>
    <n v="103333"/>
    <s v="賴曉澈"/>
    <x v="0"/>
    <m/>
  </r>
  <r>
    <x v="29"/>
    <n v="33"/>
    <n v="103334"/>
    <s v="*鍾馨宜"/>
    <x v="1"/>
    <s v="體優生"/>
  </r>
  <r>
    <x v="29"/>
    <n v="34"/>
    <n v="103336"/>
    <s v="*顧倚嫚"/>
    <x v="1"/>
    <m/>
  </r>
  <r>
    <x v="30"/>
    <n v="1"/>
    <n v="104101"/>
    <s v="江君翰"/>
    <x v="0"/>
    <m/>
  </r>
  <r>
    <x v="30"/>
    <n v="2"/>
    <n v="104102"/>
    <s v="余茂杰"/>
    <x v="0"/>
    <m/>
  </r>
  <r>
    <x v="30"/>
    <n v="3"/>
    <n v="104104"/>
    <s v="李品毅"/>
    <x v="0"/>
    <m/>
  </r>
  <r>
    <x v="30"/>
    <n v="4"/>
    <n v="104105"/>
    <s v="李思賢"/>
    <x v="0"/>
    <m/>
  </r>
  <r>
    <x v="30"/>
    <n v="5"/>
    <n v="104106"/>
    <s v="汪彥廷"/>
    <x v="0"/>
    <m/>
  </r>
  <r>
    <x v="30"/>
    <n v="6"/>
    <n v="104107"/>
    <s v="卓尚緯"/>
    <x v="0"/>
    <s v="資源班"/>
  </r>
  <r>
    <x v="30"/>
    <n v="7"/>
    <n v="104108"/>
    <s v="林思翰"/>
    <x v="0"/>
    <m/>
  </r>
  <r>
    <x v="30"/>
    <n v="8"/>
    <n v="104109"/>
    <s v="林政穎"/>
    <x v="0"/>
    <m/>
  </r>
  <r>
    <x v="30"/>
    <n v="9"/>
    <n v="104110"/>
    <s v="林振緯"/>
    <x v="0"/>
    <m/>
  </r>
  <r>
    <x v="30"/>
    <n v="10"/>
    <n v="104111"/>
    <s v="林暉恩"/>
    <x v="0"/>
    <m/>
  </r>
  <r>
    <x v="30"/>
    <n v="11"/>
    <n v="104112"/>
    <s v="林鈺澤"/>
    <x v="0"/>
    <m/>
  </r>
  <r>
    <x v="30"/>
    <n v="12"/>
    <n v="104113"/>
    <s v="林靖家"/>
    <x v="0"/>
    <m/>
  </r>
  <r>
    <x v="30"/>
    <n v="13"/>
    <n v="104114"/>
    <s v="林融宏"/>
    <x v="0"/>
    <m/>
  </r>
  <r>
    <x v="30"/>
    <n v="14"/>
    <n v="104115"/>
    <s v="洪凱泰"/>
    <x v="0"/>
    <m/>
  </r>
  <r>
    <x v="30"/>
    <n v="15"/>
    <n v="104116"/>
    <s v="*孫天悅"/>
    <x v="1"/>
    <s v="技優生"/>
  </r>
  <r>
    <x v="30"/>
    <n v="16"/>
    <n v="104117"/>
    <s v="張文驊"/>
    <x v="0"/>
    <s v="資源班"/>
  </r>
  <r>
    <x v="30"/>
    <n v="17"/>
    <n v="104118"/>
    <s v="張駿綸"/>
    <x v="0"/>
    <m/>
  </r>
  <r>
    <x v="30"/>
    <n v="18"/>
    <n v="104119"/>
    <s v="陳冠升"/>
    <x v="0"/>
    <m/>
  </r>
  <r>
    <x v="30"/>
    <n v="19"/>
    <n v="104120"/>
    <s v="陳彥碩"/>
    <x v="0"/>
    <m/>
  </r>
  <r>
    <x v="30"/>
    <n v="20"/>
    <n v="104121"/>
    <s v="陳暐哲"/>
    <x v="0"/>
    <s v="資源班"/>
  </r>
  <r>
    <x v="30"/>
    <n v="21"/>
    <n v="104122"/>
    <s v="陳鉅中"/>
    <x v="0"/>
    <m/>
  </r>
  <r>
    <x v="30"/>
    <n v="22"/>
    <n v="104124"/>
    <s v="*黃玥慈"/>
    <x v="1"/>
    <m/>
  </r>
  <r>
    <x v="30"/>
    <n v="23"/>
    <n v="104125"/>
    <s v="黃翊誠"/>
    <x v="0"/>
    <m/>
  </r>
  <r>
    <x v="30"/>
    <n v="24"/>
    <n v="104126"/>
    <s v="*楊琬晴"/>
    <x v="1"/>
    <m/>
  </r>
  <r>
    <x v="30"/>
    <n v="25"/>
    <n v="104127"/>
    <s v="楊竣喆"/>
    <x v="0"/>
    <m/>
  </r>
  <r>
    <x v="30"/>
    <n v="26"/>
    <n v="104128"/>
    <s v="劉彥希"/>
    <x v="0"/>
    <m/>
  </r>
  <r>
    <x v="30"/>
    <n v="27"/>
    <n v="104130"/>
    <s v="衛佳安"/>
    <x v="0"/>
    <m/>
  </r>
  <r>
    <x v="30"/>
    <n v="28"/>
    <n v="104131"/>
    <s v="簡于翔"/>
    <x v="0"/>
    <m/>
  </r>
  <r>
    <x v="30"/>
    <n v="29"/>
    <n v="104132"/>
    <s v="簡瑋廷"/>
    <x v="0"/>
    <m/>
  </r>
  <r>
    <x v="30"/>
    <n v="30"/>
    <n v="104133"/>
    <s v="顏心祿"/>
    <x v="0"/>
    <m/>
  </r>
  <r>
    <x v="30"/>
    <n v="31"/>
    <n v="104134"/>
    <s v="羅泓瓅"/>
    <x v="0"/>
    <m/>
  </r>
  <r>
    <x v="30"/>
    <n v="32"/>
    <n v="104135"/>
    <s v="羅康維"/>
    <x v="0"/>
    <m/>
  </r>
  <r>
    <x v="31"/>
    <n v="1"/>
    <n v="104201"/>
    <s v="方利丞"/>
    <x v="0"/>
    <m/>
  </r>
  <r>
    <x v="31"/>
    <n v="2"/>
    <n v="104202"/>
    <s v="王柏傑"/>
    <x v="0"/>
    <m/>
  </r>
  <r>
    <x v="31"/>
    <n v="3"/>
    <n v="104205"/>
    <s v="呂睿哲"/>
    <x v="0"/>
    <s v="資源班"/>
  </r>
  <r>
    <x v="31"/>
    <n v="4"/>
    <n v="104206"/>
    <s v="李宇晨"/>
    <x v="0"/>
    <m/>
  </r>
  <r>
    <x v="31"/>
    <n v="5"/>
    <n v="104207"/>
    <s v="沈易諄"/>
    <x v="0"/>
    <m/>
  </r>
  <r>
    <x v="31"/>
    <n v="6"/>
    <n v="104209"/>
    <s v="林伯育"/>
    <x v="0"/>
    <m/>
  </r>
  <r>
    <x v="31"/>
    <n v="7"/>
    <n v="104210"/>
    <s v="林宗慶"/>
    <x v="0"/>
    <m/>
  </r>
  <r>
    <x v="31"/>
    <n v="8"/>
    <n v="104211"/>
    <s v="林品翰"/>
    <x v="0"/>
    <s v="原住民"/>
  </r>
  <r>
    <x v="31"/>
    <n v="9"/>
    <n v="104212"/>
    <s v="林宥綸"/>
    <x v="0"/>
    <m/>
  </r>
  <r>
    <x v="31"/>
    <n v="10"/>
    <n v="104213"/>
    <s v="花廷皓"/>
    <x v="0"/>
    <m/>
  </r>
  <r>
    <x v="31"/>
    <n v="11"/>
    <n v="104214"/>
    <s v="洪銨遠"/>
    <x v="0"/>
    <m/>
  </r>
  <r>
    <x v="31"/>
    <n v="12"/>
    <n v="104215"/>
    <s v="紀澤維"/>
    <x v="0"/>
    <m/>
  </r>
  <r>
    <x v="31"/>
    <n v="13"/>
    <n v="104216"/>
    <s v="*高一瑄"/>
    <x v="1"/>
    <m/>
  </r>
  <r>
    <x v="31"/>
    <n v="14"/>
    <n v="104217"/>
    <s v="*張芷寧"/>
    <x v="1"/>
    <m/>
  </r>
  <r>
    <x v="31"/>
    <n v="15"/>
    <n v="104219"/>
    <s v="曹儼"/>
    <x v="0"/>
    <m/>
  </r>
  <r>
    <x v="31"/>
    <n v="16"/>
    <n v="104220"/>
    <s v="許耀仁"/>
    <x v="0"/>
    <m/>
  </r>
  <r>
    <x v="31"/>
    <n v="17"/>
    <n v="104221"/>
    <s v="陳昶宏"/>
    <x v="0"/>
    <m/>
  </r>
  <r>
    <x v="31"/>
    <n v="18"/>
    <n v="104222"/>
    <s v="陳聖傑"/>
    <x v="0"/>
    <m/>
  </r>
  <r>
    <x v="31"/>
    <n v="19"/>
    <n v="104223"/>
    <s v="陸一帆"/>
    <x v="0"/>
    <m/>
  </r>
  <r>
    <x v="31"/>
    <n v="20"/>
    <n v="104224"/>
    <s v="楊承峰"/>
    <x v="0"/>
    <s v="資源班"/>
  </r>
  <r>
    <x v="31"/>
    <n v="21"/>
    <n v="104225"/>
    <s v="葉霆君"/>
    <x v="0"/>
    <m/>
  </r>
  <r>
    <x v="31"/>
    <n v="22"/>
    <n v="104226"/>
    <s v="鄔宗祐"/>
    <x v="0"/>
    <m/>
  </r>
  <r>
    <x v="31"/>
    <n v="23"/>
    <n v="104227"/>
    <s v="趙昱銘"/>
    <x v="0"/>
    <m/>
  </r>
  <r>
    <x v="31"/>
    <n v="24"/>
    <n v="104229"/>
    <s v="蕭宇傑"/>
    <x v="0"/>
    <m/>
  </r>
  <r>
    <x v="31"/>
    <n v="25"/>
    <n v="104230"/>
    <s v="賴冠丞"/>
    <x v="0"/>
    <s v="資源班"/>
  </r>
  <r>
    <x v="31"/>
    <n v="26"/>
    <n v="104231"/>
    <s v="鍾承均"/>
    <x v="0"/>
    <m/>
  </r>
  <r>
    <x v="31"/>
    <n v="27"/>
    <n v="104232"/>
    <s v="羅威淳"/>
    <x v="0"/>
    <m/>
  </r>
  <r>
    <x v="31"/>
    <n v="28"/>
    <n v="104233"/>
    <s v="羅睿甫"/>
    <x v="0"/>
    <m/>
  </r>
  <r>
    <x v="31"/>
    <n v="29"/>
    <n v="104234"/>
    <s v="籃育琛"/>
    <x v="0"/>
    <m/>
  </r>
  <r>
    <x v="32"/>
    <n v="1"/>
    <n v="105101"/>
    <s v="王翊湋"/>
    <x v="0"/>
    <s v="技優生"/>
  </r>
  <r>
    <x v="32"/>
    <n v="2"/>
    <n v="105102"/>
    <s v="白晨峻"/>
    <x v="0"/>
    <s v="資源班"/>
  </r>
  <r>
    <x v="32"/>
    <n v="3"/>
    <n v="105104"/>
    <s v="呂翊安"/>
    <x v="0"/>
    <m/>
  </r>
  <r>
    <x v="32"/>
    <n v="4"/>
    <n v="105105"/>
    <s v="*李君窈"/>
    <x v="1"/>
    <m/>
  </r>
  <r>
    <x v="32"/>
    <n v="5"/>
    <n v="105106"/>
    <s v="李泊陞"/>
    <x v="0"/>
    <m/>
  </r>
  <r>
    <x v="32"/>
    <n v="6"/>
    <n v="105107"/>
    <s v="孟禹安"/>
    <x v="0"/>
    <m/>
  </r>
  <r>
    <x v="32"/>
    <n v="7"/>
    <n v="105108"/>
    <s v="林士鈞"/>
    <x v="0"/>
    <m/>
  </r>
  <r>
    <x v="32"/>
    <n v="8"/>
    <n v="105109"/>
    <s v="林哲立"/>
    <x v="0"/>
    <m/>
  </r>
  <r>
    <x v="32"/>
    <n v="9"/>
    <n v="105110"/>
    <s v="洪聖傑"/>
    <x v="0"/>
    <m/>
  </r>
  <r>
    <x v="32"/>
    <n v="10"/>
    <n v="105111"/>
    <s v="秦劭祈"/>
    <x v="0"/>
    <m/>
  </r>
  <r>
    <x v="32"/>
    <n v="11"/>
    <n v="105112"/>
    <s v="高愷辰"/>
    <x v="0"/>
    <m/>
  </r>
  <r>
    <x v="32"/>
    <n v="12"/>
    <n v="105113"/>
    <s v="張任佑"/>
    <x v="0"/>
    <s v="體優生"/>
  </r>
  <r>
    <x v="32"/>
    <n v="13"/>
    <n v="105114"/>
    <s v="張育勲"/>
    <x v="0"/>
    <m/>
  </r>
  <r>
    <x v="32"/>
    <n v="14"/>
    <n v="105115"/>
    <s v="張奕翔"/>
    <x v="0"/>
    <m/>
  </r>
  <r>
    <x v="32"/>
    <n v="15"/>
    <n v="105116"/>
    <s v="張宸熏"/>
    <x v="0"/>
    <m/>
  </r>
  <r>
    <x v="32"/>
    <n v="16"/>
    <n v="105117"/>
    <s v="莊紋堦"/>
    <x v="0"/>
    <m/>
  </r>
  <r>
    <x v="32"/>
    <n v="17"/>
    <n v="105119"/>
    <s v="陳柏勳"/>
    <x v="0"/>
    <m/>
  </r>
  <r>
    <x v="32"/>
    <n v="18"/>
    <n v="105120"/>
    <s v="陳禹綸"/>
    <x v="0"/>
    <m/>
  </r>
  <r>
    <x v="32"/>
    <n v="19"/>
    <n v="105121"/>
    <s v="陳泰宇"/>
    <x v="0"/>
    <s v="技優生"/>
  </r>
  <r>
    <x v="32"/>
    <n v="20"/>
    <n v="105122"/>
    <s v="黃啟揚"/>
    <x v="0"/>
    <m/>
  </r>
  <r>
    <x v="32"/>
    <n v="21"/>
    <n v="105123"/>
    <s v="黃聖傑"/>
    <x v="0"/>
    <m/>
  </r>
  <r>
    <x v="32"/>
    <n v="22"/>
    <n v="105124"/>
    <s v="楊德立"/>
    <x v="0"/>
    <m/>
  </r>
  <r>
    <x v="32"/>
    <n v="23"/>
    <n v="105126"/>
    <s v="*劉育芳"/>
    <x v="1"/>
    <s v="體優生"/>
  </r>
  <r>
    <x v="32"/>
    <n v="24"/>
    <n v="105127"/>
    <s v="劉耘成"/>
    <x v="0"/>
    <s v="資源班"/>
  </r>
  <r>
    <x v="32"/>
    <n v="25"/>
    <n v="105128"/>
    <s v="蔡正瑋"/>
    <x v="0"/>
    <m/>
  </r>
  <r>
    <x v="32"/>
    <n v="26"/>
    <n v="105129"/>
    <s v="蔡帛益"/>
    <x v="0"/>
    <s v="體優生"/>
  </r>
  <r>
    <x v="32"/>
    <n v="27"/>
    <n v="105131"/>
    <s v="賴昱翰"/>
    <x v="0"/>
    <m/>
  </r>
  <r>
    <x v="32"/>
    <n v="28"/>
    <n v="105132"/>
    <s v="謝凱"/>
    <x v="0"/>
    <m/>
  </r>
  <r>
    <x v="32"/>
    <n v="29"/>
    <n v="105133"/>
    <s v="*鍾采倪"/>
    <x v="1"/>
    <m/>
  </r>
  <r>
    <x v="32"/>
    <n v="30"/>
    <n v="105134"/>
    <s v="魏健宇"/>
    <x v="0"/>
    <m/>
  </r>
  <r>
    <x v="32"/>
    <n v="31"/>
    <n v="105135"/>
    <s v="羅元富"/>
    <x v="0"/>
    <m/>
  </r>
  <r>
    <x v="32"/>
    <n v="32"/>
    <n v="105136"/>
    <s v="蘇士瑋"/>
    <x v="0"/>
    <m/>
  </r>
  <r>
    <x v="32"/>
    <n v="33"/>
    <s v="085238"/>
    <s v="鄭舒懷"/>
    <x v="0"/>
    <s v="資源班"/>
  </r>
  <r>
    <x v="33"/>
    <n v="1"/>
    <n v="105201"/>
    <s v="于欣恩"/>
    <x v="0"/>
    <m/>
  </r>
  <r>
    <x v="33"/>
    <n v="2"/>
    <n v="105202"/>
    <s v="王泓閔"/>
    <x v="0"/>
    <m/>
  </r>
  <r>
    <x v="33"/>
    <n v="3"/>
    <n v="105203"/>
    <s v="王睿群"/>
    <x v="0"/>
    <m/>
  </r>
  <r>
    <x v="33"/>
    <n v="4"/>
    <n v="105204"/>
    <s v="史沛杰"/>
    <x v="0"/>
    <m/>
  </r>
  <r>
    <x v="33"/>
    <n v="5"/>
    <n v="105206"/>
    <s v="何錦翰"/>
    <x v="0"/>
    <s v="資源班"/>
  </r>
  <r>
    <x v="33"/>
    <n v="6"/>
    <n v="105207"/>
    <s v="李威呈"/>
    <x v="0"/>
    <m/>
  </r>
  <r>
    <x v="33"/>
    <n v="7"/>
    <n v="105208"/>
    <s v="李祥睿"/>
    <x v="0"/>
    <m/>
  </r>
  <r>
    <x v="33"/>
    <n v="8"/>
    <n v="105209"/>
    <s v="林岑昕"/>
    <x v="0"/>
    <m/>
  </r>
  <r>
    <x v="33"/>
    <n v="9"/>
    <n v="105210"/>
    <s v="林煜軒"/>
    <x v="0"/>
    <m/>
  </r>
  <r>
    <x v="33"/>
    <n v="10"/>
    <n v="105211"/>
    <s v="邱彥程"/>
    <x v="0"/>
    <m/>
  </r>
  <r>
    <x v="33"/>
    <n v="11"/>
    <n v="105212"/>
    <s v="秦唯寧"/>
    <x v="0"/>
    <m/>
  </r>
  <r>
    <x v="33"/>
    <n v="12"/>
    <n v="105213"/>
    <s v="翁以爵"/>
    <x v="0"/>
    <m/>
  </r>
  <r>
    <x v="33"/>
    <n v="13"/>
    <n v="105214"/>
    <s v="高碩延"/>
    <x v="0"/>
    <m/>
  </r>
  <r>
    <x v="33"/>
    <n v="14"/>
    <n v="105215"/>
    <s v="張晋瑋"/>
    <x v="0"/>
    <m/>
  </r>
  <r>
    <x v="33"/>
    <n v="15"/>
    <n v="105216"/>
    <s v="張越翔"/>
    <x v="0"/>
    <m/>
  </r>
  <r>
    <x v="33"/>
    <n v="16"/>
    <n v="105217"/>
    <s v="曾慶彥"/>
    <x v="0"/>
    <m/>
  </r>
  <r>
    <x v="33"/>
    <n v="17"/>
    <n v="105218"/>
    <s v="游硯博"/>
    <x v="0"/>
    <m/>
  </r>
  <r>
    <x v="33"/>
    <n v="18"/>
    <n v="105219"/>
    <s v="黃柏勳"/>
    <x v="0"/>
    <m/>
  </r>
  <r>
    <x v="33"/>
    <n v="19"/>
    <n v="105220"/>
    <s v="黃郁浩"/>
    <x v="0"/>
    <m/>
  </r>
  <r>
    <x v="33"/>
    <n v="20"/>
    <n v="105221"/>
    <s v="黃麒豪"/>
    <x v="0"/>
    <s v="技優生"/>
  </r>
  <r>
    <x v="33"/>
    <n v="21"/>
    <n v="105222"/>
    <s v="楊雲翔"/>
    <x v="0"/>
    <m/>
  </r>
  <r>
    <x v="33"/>
    <n v="22"/>
    <n v="105223"/>
    <s v="萬錦霖"/>
    <x v="0"/>
    <m/>
  </r>
  <r>
    <x v="33"/>
    <n v="23"/>
    <n v="105224"/>
    <s v="葉柏辰"/>
    <x v="0"/>
    <m/>
  </r>
  <r>
    <x v="33"/>
    <n v="24"/>
    <n v="105225"/>
    <s v="葉祖睿"/>
    <x v="0"/>
    <m/>
  </r>
  <r>
    <x v="33"/>
    <n v="25"/>
    <n v="105226"/>
    <s v="劉少傑"/>
    <x v="0"/>
    <m/>
  </r>
  <r>
    <x v="33"/>
    <n v="26"/>
    <n v="105227"/>
    <s v="蔡一嘉"/>
    <x v="0"/>
    <m/>
  </r>
  <r>
    <x v="33"/>
    <n v="27"/>
    <n v="105228"/>
    <s v="蔡昀劭"/>
    <x v="0"/>
    <s v="技優生"/>
  </r>
  <r>
    <x v="33"/>
    <n v="28"/>
    <n v="105229"/>
    <s v="蔡政翰"/>
    <x v="0"/>
    <s v="資源班"/>
  </r>
  <r>
    <x v="33"/>
    <n v="29"/>
    <n v="105230"/>
    <s v="蔡雋佾"/>
    <x v="0"/>
    <m/>
  </r>
  <r>
    <x v="33"/>
    <n v="30"/>
    <n v="105231"/>
    <s v="鄭雋瀚"/>
    <x v="0"/>
    <m/>
  </r>
  <r>
    <x v="33"/>
    <n v="31"/>
    <n v="105233"/>
    <s v="蕭登愷"/>
    <x v="0"/>
    <m/>
  </r>
  <r>
    <x v="33"/>
    <n v="32"/>
    <n v="105234"/>
    <s v="薛宇翔"/>
    <x v="0"/>
    <m/>
  </r>
  <r>
    <x v="33"/>
    <n v="33"/>
    <n v="105235"/>
    <s v="謝承勳"/>
    <x v="0"/>
    <m/>
  </r>
  <r>
    <x v="33"/>
    <n v="34"/>
    <n v="105236"/>
    <s v="嚴靖宗"/>
    <x v="0"/>
    <m/>
  </r>
  <r>
    <x v="34"/>
    <n v="1"/>
    <n v="108101"/>
    <s v="干為安"/>
    <x v="0"/>
    <m/>
  </r>
  <r>
    <x v="34"/>
    <n v="2"/>
    <n v="108102"/>
    <s v="*古媛元"/>
    <x v="1"/>
    <m/>
  </r>
  <r>
    <x v="34"/>
    <n v="3"/>
    <n v="108103"/>
    <s v="*吳妍蓁"/>
    <x v="1"/>
    <m/>
  </r>
  <r>
    <x v="34"/>
    <n v="4"/>
    <n v="108104"/>
    <s v="*李侑芸"/>
    <x v="1"/>
    <m/>
  </r>
  <r>
    <x v="34"/>
    <n v="5"/>
    <n v="108105"/>
    <s v="李延雨"/>
    <x v="0"/>
    <m/>
  </r>
  <r>
    <x v="34"/>
    <n v="6"/>
    <n v="108106"/>
    <s v="李朋翰"/>
    <x v="0"/>
    <m/>
  </r>
  <r>
    <x v="34"/>
    <n v="7"/>
    <n v="108107"/>
    <s v="*李芸瑄"/>
    <x v="1"/>
    <m/>
  </r>
  <r>
    <x v="34"/>
    <n v="8"/>
    <n v="108108"/>
    <s v="*李宥萱"/>
    <x v="1"/>
    <m/>
  </r>
  <r>
    <x v="34"/>
    <n v="9"/>
    <n v="108109"/>
    <s v="李謹華"/>
    <x v="0"/>
    <m/>
  </r>
  <r>
    <x v="34"/>
    <n v="10"/>
    <n v="108110"/>
    <s v="*周丞雅"/>
    <x v="1"/>
    <m/>
  </r>
  <r>
    <x v="34"/>
    <n v="11"/>
    <n v="108111"/>
    <s v="*周婕儀"/>
    <x v="1"/>
    <m/>
  </r>
  <r>
    <x v="34"/>
    <n v="12"/>
    <n v="108112"/>
    <s v="孟廷凱"/>
    <x v="0"/>
    <m/>
  </r>
  <r>
    <x v="34"/>
    <n v="13"/>
    <n v="108113"/>
    <s v="*林子琦"/>
    <x v="1"/>
    <m/>
  </r>
  <r>
    <x v="34"/>
    <n v="14"/>
    <n v="108114"/>
    <s v="*林亞若"/>
    <x v="1"/>
    <m/>
  </r>
  <r>
    <x v="34"/>
    <n v="15"/>
    <n v="108115"/>
    <s v="林騰祥"/>
    <x v="0"/>
    <m/>
  </r>
  <r>
    <x v="34"/>
    <n v="16"/>
    <n v="108116"/>
    <s v="洪培喆"/>
    <x v="0"/>
    <m/>
  </r>
  <r>
    <x v="34"/>
    <n v="17"/>
    <n v="108117"/>
    <s v="*韋啟媜"/>
    <x v="1"/>
    <m/>
  </r>
  <r>
    <x v="34"/>
    <n v="18"/>
    <n v="108118"/>
    <s v="倪子恆"/>
    <x v="0"/>
    <m/>
  </r>
  <r>
    <x v="34"/>
    <n v="19"/>
    <n v="108119"/>
    <s v="*張婷喻"/>
    <x v="1"/>
    <m/>
  </r>
  <r>
    <x v="34"/>
    <n v="20"/>
    <n v="108120"/>
    <s v="張嘉佑"/>
    <x v="0"/>
    <m/>
  </r>
  <r>
    <x v="34"/>
    <n v="21"/>
    <n v="108121"/>
    <s v="*梁采崴"/>
    <x v="1"/>
    <s v="資源班"/>
  </r>
  <r>
    <x v="34"/>
    <n v="22"/>
    <n v="108122"/>
    <s v="陳兆南"/>
    <x v="0"/>
    <s v="資源班"/>
  </r>
  <r>
    <x v="34"/>
    <n v="23"/>
    <n v="108123"/>
    <s v="陳侑聖"/>
    <x v="0"/>
    <m/>
  </r>
  <r>
    <x v="34"/>
    <n v="24"/>
    <n v="108124"/>
    <s v="曾柏睿"/>
    <x v="0"/>
    <m/>
  </r>
  <r>
    <x v="34"/>
    <n v="25"/>
    <n v="108125"/>
    <s v="*游阡瑜"/>
    <x v="1"/>
    <m/>
  </r>
  <r>
    <x v="34"/>
    <n v="26"/>
    <n v="108126"/>
    <s v="*黃若涵"/>
    <x v="1"/>
    <m/>
  </r>
  <r>
    <x v="34"/>
    <n v="27"/>
    <n v="108127"/>
    <s v="*楊巧羽"/>
    <x v="1"/>
    <m/>
  </r>
  <r>
    <x v="34"/>
    <n v="28"/>
    <n v="108128"/>
    <s v="*鄭宇桐"/>
    <x v="1"/>
    <m/>
  </r>
  <r>
    <x v="34"/>
    <n v="29"/>
    <n v="108129"/>
    <s v="鄭嘉漢"/>
    <x v="0"/>
    <m/>
  </r>
  <r>
    <x v="34"/>
    <n v="30"/>
    <n v="108130"/>
    <s v="羅恩"/>
    <x v="0"/>
    <m/>
  </r>
  <r>
    <x v="34"/>
    <n v="31"/>
    <s v="098219"/>
    <s v="莊凱翔"/>
    <x v="0"/>
    <s v="復學生"/>
  </r>
  <r>
    <x v="34"/>
    <n v="32"/>
    <s v="098235"/>
    <s v="盧文聖"/>
    <x v="0"/>
    <s v="轉學生"/>
  </r>
  <r>
    <x v="35"/>
    <n v="1"/>
    <n v="108201"/>
    <s v="*王睿妍"/>
    <x v="1"/>
    <m/>
  </r>
  <r>
    <x v="35"/>
    <n v="2"/>
    <n v="108202"/>
    <s v="余尚恩"/>
    <x v="0"/>
    <m/>
  </r>
  <r>
    <x v="35"/>
    <n v="3"/>
    <n v="108203"/>
    <s v="*吳昀珊"/>
    <x v="1"/>
    <m/>
  </r>
  <r>
    <x v="35"/>
    <n v="4"/>
    <n v="108204"/>
    <s v="*吳思妍"/>
    <x v="1"/>
    <m/>
  </r>
  <r>
    <x v="35"/>
    <n v="5"/>
    <n v="108205"/>
    <s v="*吳秝嫻"/>
    <x v="1"/>
    <m/>
  </r>
  <r>
    <x v="35"/>
    <n v="6"/>
    <n v="108206"/>
    <s v="宋翊維"/>
    <x v="0"/>
    <m/>
  </r>
  <r>
    <x v="35"/>
    <n v="7"/>
    <n v="108207"/>
    <s v="*李宣妮"/>
    <x v="1"/>
    <m/>
  </r>
  <r>
    <x v="35"/>
    <n v="8"/>
    <n v="108208"/>
    <s v="*李宥萱"/>
    <x v="1"/>
    <m/>
  </r>
  <r>
    <x v="35"/>
    <n v="9"/>
    <n v="108209"/>
    <s v="李建均"/>
    <x v="0"/>
    <m/>
  </r>
  <r>
    <x v="35"/>
    <n v="10"/>
    <n v="108210"/>
    <s v="杜德信"/>
    <x v="0"/>
    <s v="資源班"/>
  </r>
  <r>
    <x v="35"/>
    <n v="11"/>
    <n v="108212"/>
    <s v="林邑桐"/>
    <x v="0"/>
    <m/>
  </r>
  <r>
    <x v="35"/>
    <n v="12"/>
    <n v="108213"/>
    <s v="林峻安"/>
    <x v="0"/>
    <m/>
  </r>
  <r>
    <x v="35"/>
    <n v="13"/>
    <n v="108214"/>
    <s v="*林筱彤"/>
    <x v="1"/>
    <s v="原住民"/>
  </r>
  <r>
    <x v="35"/>
    <n v="14"/>
    <n v="108215"/>
    <s v="林憲宏"/>
    <x v="0"/>
    <s v="資源班"/>
  </r>
  <r>
    <x v="35"/>
    <n v="15"/>
    <n v="108216"/>
    <s v="*施宇恩"/>
    <x v="1"/>
    <m/>
  </r>
  <r>
    <x v="35"/>
    <n v="16"/>
    <n v="108217"/>
    <s v="*柯宇宣"/>
    <x v="1"/>
    <m/>
  </r>
  <r>
    <x v="35"/>
    <n v="17"/>
    <n v="108218"/>
    <s v="高晟恩"/>
    <x v="0"/>
    <m/>
  </r>
  <r>
    <x v="35"/>
    <n v="18"/>
    <n v="108220"/>
    <s v="曹承意"/>
    <x v="0"/>
    <m/>
  </r>
  <r>
    <x v="35"/>
    <n v="19"/>
    <n v="108221"/>
    <s v="*陳又瑄"/>
    <x v="1"/>
    <m/>
  </r>
  <r>
    <x v="35"/>
    <n v="20"/>
    <n v="108222"/>
    <s v="*陳亞葳"/>
    <x v="1"/>
    <m/>
  </r>
  <r>
    <x v="35"/>
    <n v="21"/>
    <n v="108223"/>
    <s v="*陳姸希"/>
    <x v="1"/>
    <m/>
  </r>
  <r>
    <x v="35"/>
    <n v="22"/>
    <n v="108224"/>
    <s v="*陳苡庭"/>
    <x v="1"/>
    <m/>
  </r>
  <r>
    <x v="35"/>
    <n v="23"/>
    <n v="108225"/>
    <s v="陳融緯"/>
    <x v="0"/>
    <m/>
  </r>
  <r>
    <x v="35"/>
    <n v="24"/>
    <n v="108226"/>
    <s v="黃子霽"/>
    <x v="0"/>
    <m/>
  </r>
  <r>
    <x v="35"/>
    <n v="25"/>
    <n v="108227"/>
    <s v="*黃岦筠"/>
    <x v="1"/>
    <m/>
  </r>
  <r>
    <x v="35"/>
    <n v="26"/>
    <n v="108228"/>
    <s v="劉立程"/>
    <x v="0"/>
    <m/>
  </r>
  <r>
    <x v="35"/>
    <n v="27"/>
    <n v="108229"/>
    <s v="蔡明穎"/>
    <x v="0"/>
    <m/>
  </r>
  <r>
    <x v="35"/>
    <n v="28"/>
    <n v="108230"/>
    <s v="鄧智仁"/>
    <x v="0"/>
    <m/>
  </r>
  <r>
    <x v="35"/>
    <n v="29"/>
    <n v="108231"/>
    <s v="*謝宜珊"/>
    <x v="1"/>
    <m/>
  </r>
  <r>
    <x v="35"/>
    <n v="30"/>
    <s v="108232"/>
    <s v="朱昱齊"/>
    <x v="0"/>
    <s v="轉科生"/>
  </r>
  <r>
    <x v="35"/>
    <n v="31"/>
    <s v="108233"/>
    <s v="陳睿澤"/>
    <x v="0"/>
    <s v="轉科生"/>
  </r>
  <r>
    <x v="35"/>
    <n v="32"/>
    <s v="108234"/>
    <s v="廖成化"/>
    <x v="0"/>
    <s v="轉學生"/>
  </r>
  <r>
    <x v="36"/>
    <n v="1"/>
    <n v="106101"/>
    <s v="佟高丞"/>
    <x v="0"/>
    <m/>
  </r>
  <r>
    <x v="36"/>
    <n v="2"/>
    <n v="106102"/>
    <s v="吳承安"/>
    <x v="0"/>
    <m/>
  </r>
  <r>
    <x v="36"/>
    <n v="3"/>
    <n v="106103"/>
    <s v="高勛恩"/>
    <x v="0"/>
    <m/>
  </r>
  <r>
    <x v="36"/>
    <n v="4"/>
    <n v="106105"/>
    <s v="陳禹儒"/>
    <x v="0"/>
    <m/>
  </r>
  <r>
    <x v="36"/>
    <n v="5"/>
    <n v="106106"/>
    <s v="陳家緒"/>
    <x v="0"/>
    <m/>
  </r>
  <r>
    <x v="36"/>
    <n v="6"/>
    <n v="106107"/>
    <s v="陳家興"/>
    <x v="0"/>
    <m/>
  </r>
  <r>
    <x v="36"/>
    <n v="7"/>
    <n v="106108"/>
    <s v="黃日昇"/>
    <x v="0"/>
    <m/>
  </r>
  <r>
    <x v="36"/>
    <n v="8"/>
    <n v="106110"/>
    <s v="黃勝杰"/>
    <x v="0"/>
    <m/>
  </r>
  <r>
    <x v="36"/>
    <n v="9"/>
    <n v="106111"/>
    <s v="*葉芊彤"/>
    <x v="1"/>
    <m/>
  </r>
  <r>
    <x v="36"/>
    <n v="10"/>
    <s v="086107"/>
    <s v="*陳儀珍"/>
    <x v="1"/>
    <s v="復學生"/>
  </r>
  <r>
    <x v="37"/>
    <n v="1"/>
    <n v="109101"/>
    <s v="何梓豪"/>
    <x v="0"/>
    <m/>
  </r>
  <r>
    <x v="37"/>
    <n v="2"/>
    <n v="109102"/>
    <s v="呂紹祈"/>
    <x v="0"/>
    <m/>
  </r>
  <r>
    <x v="37"/>
    <n v="3"/>
    <n v="109103"/>
    <s v="*周沛臻"/>
    <x v="1"/>
    <m/>
  </r>
  <r>
    <x v="37"/>
    <n v="4"/>
    <n v="109104"/>
    <s v="周事恆"/>
    <x v="0"/>
    <m/>
  </r>
  <r>
    <x v="37"/>
    <n v="5"/>
    <n v="109105"/>
    <s v="孫晨譯"/>
    <x v="0"/>
    <m/>
  </r>
  <r>
    <x v="37"/>
    <n v="6"/>
    <n v="109106"/>
    <s v="許盛傑"/>
    <x v="0"/>
    <m/>
  </r>
  <r>
    <x v="37"/>
    <n v="7"/>
    <n v="109107"/>
    <s v="郭榛"/>
    <x v="0"/>
    <m/>
  </r>
  <r>
    <x v="37"/>
    <n v="8"/>
    <n v="109108"/>
    <s v="陳楷升"/>
    <x v="0"/>
    <m/>
  </r>
  <r>
    <x v="37"/>
    <n v="9"/>
    <n v="109109"/>
    <s v="陳慶宗"/>
    <x v="0"/>
    <m/>
  </r>
  <r>
    <x v="37"/>
    <n v="10"/>
    <n v="109110"/>
    <s v="曾柏惟"/>
    <x v="0"/>
    <m/>
  </r>
  <r>
    <x v="37"/>
    <n v="11"/>
    <n v="109111"/>
    <s v="黃發微"/>
    <x v="0"/>
    <m/>
  </r>
  <r>
    <x v="37"/>
    <n v="12"/>
    <n v="109112"/>
    <s v="鄭安紘"/>
    <x v="0"/>
    <m/>
  </r>
  <r>
    <x v="37"/>
    <n v="13"/>
    <n v="109114"/>
    <s v="魏士軒"/>
    <x v="0"/>
    <m/>
  </r>
  <r>
    <x v="38"/>
    <n v="1"/>
    <n v="107101"/>
    <s v="王子境"/>
    <x v="0"/>
    <m/>
  </r>
  <r>
    <x v="38"/>
    <n v="2"/>
    <n v="107102"/>
    <s v="*王小昕"/>
    <x v="1"/>
    <m/>
  </r>
  <r>
    <x v="38"/>
    <n v="3"/>
    <n v="107103"/>
    <s v="王莘鎧"/>
    <x v="0"/>
    <m/>
  </r>
  <r>
    <x v="38"/>
    <n v="4"/>
    <n v="107104"/>
    <s v="王顗端"/>
    <x v="0"/>
    <m/>
  </r>
  <r>
    <x v="38"/>
    <n v="5"/>
    <n v="107105"/>
    <s v="余秉宸"/>
    <x v="0"/>
    <m/>
  </r>
  <r>
    <x v="38"/>
    <n v="6"/>
    <n v="107106"/>
    <s v="*吳育寧"/>
    <x v="1"/>
    <m/>
  </r>
  <r>
    <x v="38"/>
    <n v="7"/>
    <n v="107107"/>
    <s v="李日耀"/>
    <x v="0"/>
    <m/>
  </r>
  <r>
    <x v="38"/>
    <n v="8"/>
    <n v="107108"/>
    <s v="李宏勝"/>
    <x v="0"/>
    <m/>
  </r>
  <r>
    <x v="38"/>
    <n v="9"/>
    <n v="107109"/>
    <s v="李振碩"/>
    <x v="0"/>
    <m/>
  </r>
  <r>
    <x v="38"/>
    <n v="10"/>
    <n v="107110"/>
    <s v="林若珺"/>
    <x v="0"/>
    <m/>
  </r>
  <r>
    <x v="38"/>
    <n v="11"/>
    <n v="107111"/>
    <s v="林恩丞"/>
    <x v="0"/>
    <m/>
  </r>
  <r>
    <x v="38"/>
    <n v="12"/>
    <n v="107112"/>
    <s v="邱煒皓"/>
    <x v="0"/>
    <m/>
  </r>
  <r>
    <x v="38"/>
    <n v="13"/>
    <n v="107113"/>
    <s v="金家悅"/>
    <x v="0"/>
    <m/>
  </r>
  <r>
    <x v="38"/>
    <n v="14"/>
    <n v="107114"/>
    <s v="張廷宇"/>
    <x v="0"/>
    <m/>
  </r>
  <r>
    <x v="38"/>
    <n v="15"/>
    <n v="107115"/>
    <s v="許安廷"/>
    <x v="0"/>
    <m/>
  </r>
  <r>
    <x v="38"/>
    <n v="16"/>
    <n v="107116"/>
    <s v="陳廷元"/>
    <x v="0"/>
    <m/>
  </r>
  <r>
    <x v="38"/>
    <n v="17"/>
    <n v="107117"/>
    <s v="陳喻安"/>
    <x v="0"/>
    <m/>
  </r>
  <r>
    <x v="38"/>
    <n v="18"/>
    <n v="107118"/>
    <s v="曾志安"/>
    <x v="0"/>
    <m/>
  </r>
  <r>
    <x v="38"/>
    <n v="19"/>
    <n v="107119"/>
    <s v="*温佳葳"/>
    <x v="1"/>
    <m/>
  </r>
  <r>
    <x v="38"/>
    <n v="20"/>
    <n v="107120"/>
    <s v="蕭宇璿"/>
    <x v="0"/>
    <m/>
  </r>
  <r>
    <x v="38"/>
    <n v="21"/>
    <n v="107121"/>
    <s v="戴伯翰"/>
    <x v="0"/>
    <m/>
  </r>
  <r>
    <x v="38"/>
    <n v="22"/>
    <n v="107122"/>
    <s v="*謝謹而"/>
    <x v="1"/>
    <m/>
  </r>
  <r>
    <x v="38"/>
    <n v="23"/>
    <n v="107123"/>
    <s v="羅文夆"/>
    <x v="0"/>
    <m/>
  </r>
  <r>
    <x v="38"/>
    <n v="24"/>
    <n v="107124"/>
    <s v="蘇昶睿"/>
    <x v="0"/>
    <m/>
  </r>
  <r>
    <x v="39"/>
    <n v="1"/>
    <s v="091101"/>
    <s v="王皓鼎"/>
    <x v="0"/>
    <m/>
  </r>
  <r>
    <x v="39"/>
    <n v="2"/>
    <s v="091102"/>
    <s v="丘家宇"/>
    <x v="0"/>
    <m/>
  </r>
  <r>
    <x v="39"/>
    <n v="3"/>
    <s v="091103"/>
    <s v="石皓仁"/>
    <x v="0"/>
    <m/>
  </r>
  <r>
    <x v="39"/>
    <n v="4"/>
    <s v="091104"/>
    <s v="李昆翰"/>
    <x v="0"/>
    <s v="技優生"/>
  </r>
  <r>
    <x v="39"/>
    <n v="5"/>
    <s v="091106"/>
    <s v="阮郁棠"/>
    <x v="0"/>
    <m/>
  </r>
  <r>
    <x v="39"/>
    <n v="6"/>
    <s v="091107"/>
    <s v="周宸緯"/>
    <x v="0"/>
    <m/>
  </r>
  <r>
    <x v="39"/>
    <n v="7"/>
    <s v="091108"/>
    <s v="房偉宸"/>
    <x v="0"/>
    <m/>
  </r>
  <r>
    <x v="39"/>
    <n v="8"/>
    <s v="091109"/>
    <s v="林峻任"/>
    <x v="0"/>
    <m/>
  </r>
  <r>
    <x v="39"/>
    <n v="9"/>
    <s v="091110"/>
    <s v="林慶沅"/>
    <x v="0"/>
    <m/>
  </r>
  <r>
    <x v="39"/>
    <n v="10"/>
    <s v="091111"/>
    <s v="*唐頤庭"/>
    <x v="1"/>
    <m/>
  </r>
  <r>
    <x v="39"/>
    <n v="11"/>
    <s v="091112"/>
    <s v="郝齡雲"/>
    <x v="0"/>
    <m/>
  </r>
  <r>
    <x v="39"/>
    <n v="12"/>
    <s v="091113"/>
    <s v="*張馨勻"/>
    <x v="1"/>
    <m/>
  </r>
  <r>
    <x v="39"/>
    <n v="13"/>
    <s v="091114"/>
    <s v="莊淇淯"/>
    <x v="0"/>
    <m/>
  </r>
  <r>
    <x v="39"/>
    <n v="14"/>
    <s v="091115"/>
    <s v="莊道鈞"/>
    <x v="0"/>
    <m/>
  </r>
  <r>
    <x v="39"/>
    <n v="15"/>
    <s v="091116"/>
    <s v="許宇成"/>
    <x v="0"/>
    <m/>
  </r>
  <r>
    <x v="39"/>
    <n v="16"/>
    <s v="091117"/>
    <s v="許博喻"/>
    <x v="0"/>
    <m/>
  </r>
  <r>
    <x v="39"/>
    <n v="17"/>
    <s v="091118"/>
    <s v="*連怡瑄"/>
    <x v="1"/>
    <m/>
  </r>
  <r>
    <x v="39"/>
    <n v="18"/>
    <s v="091119"/>
    <s v="陳昱均"/>
    <x v="0"/>
    <m/>
  </r>
  <r>
    <x v="39"/>
    <n v="19"/>
    <s v="091120"/>
    <s v="陳柏宇"/>
    <x v="0"/>
    <m/>
  </r>
  <r>
    <x v="39"/>
    <n v="20"/>
    <s v="091121"/>
    <s v="陳柏霖"/>
    <x v="0"/>
    <s v="資源班"/>
  </r>
  <r>
    <x v="39"/>
    <n v="21"/>
    <s v="091122"/>
    <s v="陳泰宏"/>
    <x v="0"/>
    <m/>
  </r>
  <r>
    <x v="39"/>
    <n v="22"/>
    <s v="091123"/>
    <s v="傅世帆"/>
    <x v="0"/>
    <m/>
  </r>
  <r>
    <x v="39"/>
    <n v="23"/>
    <s v="091124"/>
    <s v="黃柏凱"/>
    <x v="0"/>
    <m/>
  </r>
  <r>
    <x v="39"/>
    <n v="24"/>
    <s v="091125"/>
    <s v="廖紹凱"/>
    <x v="0"/>
    <m/>
  </r>
  <r>
    <x v="39"/>
    <n v="25"/>
    <s v="091126"/>
    <s v="*廖筠珊"/>
    <x v="1"/>
    <m/>
  </r>
  <r>
    <x v="39"/>
    <n v="26"/>
    <s v="091127"/>
    <s v="劉厚義"/>
    <x v="0"/>
    <m/>
  </r>
  <r>
    <x v="39"/>
    <n v="27"/>
    <s v="091129"/>
    <s v="蔡慶宇"/>
    <x v="0"/>
    <m/>
  </r>
  <r>
    <x v="39"/>
    <n v="28"/>
    <s v="091130"/>
    <s v="盧昱宏"/>
    <x v="0"/>
    <m/>
  </r>
  <r>
    <x v="39"/>
    <n v="29"/>
    <s v="091131"/>
    <s v="盧繹翔"/>
    <x v="0"/>
    <s v="資源班"/>
  </r>
  <r>
    <x v="39"/>
    <n v="30"/>
    <s v="091132"/>
    <s v="謝秉儒"/>
    <x v="0"/>
    <s v="資源班"/>
  </r>
  <r>
    <x v="39"/>
    <n v="31"/>
    <s v="091133"/>
    <s v="簡鴻森"/>
    <x v="0"/>
    <m/>
  </r>
  <r>
    <x v="39"/>
    <n v="32"/>
    <s v="091134"/>
    <s v="羅元良"/>
    <x v="0"/>
    <m/>
  </r>
  <r>
    <x v="39"/>
    <n v="33"/>
    <s v="091135"/>
    <s v="黃翊銓"/>
    <x v="0"/>
    <m/>
  </r>
  <r>
    <x v="40"/>
    <n v="1"/>
    <s v="091201"/>
    <s v="丁竑懿"/>
    <x v="0"/>
    <m/>
  </r>
  <r>
    <x v="40"/>
    <n v="2"/>
    <s v="091202"/>
    <s v="丁肇佑"/>
    <x v="0"/>
    <s v="資源班"/>
  </r>
  <r>
    <x v="40"/>
    <n v="3"/>
    <s v="091203"/>
    <s v="王俊翔"/>
    <x v="0"/>
    <m/>
  </r>
  <r>
    <x v="40"/>
    <n v="4"/>
    <s v="091204"/>
    <s v="王建融"/>
    <x v="0"/>
    <m/>
  </r>
  <r>
    <x v="40"/>
    <n v="5"/>
    <s v="091205"/>
    <s v="王柏鈞"/>
    <x v="0"/>
    <m/>
  </r>
  <r>
    <x v="40"/>
    <n v="6"/>
    <s v="091206"/>
    <s v="王睿緯"/>
    <x v="0"/>
    <m/>
  </r>
  <r>
    <x v="40"/>
    <n v="7"/>
    <s v="091207"/>
    <s v="李杰祐"/>
    <x v="0"/>
    <m/>
  </r>
  <r>
    <x v="40"/>
    <n v="8"/>
    <s v="091208"/>
    <s v="林子皓"/>
    <x v="0"/>
    <m/>
  </r>
  <r>
    <x v="40"/>
    <n v="9"/>
    <s v="091209"/>
    <s v="林群燁"/>
    <x v="0"/>
    <s v="技優生"/>
  </r>
  <r>
    <x v="40"/>
    <n v="10"/>
    <s v="091210"/>
    <s v="胡書豪"/>
    <x v="0"/>
    <m/>
  </r>
  <r>
    <x v="40"/>
    <n v="11"/>
    <s v="091213"/>
    <s v="張宇辰"/>
    <x v="0"/>
    <m/>
  </r>
  <r>
    <x v="40"/>
    <n v="12"/>
    <s v="091214"/>
    <s v="張柏崴"/>
    <x v="0"/>
    <m/>
  </r>
  <r>
    <x v="40"/>
    <n v="13"/>
    <s v="091215"/>
    <s v="張哲睿"/>
    <x v="0"/>
    <m/>
  </r>
  <r>
    <x v="40"/>
    <n v="14"/>
    <s v="091216"/>
    <s v="張翔"/>
    <x v="0"/>
    <m/>
  </r>
  <r>
    <x v="40"/>
    <n v="15"/>
    <s v="091217"/>
    <s v="郭士銓"/>
    <x v="0"/>
    <m/>
  </r>
  <r>
    <x v="40"/>
    <n v="16"/>
    <s v="091218"/>
    <s v="郭宇樺"/>
    <x v="0"/>
    <m/>
  </r>
  <r>
    <x v="40"/>
    <n v="17"/>
    <s v="091219"/>
    <s v="陳奕翰"/>
    <x v="0"/>
    <m/>
  </r>
  <r>
    <x v="40"/>
    <n v="18"/>
    <s v="091223"/>
    <s v="曾仕鑫"/>
    <x v="0"/>
    <m/>
  </r>
  <r>
    <x v="40"/>
    <n v="19"/>
    <s v="091224"/>
    <s v="游耀程"/>
    <x v="0"/>
    <m/>
  </r>
  <r>
    <x v="40"/>
    <n v="20"/>
    <s v="091225"/>
    <s v="黃奕傑"/>
    <x v="0"/>
    <m/>
  </r>
  <r>
    <x v="40"/>
    <n v="21"/>
    <s v="091227"/>
    <s v="葉家宏"/>
    <x v="0"/>
    <s v="資源班"/>
  </r>
  <r>
    <x v="40"/>
    <n v="22"/>
    <s v="091228"/>
    <s v="潘冠宏"/>
    <x v="0"/>
    <m/>
  </r>
  <r>
    <x v="40"/>
    <n v="23"/>
    <s v="091229"/>
    <s v="蔡承廷"/>
    <x v="0"/>
    <m/>
  </r>
  <r>
    <x v="40"/>
    <n v="24"/>
    <s v="091231"/>
    <s v="戴宇樟"/>
    <x v="0"/>
    <m/>
  </r>
  <r>
    <x v="40"/>
    <n v="25"/>
    <s v="091232"/>
    <s v="*謝又云"/>
    <x v="1"/>
    <m/>
  </r>
  <r>
    <x v="40"/>
    <n v="26"/>
    <s v="091233"/>
    <s v="謝承樺"/>
    <x v="0"/>
    <s v="資源班"/>
  </r>
  <r>
    <x v="40"/>
    <n v="27"/>
    <s v="091234"/>
    <s v="謝欣翰"/>
    <x v="0"/>
    <m/>
  </r>
  <r>
    <x v="41"/>
    <n v="1"/>
    <s v="091301"/>
    <s v="王子豪"/>
    <x v="0"/>
    <m/>
  </r>
  <r>
    <x v="41"/>
    <n v="2"/>
    <s v="091302"/>
    <s v="王柏翔"/>
    <x v="0"/>
    <m/>
  </r>
  <r>
    <x v="41"/>
    <n v="3"/>
    <s v="091303"/>
    <s v="石耕維"/>
    <x v="0"/>
    <m/>
  </r>
  <r>
    <x v="41"/>
    <n v="4"/>
    <s v="091304"/>
    <s v="吳威辰"/>
    <x v="0"/>
    <m/>
  </r>
  <r>
    <x v="41"/>
    <n v="5"/>
    <s v="091305"/>
    <s v="吳睿祥"/>
    <x v="0"/>
    <m/>
  </r>
  <r>
    <x v="41"/>
    <n v="6"/>
    <s v="091306"/>
    <s v="呂易宸"/>
    <x v="0"/>
    <m/>
  </r>
  <r>
    <x v="41"/>
    <n v="7"/>
    <s v="091307"/>
    <s v="林政宏"/>
    <x v="0"/>
    <m/>
  </r>
  <r>
    <x v="41"/>
    <n v="8"/>
    <s v="091308"/>
    <s v="林政廷"/>
    <x v="0"/>
    <m/>
  </r>
  <r>
    <x v="41"/>
    <n v="9"/>
    <s v="091309"/>
    <s v="*林嫚萱"/>
    <x v="1"/>
    <m/>
  </r>
  <r>
    <x v="41"/>
    <n v="10"/>
    <s v="091310"/>
    <s v="孫紹齊"/>
    <x v="0"/>
    <m/>
  </r>
  <r>
    <x v="41"/>
    <n v="11"/>
    <s v="091311"/>
    <s v="康祐翔"/>
    <x v="0"/>
    <m/>
  </r>
  <r>
    <x v="41"/>
    <n v="12"/>
    <s v="091312"/>
    <s v="張立璿"/>
    <x v="0"/>
    <m/>
  </r>
  <r>
    <x v="41"/>
    <n v="13"/>
    <s v="091313"/>
    <s v="張祐豪"/>
    <x v="0"/>
    <m/>
  </r>
  <r>
    <x v="41"/>
    <n v="14"/>
    <s v="091314"/>
    <s v="張歐子易"/>
    <x v="0"/>
    <s v="資源班"/>
  </r>
  <r>
    <x v="41"/>
    <n v="15"/>
    <s v="091315"/>
    <s v="陳冠廷"/>
    <x v="0"/>
    <m/>
  </r>
  <r>
    <x v="41"/>
    <n v="16"/>
    <s v="091316"/>
    <s v="陳奕安"/>
    <x v="0"/>
    <m/>
  </r>
  <r>
    <x v="41"/>
    <n v="17"/>
    <s v="091317"/>
    <s v="陳宥伯"/>
    <x v="0"/>
    <m/>
  </r>
  <r>
    <x v="41"/>
    <n v="18"/>
    <s v="091318"/>
    <s v="陳彥安"/>
    <x v="0"/>
    <m/>
  </r>
  <r>
    <x v="41"/>
    <n v="19"/>
    <s v="091319"/>
    <s v="陳韋修"/>
    <x v="0"/>
    <m/>
  </r>
  <r>
    <x v="41"/>
    <n v="20"/>
    <s v="091320"/>
    <s v="曾信凱"/>
    <x v="0"/>
    <m/>
  </r>
  <r>
    <x v="41"/>
    <n v="21"/>
    <s v="091321"/>
    <s v="*曾品蓉"/>
    <x v="1"/>
    <m/>
  </r>
  <r>
    <x v="41"/>
    <n v="22"/>
    <s v="091322"/>
    <s v="游翊宏"/>
    <x v="0"/>
    <s v="資源班"/>
  </r>
  <r>
    <x v="41"/>
    <n v="23"/>
    <s v="091323"/>
    <s v="黃宇晨"/>
    <x v="0"/>
    <m/>
  </r>
  <r>
    <x v="41"/>
    <n v="24"/>
    <s v="091324"/>
    <s v="黃暐宸"/>
    <x v="0"/>
    <m/>
  </r>
  <r>
    <x v="41"/>
    <n v="25"/>
    <s v="091325"/>
    <s v="鄒詮熠"/>
    <x v="0"/>
    <m/>
  </r>
  <r>
    <x v="41"/>
    <n v="26"/>
    <s v="091326"/>
    <s v="廖傳聖"/>
    <x v="0"/>
    <s v="技優生"/>
  </r>
  <r>
    <x v="41"/>
    <n v="27"/>
    <s v="091327"/>
    <s v="劉鴻緯"/>
    <x v="0"/>
    <m/>
  </r>
  <r>
    <x v="41"/>
    <n v="28"/>
    <s v="091328"/>
    <s v="歐永寰"/>
    <x v="0"/>
    <m/>
  </r>
  <r>
    <x v="41"/>
    <n v="29"/>
    <s v="091329"/>
    <s v="蔡鈞旭"/>
    <x v="0"/>
    <m/>
  </r>
  <r>
    <x v="41"/>
    <n v="30"/>
    <s v="091330"/>
    <s v="鄭鈞陽"/>
    <x v="0"/>
    <m/>
  </r>
  <r>
    <x v="41"/>
    <n v="31"/>
    <s v="091331"/>
    <s v="*蕭映竹"/>
    <x v="1"/>
    <s v="資源班"/>
  </r>
  <r>
    <x v="41"/>
    <n v="32"/>
    <s v="091332"/>
    <s v="蕭偉辰"/>
    <x v="0"/>
    <m/>
  </r>
  <r>
    <x v="41"/>
    <n v="33"/>
    <s v="091333"/>
    <s v="蕭晴文"/>
    <x v="0"/>
    <m/>
  </r>
  <r>
    <x v="41"/>
    <n v="34"/>
    <s v="091334"/>
    <s v="*謝月昕"/>
    <x v="1"/>
    <m/>
  </r>
  <r>
    <x v="42"/>
    <n v="1"/>
    <s v="091402"/>
    <s v="余佳泓"/>
    <x v="0"/>
    <s v="技優生"/>
  </r>
  <r>
    <x v="42"/>
    <n v="2"/>
    <s v="091403"/>
    <s v="吳卓恩"/>
    <x v="0"/>
    <m/>
  </r>
  <r>
    <x v="42"/>
    <n v="3"/>
    <s v="091404"/>
    <s v="呂博文"/>
    <x v="0"/>
    <m/>
  </r>
  <r>
    <x v="42"/>
    <n v="4"/>
    <s v="091405"/>
    <s v="宋承翰"/>
    <x v="0"/>
    <m/>
  </r>
  <r>
    <x v="42"/>
    <n v="5"/>
    <s v="091406"/>
    <s v="林士軒"/>
    <x v="0"/>
    <m/>
  </r>
  <r>
    <x v="42"/>
    <n v="6"/>
    <s v="091407"/>
    <s v="林子耀"/>
    <x v="0"/>
    <m/>
  </r>
  <r>
    <x v="42"/>
    <n v="7"/>
    <s v="091408"/>
    <s v="林洋本"/>
    <x v="0"/>
    <m/>
  </r>
  <r>
    <x v="42"/>
    <n v="8"/>
    <s v="091409"/>
    <s v="林韋誠"/>
    <x v="0"/>
    <m/>
  </r>
  <r>
    <x v="42"/>
    <n v="9"/>
    <s v="091410"/>
    <s v="林峻葳"/>
    <x v="0"/>
    <m/>
  </r>
  <r>
    <x v="42"/>
    <n v="10"/>
    <s v="091411"/>
    <s v="林耘佑"/>
    <x v="0"/>
    <m/>
  </r>
  <r>
    <x v="42"/>
    <n v="11"/>
    <s v="091412"/>
    <s v="洪緒康"/>
    <x v="0"/>
    <m/>
  </r>
  <r>
    <x v="42"/>
    <n v="12"/>
    <s v="091413"/>
    <s v="范純理"/>
    <x v="0"/>
    <m/>
  </r>
  <r>
    <x v="42"/>
    <n v="13"/>
    <s v="091414"/>
    <s v="張巧億"/>
    <x v="0"/>
    <m/>
  </r>
  <r>
    <x v="42"/>
    <n v="14"/>
    <s v="091415"/>
    <s v="張博恩"/>
    <x v="0"/>
    <m/>
  </r>
  <r>
    <x v="42"/>
    <n v="15"/>
    <s v="091416"/>
    <s v="張翰文"/>
    <x v="0"/>
    <m/>
  </r>
  <r>
    <x v="42"/>
    <n v="16"/>
    <s v="091417"/>
    <s v="陳沅瑾"/>
    <x v="0"/>
    <m/>
  </r>
  <r>
    <x v="42"/>
    <n v="17"/>
    <s v="091418"/>
    <s v="*陳玟晶"/>
    <x v="1"/>
    <m/>
  </r>
  <r>
    <x v="42"/>
    <n v="18"/>
    <s v="091419"/>
    <s v="陳冠丞"/>
    <x v="0"/>
    <m/>
  </r>
  <r>
    <x v="42"/>
    <n v="19"/>
    <s v="091420"/>
    <s v="陳彥勳"/>
    <x v="0"/>
    <m/>
  </r>
  <r>
    <x v="42"/>
    <n v="20"/>
    <s v="091421"/>
    <s v="陳羿睿"/>
    <x v="0"/>
    <s v="資源班"/>
  </r>
  <r>
    <x v="42"/>
    <n v="21"/>
    <s v="091422"/>
    <s v="陳致維"/>
    <x v="0"/>
    <m/>
  </r>
  <r>
    <x v="42"/>
    <n v="22"/>
    <s v="091423"/>
    <s v="*陳韋羚"/>
    <x v="1"/>
    <m/>
  </r>
  <r>
    <x v="42"/>
    <n v="23"/>
    <s v="091424"/>
    <s v="曾冠喆"/>
    <x v="0"/>
    <m/>
  </r>
  <r>
    <x v="42"/>
    <n v="24"/>
    <s v="091426"/>
    <s v="*馮若瑄"/>
    <x v="1"/>
    <m/>
  </r>
  <r>
    <x v="42"/>
    <n v="25"/>
    <s v="091427"/>
    <s v="*葉晏寧"/>
    <x v="1"/>
    <m/>
  </r>
  <r>
    <x v="42"/>
    <n v="26"/>
    <s v="091428"/>
    <s v="趙哲賢"/>
    <x v="0"/>
    <m/>
  </r>
  <r>
    <x v="42"/>
    <n v="27"/>
    <s v="091429"/>
    <s v="歐維樺"/>
    <x v="0"/>
    <m/>
  </r>
  <r>
    <x v="42"/>
    <n v="28"/>
    <s v="091430"/>
    <s v="蔡元豪"/>
    <x v="0"/>
    <m/>
  </r>
  <r>
    <x v="42"/>
    <n v="29"/>
    <s v="091431"/>
    <s v="蔡竣名"/>
    <x v="0"/>
    <s v="技優生"/>
  </r>
  <r>
    <x v="42"/>
    <n v="30"/>
    <s v="091432"/>
    <s v="鄭明易"/>
    <x v="0"/>
    <m/>
  </r>
  <r>
    <x v="42"/>
    <n v="31"/>
    <s v="091434"/>
    <s v="蘇聖閔"/>
    <x v="0"/>
    <m/>
  </r>
  <r>
    <x v="42"/>
    <n v="32"/>
    <s v="081204"/>
    <s v="古晨廷"/>
    <x v="0"/>
    <s v="復學生"/>
  </r>
  <r>
    <x v="43"/>
    <n v="1"/>
    <s v="092101"/>
    <s v="王彥翔"/>
    <x v="0"/>
    <m/>
  </r>
  <r>
    <x v="43"/>
    <n v="2"/>
    <s v="092102"/>
    <s v="王偉宸"/>
    <x v="0"/>
    <m/>
  </r>
  <r>
    <x v="43"/>
    <n v="3"/>
    <s v="092103"/>
    <s v="王揚程"/>
    <x v="0"/>
    <m/>
  </r>
  <r>
    <x v="43"/>
    <n v="4"/>
    <s v="092104"/>
    <s v="江浚泓"/>
    <x v="0"/>
    <s v="技優生"/>
  </r>
  <r>
    <x v="43"/>
    <n v="5"/>
    <s v="092105"/>
    <s v="吳柏諺"/>
    <x v="0"/>
    <m/>
  </r>
  <r>
    <x v="43"/>
    <n v="6"/>
    <s v="092106"/>
    <s v="宋李永信"/>
    <x v="0"/>
    <s v="更名"/>
  </r>
  <r>
    <x v="43"/>
    <n v="7"/>
    <s v="092107"/>
    <s v="李彥霆"/>
    <x v="0"/>
    <m/>
  </r>
  <r>
    <x v="43"/>
    <n v="8"/>
    <s v="092108"/>
    <s v="周宥翔"/>
    <x v="0"/>
    <s v="資源班"/>
  </r>
  <r>
    <x v="43"/>
    <n v="9"/>
    <s v="092109"/>
    <s v="周羿廷"/>
    <x v="0"/>
    <m/>
  </r>
  <r>
    <x v="43"/>
    <n v="10"/>
    <s v="092110"/>
    <s v="林宥儒"/>
    <x v="0"/>
    <m/>
  </r>
  <r>
    <x v="43"/>
    <n v="11"/>
    <s v="092111"/>
    <s v="侯酉翰"/>
    <x v="0"/>
    <m/>
  </r>
  <r>
    <x v="43"/>
    <n v="12"/>
    <s v="092112"/>
    <s v="柯志翰"/>
    <x v="0"/>
    <m/>
  </r>
  <r>
    <x v="43"/>
    <n v="13"/>
    <s v="092113"/>
    <s v="洪麒杰"/>
    <x v="0"/>
    <m/>
  </r>
  <r>
    <x v="43"/>
    <n v="14"/>
    <s v="092114"/>
    <s v="郎昱翔"/>
    <x v="0"/>
    <m/>
  </r>
  <r>
    <x v="43"/>
    <n v="15"/>
    <s v="092115"/>
    <s v="張有容"/>
    <x v="0"/>
    <m/>
  </r>
  <r>
    <x v="43"/>
    <n v="16"/>
    <s v="092116"/>
    <s v="郭竑劭"/>
    <x v="0"/>
    <m/>
  </r>
  <r>
    <x v="43"/>
    <n v="17"/>
    <s v="092117"/>
    <s v="陳悌"/>
    <x v="0"/>
    <m/>
  </r>
  <r>
    <x v="43"/>
    <n v="18"/>
    <s v="092118"/>
    <s v="陳靖東"/>
    <x v="0"/>
    <m/>
  </r>
  <r>
    <x v="43"/>
    <n v="19"/>
    <s v="092119"/>
    <s v="陳璿宇"/>
    <x v="0"/>
    <s v="體優生"/>
  </r>
  <r>
    <x v="43"/>
    <n v="20"/>
    <s v="092121"/>
    <s v="曾振瑋"/>
    <x v="0"/>
    <m/>
  </r>
  <r>
    <x v="43"/>
    <n v="21"/>
    <s v="092122"/>
    <s v="黃永雲"/>
    <x v="0"/>
    <m/>
  </r>
  <r>
    <x v="43"/>
    <n v="22"/>
    <s v="092123"/>
    <s v="黃宇祥"/>
    <x v="0"/>
    <m/>
  </r>
  <r>
    <x v="43"/>
    <n v="23"/>
    <s v="092124"/>
    <s v="黃志誠"/>
    <x v="0"/>
    <m/>
  </r>
  <r>
    <x v="43"/>
    <n v="24"/>
    <s v="092125"/>
    <s v="黃彥湐"/>
    <x v="0"/>
    <m/>
  </r>
  <r>
    <x v="43"/>
    <n v="25"/>
    <s v="092126"/>
    <s v="黃韋皓"/>
    <x v="0"/>
    <m/>
  </r>
  <r>
    <x v="43"/>
    <n v="26"/>
    <s v="092127"/>
    <s v="黃翊凱"/>
    <x v="0"/>
    <m/>
  </r>
  <r>
    <x v="43"/>
    <n v="27"/>
    <s v="092128"/>
    <s v="楊博崴"/>
    <x v="0"/>
    <m/>
  </r>
  <r>
    <x v="43"/>
    <n v="28"/>
    <s v="092129"/>
    <s v="葉軒棠"/>
    <x v="0"/>
    <s v="技優生"/>
  </r>
  <r>
    <x v="43"/>
    <n v="29"/>
    <s v="092130"/>
    <s v="廖茂清"/>
    <x v="0"/>
    <s v="體優生"/>
  </r>
  <r>
    <x v="43"/>
    <n v="30"/>
    <s v="092131"/>
    <s v="劉泉"/>
    <x v="0"/>
    <m/>
  </r>
  <r>
    <x v="43"/>
    <n v="31"/>
    <s v="092132"/>
    <s v="劉睿上"/>
    <x v="0"/>
    <m/>
  </r>
  <r>
    <x v="43"/>
    <n v="32"/>
    <s v="092134"/>
    <s v="賴冠崴"/>
    <x v="0"/>
    <m/>
  </r>
  <r>
    <x v="43"/>
    <n v="33"/>
    <s v="092135"/>
    <s v="賴冠硯"/>
    <x v="0"/>
    <m/>
  </r>
  <r>
    <x v="43"/>
    <n v="34"/>
    <s v="092136"/>
    <s v="賴威定"/>
    <x v="0"/>
    <m/>
  </r>
  <r>
    <x v="43"/>
    <n v="35"/>
    <s v="092137"/>
    <s v="戴梓庭"/>
    <x v="0"/>
    <s v="資源班"/>
  </r>
  <r>
    <x v="44"/>
    <n v="1"/>
    <s v="092201"/>
    <s v="王博玄"/>
    <x v="0"/>
    <m/>
  </r>
  <r>
    <x v="44"/>
    <n v="2"/>
    <s v="092202"/>
    <s v="吳柏翰"/>
    <x v="0"/>
    <m/>
  </r>
  <r>
    <x v="44"/>
    <n v="3"/>
    <s v="092203"/>
    <s v="周冠宏"/>
    <x v="0"/>
    <m/>
  </r>
  <r>
    <x v="44"/>
    <n v="4"/>
    <s v="092204"/>
    <s v="周睿瑀"/>
    <x v="0"/>
    <m/>
  </r>
  <r>
    <x v="44"/>
    <n v="5"/>
    <s v="092205"/>
    <s v="林子宸"/>
    <x v="0"/>
    <m/>
  </r>
  <r>
    <x v="44"/>
    <n v="6"/>
    <s v="092206"/>
    <s v="林政安"/>
    <x v="0"/>
    <m/>
  </r>
  <r>
    <x v="44"/>
    <n v="7"/>
    <s v="092207"/>
    <s v="林嵩霖"/>
    <x v="0"/>
    <m/>
  </r>
  <r>
    <x v="44"/>
    <n v="8"/>
    <s v="092208"/>
    <s v="施宇哲"/>
    <x v="0"/>
    <m/>
  </r>
  <r>
    <x v="44"/>
    <n v="9"/>
    <s v="092209"/>
    <s v="孫振傑"/>
    <x v="0"/>
    <m/>
  </r>
  <r>
    <x v="44"/>
    <n v="10"/>
    <s v="092210"/>
    <s v="高廷瑋"/>
    <x v="0"/>
    <m/>
  </r>
  <r>
    <x v="44"/>
    <n v="11"/>
    <s v="092211"/>
    <s v="高偉哲"/>
    <x v="0"/>
    <m/>
  </r>
  <r>
    <x v="44"/>
    <n v="12"/>
    <s v="092212"/>
    <s v="康閔崙"/>
    <x v="0"/>
    <s v="技優生"/>
  </r>
  <r>
    <x v="44"/>
    <n v="13"/>
    <s v="092213"/>
    <s v="張旭晨"/>
    <x v="0"/>
    <m/>
  </r>
  <r>
    <x v="44"/>
    <n v="14"/>
    <s v="092214"/>
    <s v="許瀚文"/>
    <x v="0"/>
    <m/>
  </r>
  <r>
    <x v="44"/>
    <n v="15"/>
    <s v="092215"/>
    <s v="郭子賢"/>
    <x v="0"/>
    <s v="資源班"/>
  </r>
  <r>
    <x v="44"/>
    <n v="16"/>
    <s v="092216"/>
    <s v="郭秉龍"/>
    <x v="0"/>
    <m/>
  </r>
  <r>
    <x v="44"/>
    <n v="17"/>
    <s v="092217"/>
    <s v="陳孟楷"/>
    <x v="0"/>
    <m/>
  </r>
  <r>
    <x v="44"/>
    <n v="18"/>
    <s v="092218"/>
    <s v="陳冠宇"/>
    <x v="0"/>
    <m/>
  </r>
  <r>
    <x v="44"/>
    <n v="19"/>
    <s v="092219"/>
    <s v="陳奕安"/>
    <x v="0"/>
    <m/>
  </r>
  <r>
    <x v="44"/>
    <n v="20"/>
    <s v="092220"/>
    <s v="陳禹睿"/>
    <x v="0"/>
    <m/>
  </r>
  <r>
    <x v="44"/>
    <n v="21"/>
    <s v="092221"/>
    <s v="曾定煌"/>
    <x v="0"/>
    <m/>
  </r>
  <r>
    <x v="44"/>
    <n v="22"/>
    <s v="092222"/>
    <s v="黃子超"/>
    <x v="0"/>
    <m/>
  </r>
  <r>
    <x v="44"/>
    <n v="23"/>
    <s v="092223"/>
    <s v="黃則雋"/>
    <x v="0"/>
    <m/>
  </r>
  <r>
    <x v="44"/>
    <n v="24"/>
    <s v="092224"/>
    <s v="黃昱嘉"/>
    <x v="0"/>
    <m/>
  </r>
  <r>
    <x v="44"/>
    <n v="25"/>
    <s v="092225"/>
    <s v="黃楷恩"/>
    <x v="0"/>
    <m/>
  </r>
  <r>
    <x v="44"/>
    <n v="26"/>
    <s v="092226"/>
    <s v="楊博崴"/>
    <x v="0"/>
    <m/>
  </r>
  <r>
    <x v="44"/>
    <n v="27"/>
    <s v="092227"/>
    <s v="楊睿閎"/>
    <x v="0"/>
    <m/>
  </r>
  <r>
    <x v="44"/>
    <n v="28"/>
    <s v="092228"/>
    <s v="廖信富"/>
    <x v="0"/>
    <m/>
  </r>
  <r>
    <x v="44"/>
    <n v="29"/>
    <s v="092229"/>
    <s v="劉辰佑"/>
    <x v="0"/>
    <m/>
  </r>
  <r>
    <x v="44"/>
    <n v="30"/>
    <s v="092230"/>
    <s v="樊培璋"/>
    <x v="0"/>
    <m/>
  </r>
  <r>
    <x v="44"/>
    <n v="31"/>
    <s v="092231"/>
    <s v="潘豐"/>
    <x v="0"/>
    <m/>
  </r>
  <r>
    <x v="44"/>
    <n v="32"/>
    <s v="092232"/>
    <s v="鄧景鴻"/>
    <x v="0"/>
    <s v="資源班"/>
  </r>
  <r>
    <x v="44"/>
    <n v="33"/>
    <s v="092233"/>
    <s v="賴禾昱"/>
    <x v="0"/>
    <m/>
  </r>
  <r>
    <x v="44"/>
    <n v="34"/>
    <s v="092234"/>
    <s v="賴志翔"/>
    <x v="0"/>
    <m/>
  </r>
  <r>
    <x v="44"/>
    <n v="35"/>
    <s v="092235"/>
    <s v="賴長賢"/>
    <x v="0"/>
    <s v="技優生"/>
  </r>
  <r>
    <x v="44"/>
    <n v="36"/>
    <s v="092236"/>
    <s v="謝羿寬"/>
    <x v="0"/>
    <m/>
  </r>
  <r>
    <x v="44"/>
    <n v="37"/>
    <s v="092237"/>
    <s v="鍾予珵"/>
    <x v="0"/>
    <m/>
  </r>
  <r>
    <x v="45"/>
    <n v="1"/>
    <s v="092301"/>
    <s v="王士保"/>
    <x v="0"/>
    <m/>
  </r>
  <r>
    <x v="45"/>
    <n v="2"/>
    <s v="092303"/>
    <s v="王煜皓"/>
    <x v="0"/>
    <m/>
  </r>
  <r>
    <x v="45"/>
    <n v="3"/>
    <s v="092304"/>
    <s v="石浩佑"/>
    <x v="0"/>
    <m/>
  </r>
  <r>
    <x v="45"/>
    <n v="4"/>
    <s v="092305"/>
    <s v="何晉德"/>
    <x v="0"/>
    <s v="資源班"/>
  </r>
  <r>
    <x v="45"/>
    <n v="5"/>
    <s v="092307"/>
    <s v="吳秉謙"/>
    <x v="0"/>
    <m/>
  </r>
  <r>
    <x v="45"/>
    <n v="6"/>
    <s v="092308"/>
    <s v="呂明陽"/>
    <x v="0"/>
    <m/>
  </r>
  <r>
    <x v="45"/>
    <n v="7"/>
    <s v="092310"/>
    <s v="李昇峰"/>
    <x v="0"/>
    <m/>
  </r>
  <r>
    <x v="45"/>
    <n v="8"/>
    <s v="092311"/>
    <s v="林柏瀚"/>
    <x v="0"/>
    <s v="資源班"/>
  </r>
  <r>
    <x v="45"/>
    <n v="9"/>
    <s v="092312"/>
    <s v="林哲宇"/>
    <x v="0"/>
    <m/>
  </r>
  <r>
    <x v="45"/>
    <n v="10"/>
    <s v="092313"/>
    <s v="林軒安"/>
    <x v="0"/>
    <m/>
  </r>
  <r>
    <x v="45"/>
    <n v="11"/>
    <s v="092314"/>
    <s v="林偉銘"/>
    <x v="0"/>
    <m/>
  </r>
  <r>
    <x v="45"/>
    <n v="12"/>
    <s v="092315"/>
    <s v="林翊鈞"/>
    <x v="0"/>
    <m/>
  </r>
  <r>
    <x v="45"/>
    <n v="13"/>
    <s v="092316"/>
    <s v="林鉅程"/>
    <x v="0"/>
    <m/>
  </r>
  <r>
    <x v="45"/>
    <n v="14"/>
    <s v="092317"/>
    <s v="徐國翔"/>
    <x v="0"/>
    <m/>
  </r>
  <r>
    <x v="45"/>
    <n v="15"/>
    <s v="092318"/>
    <s v="翁岳均"/>
    <x v="0"/>
    <m/>
  </r>
  <r>
    <x v="45"/>
    <n v="16"/>
    <s v="092319"/>
    <s v="張昕瀚"/>
    <x v="0"/>
    <m/>
  </r>
  <r>
    <x v="45"/>
    <n v="17"/>
    <s v="092320"/>
    <s v="張容齊"/>
    <x v="0"/>
    <m/>
  </r>
  <r>
    <x v="45"/>
    <n v="18"/>
    <s v="092321"/>
    <s v="張詠祥"/>
    <x v="0"/>
    <m/>
  </r>
  <r>
    <x v="45"/>
    <n v="19"/>
    <s v="092322"/>
    <s v="莊東樹"/>
    <x v="0"/>
    <m/>
  </r>
  <r>
    <x v="45"/>
    <n v="20"/>
    <s v="092324"/>
    <s v="温啟翔"/>
    <x v="0"/>
    <m/>
  </r>
  <r>
    <x v="45"/>
    <n v="21"/>
    <s v="092325"/>
    <s v="黃紃崋"/>
    <x v="0"/>
    <m/>
  </r>
  <r>
    <x v="45"/>
    <n v="22"/>
    <s v="092327"/>
    <s v="黃業諳"/>
    <x v="0"/>
    <m/>
  </r>
  <r>
    <x v="45"/>
    <n v="23"/>
    <s v="092328"/>
    <s v="楊晴睿"/>
    <x v="0"/>
    <m/>
  </r>
  <r>
    <x v="45"/>
    <n v="24"/>
    <s v="092329"/>
    <s v="葉庭宏"/>
    <x v="0"/>
    <m/>
  </r>
  <r>
    <x v="45"/>
    <n v="25"/>
    <s v="092330"/>
    <s v="廖翊翔"/>
    <x v="0"/>
    <s v="技優生"/>
  </r>
  <r>
    <x v="45"/>
    <n v="26"/>
    <s v="092331"/>
    <s v="劉名文"/>
    <x v="0"/>
    <m/>
  </r>
  <r>
    <x v="45"/>
    <n v="27"/>
    <s v="092333"/>
    <s v="鄧帛彤"/>
    <x v="0"/>
    <s v="技優生"/>
  </r>
  <r>
    <x v="45"/>
    <n v="28"/>
    <s v="092334"/>
    <s v="鍾承恩"/>
    <x v="0"/>
    <m/>
  </r>
  <r>
    <x v="45"/>
    <n v="29"/>
    <s v="092335"/>
    <s v="闕子宸"/>
    <x v="0"/>
    <m/>
  </r>
  <r>
    <x v="45"/>
    <n v="30"/>
    <s v="092336"/>
    <s v="顧恩帆"/>
    <x v="0"/>
    <m/>
  </r>
  <r>
    <x v="45"/>
    <n v="31"/>
    <s v="082225"/>
    <s v="曾柏仁"/>
    <x v="0"/>
    <s v="復學生"/>
  </r>
  <r>
    <x v="46"/>
    <n v="1"/>
    <s v="092401"/>
    <s v="*王湘毓"/>
    <x v="1"/>
    <m/>
  </r>
  <r>
    <x v="46"/>
    <n v="2"/>
    <s v="092402"/>
    <s v="王聖凱"/>
    <x v="0"/>
    <m/>
  </r>
  <r>
    <x v="46"/>
    <n v="3"/>
    <s v="092404"/>
    <s v="余佾倫"/>
    <x v="0"/>
    <m/>
  </r>
  <r>
    <x v="46"/>
    <n v="4"/>
    <s v="092405"/>
    <s v="余長霖"/>
    <x v="0"/>
    <m/>
  </r>
  <r>
    <x v="46"/>
    <n v="5"/>
    <s v="092407"/>
    <s v="吳柏均"/>
    <x v="0"/>
    <s v="資源班"/>
  </r>
  <r>
    <x v="46"/>
    <n v="6"/>
    <s v="092408"/>
    <s v="吳禹呈"/>
    <x v="0"/>
    <m/>
  </r>
  <r>
    <x v="46"/>
    <n v="7"/>
    <s v="092409"/>
    <s v="宋昱達"/>
    <x v="0"/>
    <m/>
  </r>
  <r>
    <x v="46"/>
    <n v="8"/>
    <s v="092410"/>
    <s v="*李芊葇"/>
    <x v="1"/>
    <s v="技優生"/>
  </r>
  <r>
    <x v="46"/>
    <n v="9"/>
    <s v="092411"/>
    <s v="李昱輝"/>
    <x v="0"/>
    <m/>
  </r>
  <r>
    <x v="46"/>
    <n v="10"/>
    <s v="092412"/>
    <s v="李皇霆"/>
    <x v="0"/>
    <m/>
  </r>
  <r>
    <x v="46"/>
    <n v="11"/>
    <s v="092413"/>
    <s v="李晉豪"/>
    <x v="0"/>
    <s v="資源班"/>
  </r>
  <r>
    <x v="46"/>
    <n v="12"/>
    <s v="092414"/>
    <s v="林冠緯"/>
    <x v="0"/>
    <m/>
  </r>
  <r>
    <x v="46"/>
    <n v="13"/>
    <s v="092415"/>
    <s v="林奕廷"/>
    <x v="0"/>
    <m/>
  </r>
  <r>
    <x v="46"/>
    <n v="14"/>
    <s v="092416"/>
    <s v="林政全"/>
    <x v="0"/>
    <m/>
  </r>
  <r>
    <x v="46"/>
    <n v="15"/>
    <s v="092417"/>
    <s v="林宸宇"/>
    <x v="0"/>
    <m/>
  </r>
  <r>
    <x v="46"/>
    <n v="16"/>
    <s v="092418"/>
    <s v="金宸語"/>
    <x v="0"/>
    <m/>
  </r>
  <r>
    <x v="46"/>
    <n v="17"/>
    <s v="092419"/>
    <s v="胡允豪"/>
    <x v="0"/>
    <m/>
  </r>
  <r>
    <x v="46"/>
    <n v="18"/>
    <s v="092420"/>
    <s v="秦續昊"/>
    <x v="0"/>
    <m/>
  </r>
  <r>
    <x v="46"/>
    <n v="19"/>
    <s v="092421"/>
    <s v="張紹杰"/>
    <x v="0"/>
    <m/>
  </r>
  <r>
    <x v="46"/>
    <n v="20"/>
    <s v="092423"/>
    <s v="曾守弘"/>
    <x v="0"/>
    <m/>
  </r>
  <r>
    <x v="46"/>
    <n v="21"/>
    <s v="092424"/>
    <s v="童立得"/>
    <x v="0"/>
    <m/>
  </r>
  <r>
    <x v="46"/>
    <n v="22"/>
    <s v="092425"/>
    <s v="楊丁諺"/>
    <x v="0"/>
    <m/>
  </r>
  <r>
    <x v="46"/>
    <n v="23"/>
    <s v="092426"/>
    <s v="楊俊羿"/>
    <x v="0"/>
    <m/>
  </r>
  <r>
    <x v="46"/>
    <n v="24"/>
    <s v="092427"/>
    <s v="楊凱丞"/>
    <x v="0"/>
    <m/>
  </r>
  <r>
    <x v="46"/>
    <n v="25"/>
    <s v="092428"/>
    <s v="劉其桁"/>
    <x v="0"/>
    <m/>
  </r>
  <r>
    <x v="46"/>
    <n v="26"/>
    <s v="092429"/>
    <s v="潘信志"/>
    <x v="0"/>
    <s v="技優生"/>
  </r>
  <r>
    <x v="46"/>
    <n v="27"/>
    <s v="092430"/>
    <s v="蔡承瑋"/>
    <x v="0"/>
    <m/>
  </r>
  <r>
    <x v="46"/>
    <n v="28"/>
    <s v="092431"/>
    <s v="盧宇翔"/>
    <x v="0"/>
    <m/>
  </r>
  <r>
    <x v="46"/>
    <n v="29"/>
    <s v="092432"/>
    <s v="簡子翔"/>
    <x v="0"/>
    <m/>
  </r>
  <r>
    <x v="46"/>
    <n v="30"/>
    <s v="092433"/>
    <s v="簡元浩"/>
    <x v="0"/>
    <m/>
  </r>
  <r>
    <x v="46"/>
    <n v="31"/>
    <s v="092434"/>
    <s v="羅文"/>
    <x v="0"/>
    <m/>
  </r>
  <r>
    <x v="46"/>
    <n v="32"/>
    <s v="092435"/>
    <s v="羅鴻宇"/>
    <x v="0"/>
    <m/>
  </r>
  <r>
    <x v="46"/>
    <n v="33"/>
    <s v="092436"/>
    <s v="蘇宏達"/>
    <x v="0"/>
    <m/>
  </r>
  <r>
    <x v="46"/>
    <n v="34"/>
    <s v="082215"/>
    <s v="徐維明"/>
    <x v="0"/>
    <s v="復學生"/>
  </r>
  <r>
    <x v="47"/>
    <n v="1"/>
    <s v="093101"/>
    <s v="丁璽元"/>
    <x v="0"/>
    <m/>
  </r>
  <r>
    <x v="47"/>
    <n v="2"/>
    <s v="093102"/>
    <s v="白詠翔"/>
    <x v="0"/>
    <s v="資源班"/>
  </r>
  <r>
    <x v="47"/>
    <n v="3"/>
    <s v="093104"/>
    <s v="吳祐丞"/>
    <x v="0"/>
    <m/>
  </r>
  <r>
    <x v="47"/>
    <n v="4"/>
    <s v="093105"/>
    <s v="吳智愷"/>
    <x v="0"/>
    <m/>
  </r>
  <r>
    <x v="47"/>
    <n v="5"/>
    <s v="093106"/>
    <s v="李承勳"/>
    <x v="0"/>
    <m/>
  </r>
  <r>
    <x v="47"/>
    <n v="6"/>
    <s v="093107"/>
    <s v="李冠龍"/>
    <x v="0"/>
    <m/>
  </r>
  <r>
    <x v="47"/>
    <n v="7"/>
    <s v="093108"/>
    <s v="*李思嫻"/>
    <x v="1"/>
    <m/>
  </r>
  <r>
    <x v="47"/>
    <n v="8"/>
    <s v="093109"/>
    <s v="李庭安"/>
    <x v="0"/>
    <m/>
  </r>
  <r>
    <x v="47"/>
    <n v="9"/>
    <s v="093110"/>
    <s v="*李珞寧"/>
    <x v="1"/>
    <m/>
  </r>
  <r>
    <x v="47"/>
    <n v="10"/>
    <s v="093111"/>
    <s v="林孟軒"/>
    <x v="0"/>
    <m/>
  </r>
  <r>
    <x v="47"/>
    <n v="11"/>
    <s v="093112"/>
    <s v="林冠勳"/>
    <x v="0"/>
    <m/>
  </r>
  <r>
    <x v="47"/>
    <n v="12"/>
    <s v="093113"/>
    <s v="林羿安"/>
    <x v="0"/>
    <m/>
  </r>
  <r>
    <x v="47"/>
    <n v="13"/>
    <s v="093114"/>
    <s v="張家齊"/>
    <x v="0"/>
    <m/>
  </r>
  <r>
    <x v="47"/>
    <n v="14"/>
    <s v="093115"/>
    <s v="梁毅揚"/>
    <x v="0"/>
    <m/>
  </r>
  <r>
    <x v="47"/>
    <n v="15"/>
    <s v="093116"/>
    <s v="莊旻錡"/>
    <x v="0"/>
    <m/>
  </r>
  <r>
    <x v="47"/>
    <n v="16"/>
    <s v="093117"/>
    <s v="許翼麟"/>
    <x v="0"/>
    <m/>
  </r>
  <r>
    <x v="47"/>
    <n v="17"/>
    <s v="093118"/>
    <s v="郭伸霆"/>
    <x v="0"/>
    <m/>
  </r>
  <r>
    <x v="47"/>
    <n v="18"/>
    <s v="093119"/>
    <s v="郭宗祐"/>
    <x v="0"/>
    <s v="體優生"/>
  </r>
  <r>
    <x v="47"/>
    <n v="19"/>
    <s v="093120"/>
    <s v="*郭芷伶"/>
    <x v="1"/>
    <m/>
  </r>
  <r>
    <x v="47"/>
    <n v="20"/>
    <s v="093121"/>
    <s v="陳垣皓"/>
    <x v="0"/>
    <m/>
  </r>
  <r>
    <x v="47"/>
    <n v="21"/>
    <s v="093122"/>
    <s v="陳彥廷"/>
    <x v="0"/>
    <s v="資源班"/>
  </r>
  <r>
    <x v="47"/>
    <n v="22"/>
    <s v="093123"/>
    <s v="陳柏樺"/>
    <x v="0"/>
    <m/>
  </r>
  <r>
    <x v="47"/>
    <n v="23"/>
    <s v="093124"/>
    <s v="陳啟恩"/>
    <x v="0"/>
    <m/>
  </r>
  <r>
    <x v="47"/>
    <n v="24"/>
    <s v="093125"/>
    <s v="陳龍月"/>
    <x v="0"/>
    <s v="資源班"/>
  </r>
  <r>
    <x v="47"/>
    <n v="25"/>
    <s v="093126"/>
    <s v="傅積韞"/>
    <x v="0"/>
    <s v="技優生"/>
  </r>
  <r>
    <x v="47"/>
    <n v="26"/>
    <s v="093127"/>
    <s v="黃子晏"/>
    <x v="0"/>
    <m/>
  </r>
  <r>
    <x v="47"/>
    <n v="27"/>
    <s v="093128"/>
    <s v="黃譯緯"/>
    <x v="0"/>
    <m/>
  </r>
  <r>
    <x v="47"/>
    <n v="28"/>
    <s v="093129"/>
    <s v="楊博惟"/>
    <x v="0"/>
    <m/>
  </r>
  <r>
    <x v="47"/>
    <n v="29"/>
    <s v="093130"/>
    <s v="綦振中"/>
    <x v="0"/>
    <m/>
  </r>
  <r>
    <x v="47"/>
    <n v="30"/>
    <s v="093131"/>
    <s v="劉仲恩"/>
    <x v="0"/>
    <m/>
  </r>
  <r>
    <x v="47"/>
    <n v="31"/>
    <s v="093132"/>
    <s v="蔡智凱"/>
    <x v="0"/>
    <m/>
  </r>
  <r>
    <x v="47"/>
    <n v="32"/>
    <s v="093133"/>
    <s v="駱詰"/>
    <x v="0"/>
    <m/>
  </r>
  <r>
    <x v="47"/>
    <n v="33"/>
    <s v="093134"/>
    <s v="鍾坤光"/>
    <x v="0"/>
    <m/>
  </r>
  <r>
    <x v="47"/>
    <n v="34"/>
    <s v="093135"/>
    <s v="顏郁昇"/>
    <x v="0"/>
    <m/>
  </r>
  <r>
    <x v="47"/>
    <n v="35"/>
    <s v="093136"/>
    <s v="羅立翔"/>
    <x v="0"/>
    <m/>
  </r>
  <r>
    <x v="47"/>
    <n v="36"/>
    <s v="093137"/>
    <s v="譚恩丞"/>
    <x v="0"/>
    <m/>
  </r>
  <r>
    <x v="47"/>
    <n v="37"/>
    <s v="083336"/>
    <s v="鍾世荃"/>
    <x v="0"/>
    <s v="復學生"/>
  </r>
  <r>
    <x v="48"/>
    <n v="1"/>
    <s v="093201"/>
    <s v="方建翔"/>
    <x v="0"/>
    <m/>
  </r>
  <r>
    <x v="48"/>
    <n v="2"/>
    <s v="093202"/>
    <s v="王柏文"/>
    <x v="0"/>
    <m/>
  </r>
  <r>
    <x v="48"/>
    <n v="3"/>
    <s v="093203"/>
    <s v="呂承洋"/>
    <x v="0"/>
    <m/>
  </r>
  <r>
    <x v="48"/>
    <n v="4"/>
    <s v="093204"/>
    <s v="宋建緯"/>
    <x v="0"/>
    <s v="資源班"/>
  </r>
  <r>
    <x v="48"/>
    <n v="5"/>
    <s v="093205"/>
    <s v="李俊憲"/>
    <x v="0"/>
    <m/>
  </r>
  <r>
    <x v="48"/>
    <n v="6"/>
    <s v="093206"/>
    <s v="李政翰"/>
    <x v="0"/>
    <m/>
  </r>
  <r>
    <x v="48"/>
    <n v="7"/>
    <s v="093207"/>
    <s v="阮致瀚"/>
    <x v="0"/>
    <m/>
  </r>
  <r>
    <x v="48"/>
    <n v="8"/>
    <s v="093208"/>
    <s v="林奕辰"/>
    <x v="0"/>
    <m/>
  </r>
  <r>
    <x v="48"/>
    <n v="9"/>
    <s v="093209"/>
    <s v="林琮皓"/>
    <x v="0"/>
    <m/>
  </r>
  <r>
    <x v="48"/>
    <n v="10"/>
    <s v="093210"/>
    <s v="*金慧娟"/>
    <x v="1"/>
    <m/>
  </r>
  <r>
    <x v="48"/>
    <n v="11"/>
    <s v="093212"/>
    <s v="徐敏皓"/>
    <x v="0"/>
    <m/>
  </r>
  <r>
    <x v="48"/>
    <n v="12"/>
    <s v="093213"/>
    <s v="殷勤文"/>
    <x v="0"/>
    <s v="資源班"/>
  </r>
  <r>
    <x v="48"/>
    <n v="13"/>
    <s v="093214"/>
    <s v="高子翔"/>
    <x v="0"/>
    <m/>
  </r>
  <r>
    <x v="48"/>
    <n v="14"/>
    <s v="093215"/>
    <s v="*高鈴舒"/>
    <x v="1"/>
    <m/>
  </r>
  <r>
    <x v="48"/>
    <n v="15"/>
    <s v="093216"/>
    <s v="張家豪"/>
    <x v="0"/>
    <m/>
  </r>
  <r>
    <x v="48"/>
    <n v="16"/>
    <s v="093217"/>
    <s v="張凱勛"/>
    <x v="0"/>
    <m/>
  </r>
  <r>
    <x v="48"/>
    <n v="17"/>
    <s v="093218"/>
    <s v="張瑞亨"/>
    <x v="0"/>
    <m/>
  </r>
  <r>
    <x v="48"/>
    <n v="18"/>
    <s v="093219"/>
    <s v="陳伯展"/>
    <x v="0"/>
    <m/>
  </r>
  <r>
    <x v="48"/>
    <n v="19"/>
    <s v="093220"/>
    <s v="陳奕安"/>
    <x v="0"/>
    <m/>
  </r>
  <r>
    <x v="48"/>
    <n v="20"/>
    <s v="093221"/>
    <s v="陳書帆"/>
    <x v="0"/>
    <m/>
  </r>
  <r>
    <x v="48"/>
    <n v="21"/>
    <s v="093222"/>
    <s v="陳勝昭"/>
    <x v="0"/>
    <m/>
  </r>
  <r>
    <x v="48"/>
    <n v="22"/>
    <s v="093223"/>
    <s v="陳煜昇"/>
    <x v="0"/>
    <m/>
  </r>
  <r>
    <x v="48"/>
    <n v="23"/>
    <s v="093224"/>
    <s v="陳潤新"/>
    <x v="0"/>
    <m/>
  </r>
  <r>
    <x v="48"/>
    <n v="24"/>
    <s v="093225"/>
    <s v="游立齊"/>
    <x v="0"/>
    <s v="資源班"/>
  </r>
  <r>
    <x v="48"/>
    <n v="25"/>
    <s v="093226"/>
    <s v="黃上銘"/>
    <x v="0"/>
    <s v="技優生"/>
  </r>
  <r>
    <x v="48"/>
    <n v="26"/>
    <s v="093227"/>
    <s v="黃靖軒"/>
    <x v="0"/>
    <m/>
  </r>
  <r>
    <x v="48"/>
    <n v="27"/>
    <s v="093228"/>
    <s v="黃霆宇"/>
    <x v="0"/>
    <s v="資源班"/>
  </r>
  <r>
    <x v="48"/>
    <n v="28"/>
    <s v="093229"/>
    <s v="楊森皓"/>
    <x v="0"/>
    <m/>
  </r>
  <r>
    <x v="48"/>
    <n v="29"/>
    <s v="093230"/>
    <s v="詹鈞瑋"/>
    <x v="0"/>
    <m/>
  </r>
  <r>
    <x v="48"/>
    <n v="30"/>
    <s v="093231"/>
    <s v="趙宇傑"/>
    <x v="0"/>
    <m/>
  </r>
  <r>
    <x v="48"/>
    <n v="31"/>
    <s v="093232"/>
    <s v="劉宣圻"/>
    <x v="0"/>
    <m/>
  </r>
  <r>
    <x v="48"/>
    <n v="32"/>
    <s v="093233"/>
    <s v="蔡泓霖"/>
    <x v="0"/>
    <m/>
  </r>
  <r>
    <x v="48"/>
    <n v="33"/>
    <s v="093234"/>
    <s v="鄭兆甫"/>
    <x v="0"/>
    <m/>
  </r>
  <r>
    <x v="48"/>
    <n v="34"/>
    <s v="093235"/>
    <s v="簡捷"/>
    <x v="0"/>
    <m/>
  </r>
  <r>
    <x v="48"/>
    <n v="35"/>
    <s v="093236"/>
    <s v="*魏愛妮"/>
    <x v="1"/>
    <m/>
  </r>
  <r>
    <x v="48"/>
    <n v="36"/>
    <s v="093237"/>
    <s v="羅睿宏"/>
    <x v="0"/>
    <m/>
  </r>
  <r>
    <x v="48"/>
    <n v="37"/>
    <s v="073315"/>
    <s v="孫侑成"/>
    <x v="0"/>
    <s v="復學生"/>
  </r>
  <r>
    <x v="49"/>
    <n v="1"/>
    <s v="093301"/>
    <s v="王柏文"/>
    <x v="0"/>
    <m/>
  </r>
  <r>
    <x v="49"/>
    <n v="2"/>
    <s v="093302"/>
    <s v="王毓壕"/>
    <x v="0"/>
    <m/>
  </r>
  <r>
    <x v="49"/>
    <n v="3"/>
    <s v="093303"/>
    <s v="王維德"/>
    <x v="0"/>
    <m/>
  </r>
  <r>
    <x v="49"/>
    <n v="4"/>
    <s v="093305"/>
    <s v="古晨佑"/>
    <x v="0"/>
    <m/>
  </r>
  <r>
    <x v="49"/>
    <n v="5"/>
    <s v="093306"/>
    <s v="江勁杰"/>
    <x v="0"/>
    <s v="資源班"/>
  </r>
  <r>
    <x v="49"/>
    <n v="6"/>
    <s v="093307"/>
    <s v="吳李謙"/>
    <x v="0"/>
    <m/>
  </r>
  <r>
    <x v="49"/>
    <n v="7"/>
    <s v="093308"/>
    <s v="卓奕碩"/>
    <x v="0"/>
    <s v="資源班"/>
  </r>
  <r>
    <x v="49"/>
    <n v="8"/>
    <s v="093309"/>
    <s v="明士軒"/>
    <x v="0"/>
    <m/>
  </r>
  <r>
    <x v="49"/>
    <n v="9"/>
    <s v="093310"/>
    <s v="林瑋智"/>
    <x v="0"/>
    <m/>
  </r>
  <r>
    <x v="49"/>
    <n v="10"/>
    <s v="093311"/>
    <s v="洪糠翔"/>
    <x v="0"/>
    <m/>
  </r>
  <r>
    <x v="49"/>
    <n v="11"/>
    <s v="093312"/>
    <s v="胡永勝"/>
    <x v="0"/>
    <m/>
  </r>
  <r>
    <x v="49"/>
    <n v="12"/>
    <s v="093313"/>
    <s v="徐梓傑"/>
    <x v="0"/>
    <m/>
  </r>
  <r>
    <x v="49"/>
    <n v="13"/>
    <s v="093314"/>
    <s v="秦梓晏"/>
    <x v="0"/>
    <m/>
  </r>
  <r>
    <x v="49"/>
    <n v="14"/>
    <s v="093315"/>
    <s v="*高涵畇"/>
    <x v="1"/>
    <m/>
  </r>
  <r>
    <x v="49"/>
    <n v="15"/>
    <s v="093316"/>
    <s v="張世楷"/>
    <x v="0"/>
    <s v="技優生"/>
  </r>
  <r>
    <x v="49"/>
    <n v="16"/>
    <s v="093317"/>
    <s v="張哲綸"/>
    <x v="0"/>
    <m/>
  </r>
  <r>
    <x v="49"/>
    <n v="17"/>
    <s v="093318"/>
    <s v="張晁銜"/>
    <x v="0"/>
    <m/>
  </r>
  <r>
    <x v="49"/>
    <n v="18"/>
    <s v="093319"/>
    <s v="許晨維"/>
    <x v="0"/>
    <s v="技優生"/>
  </r>
  <r>
    <x v="49"/>
    <n v="19"/>
    <s v="093321"/>
    <s v="陳柏宇"/>
    <x v="0"/>
    <m/>
  </r>
  <r>
    <x v="49"/>
    <n v="20"/>
    <s v="093322"/>
    <s v="陳益宏"/>
    <x v="0"/>
    <m/>
  </r>
  <r>
    <x v="49"/>
    <n v="21"/>
    <s v="093323"/>
    <s v="陳暐丞"/>
    <x v="0"/>
    <s v="資源班"/>
  </r>
  <r>
    <x v="49"/>
    <n v="22"/>
    <s v="093324"/>
    <s v="陳駿逸"/>
    <x v="0"/>
    <m/>
  </r>
  <r>
    <x v="49"/>
    <n v="23"/>
    <s v="093325"/>
    <s v="陶榮蓁"/>
    <x v="0"/>
    <m/>
  </r>
  <r>
    <x v="49"/>
    <n v="24"/>
    <s v="093326"/>
    <s v="湯御賢"/>
    <x v="0"/>
    <m/>
  </r>
  <r>
    <x v="49"/>
    <n v="25"/>
    <s v="093327"/>
    <s v="閔子豪"/>
    <x v="0"/>
    <m/>
  </r>
  <r>
    <x v="49"/>
    <n v="26"/>
    <s v="093328"/>
    <s v="黃詳閔"/>
    <x v="0"/>
    <m/>
  </r>
  <r>
    <x v="49"/>
    <n v="27"/>
    <s v="093329"/>
    <s v="楊家碩"/>
    <x v="0"/>
    <m/>
  </r>
  <r>
    <x v="49"/>
    <n v="28"/>
    <s v="093330"/>
    <s v="廖泓博"/>
    <x v="0"/>
    <m/>
  </r>
  <r>
    <x v="49"/>
    <n v="29"/>
    <s v="093331"/>
    <s v="廖昱勝"/>
    <x v="0"/>
    <m/>
  </r>
  <r>
    <x v="49"/>
    <n v="30"/>
    <s v="093332"/>
    <s v="劉叡霖"/>
    <x v="0"/>
    <m/>
  </r>
  <r>
    <x v="49"/>
    <n v="31"/>
    <s v="093333"/>
    <s v="蔡智丞"/>
    <x v="0"/>
    <m/>
  </r>
  <r>
    <x v="49"/>
    <n v="32"/>
    <s v="093334"/>
    <s v="鄭宇哲"/>
    <x v="0"/>
    <m/>
  </r>
  <r>
    <x v="49"/>
    <n v="33"/>
    <s v="093335"/>
    <s v="藍浩庭"/>
    <x v="0"/>
    <m/>
  </r>
  <r>
    <x v="49"/>
    <n v="34"/>
    <s v="093336"/>
    <s v="*顏詠婕"/>
    <x v="1"/>
    <m/>
  </r>
  <r>
    <x v="49"/>
    <n v="35"/>
    <s v="093337"/>
    <s v="蘇冠丞"/>
    <x v="0"/>
    <m/>
  </r>
  <r>
    <x v="49"/>
    <n v="36"/>
    <s v="083111"/>
    <s v="林儀和"/>
    <x v="0"/>
    <s v="復學生"/>
  </r>
  <r>
    <x v="50"/>
    <n v="1"/>
    <s v="094101"/>
    <s v="*江舒妮"/>
    <x v="1"/>
    <m/>
  </r>
  <r>
    <x v="50"/>
    <n v="2"/>
    <s v="094102"/>
    <s v="吳育安"/>
    <x v="0"/>
    <m/>
  </r>
  <r>
    <x v="50"/>
    <n v="3"/>
    <s v="094103"/>
    <s v="吳承恩"/>
    <x v="0"/>
    <m/>
  </r>
  <r>
    <x v="50"/>
    <n v="4"/>
    <s v="094104"/>
    <s v="呂子安"/>
    <x v="0"/>
    <m/>
  </r>
  <r>
    <x v="50"/>
    <n v="5"/>
    <s v="094105"/>
    <s v="呂宗峻"/>
    <x v="0"/>
    <m/>
  </r>
  <r>
    <x v="50"/>
    <n v="6"/>
    <s v="094107"/>
    <s v="李振嘉"/>
    <x v="0"/>
    <m/>
  </r>
  <r>
    <x v="50"/>
    <n v="7"/>
    <s v="094108"/>
    <s v="周仕勛"/>
    <x v="0"/>
    <m/>
  </r>
  <r>
    <x v="50"/>
    <n v="8"/>
    <s v="094109"/>
    <s v="林士恩"/>
    <x v="0"/>
    <m/>
  </r>
  <r>
    <x v="50"/>
    <n v="9"/>
    <s v="094110"/>
    <s v="林庭緯"/>
    <x v="0"/>
    <m/>
  </r>
  <r>
    <x v="50"/>
    <n v="10"/>
    <s v="094111"/>
    <s v="徐紹睿"/>
    <x v="0"/>
    <s v="資源班"/>
  </r>
  <r>
    <x v="50"/>
    <n v="11"/>
    <s v="094113"/>
    <s v="馬琯鈞"/>
    <x v="0"/>
    <m/>
  </r>
  <r>
    <x v="50"/>
    <n v="12"/>
    <s v="094114"/>
    <s v="高暐喆"/>
    <x v="0"/>
    <m/>
  </r>
  <r>
    <x v="50"/>
    <n v="13"/>
    <s v="094115"/>
    <s v="張育愷"/>
    <x v="0"/>
    <m/>
  </r>
  <r>
    <x v="50"/>
    <n v="14"/>
    <s v="094116"/>
    <s v="張詠博"/>
    <x v="0"/>
    <m/>
  </r>
  <r>
    <x v="50"/>
    <n v="15"/>
    <s v="094117"/>
    <s v="郭宗穎"/>
    <x v="0"/>
    <m/>
  </r>
  <r>
    <x v="50"/>
    <n v="16"/>
    <s v="094118"/>
    <s v="郭昊宸"/>
    <x v="0"/>
    <m/>
  </r>
  <r>
    <x v="50"/>
    <n v="17"/>
    <s v="094119"/>
    <s v="陳武宸"/>
    <x v="0"/>
    <m/>
  </r>
  <r>
    <x v="50"/>
    <n v="18"/>
    <s v="094120"/>
    <s v="陳炯維"/>
    <x v="0"/>
    <m/>
  </r>
  <r>
    <x v="50"/>
    <n v="19"/>
    <s v="094121"/>
    <s v="彭培緯"/>
    <x v="0"/>
    <m/>
  </r>
  <r>
    <x v="50"/>
    <n v="20"/>
    <s v="094122"/>
    <s v="曾子軒"/>
    <x v="0"/>
    <m/>
  </r>
  <r>
    <x v="50"/>
    <n v="21"/>
    <s v="094123"/>
    <s v="*黃湘芸"/>
    <x v="1"/>
    <m/>
  </r>
  <r>
    <x v="50"/>
    <n v="22"/>
    <s v="094124"/>
    <s v="楊可晨"/>
    <x v="0"/>
    <m/>
  </r>
  <r>
    <x v="50"/>
    <n v="23"/>
    <s v="094125"/>
    <s v="楊立承"/>
    <x v="0"/>
    <m/>
  </r>
  <r>
    <x v="50"/>
    <n v="24"/>
    <s v="094126"/>
    <s v="楊易霖"/>
    <x v="0"/>
    <m/>
  </r>
  <r>
    <x v="50"/>
    <n v="25"/>
    <s v="094127"/>
    <s v="趙邑軒"/>
    <x v="0"/>
    <m/>
  </r>
  <r>
    <x v="50"/>
    <n v="26"/>
    <s v="094129"/>
    <s v="賴冠成"/>
    <x v="0"/>
    <m/>
  </r>
  <r>
    <x v="50"/>
    <n v="27"/>
    <s v="094130"/>
    <s v="謝啓楊"/>
    <x v="0"/>
    <m/>
  </r>
  <r>
    <x v="50"/>
    <n v="28"/>
    <s v="094131"/>
    <s v="鍾濠丞"/>
    <x v="0"/>
    <m/>
  </r>
  <r>
    <x v="50"/>
    <n v="29"/>
    <s v="094132"/>
    <s v="*蘇恩柔"/>
    <x v="1"/>
    <m/>
  </r>
  <r>
    <x v="50"/>
    <n v="30"/>
    <s v="084126"/>
    <s v="黃靖崴"/>
    <x v="0"/>
    <s v="復學生"/>
  </r>
  <r>
    <x v="51"/>
    <n v="1"/>
    <s v="094201"/>
    <s v="王柏諭"/>
    <x v="0"/>
    <m/>
  </r>
  <r>
    <x v="51"/>
    <n v="2"/>
    <s v="094202"/>
    <s v="王若宇"/>
    <x v="0"/>
    <m/>
  </r>
  <r>
    <x v="51"/>
    <n v="3"/>
    <s v="094203"/>
    <s v="石軒宇"/>
    <x v="0"/>
    <m/>
  </r>
  <r>
    <x v="51"/>
    <n v="4"/>
    <s v="094204"/>
    <s v="朱彥宇"/>
    <x v="0"/>
    <m/>
  </r>
  <r>
    <x v="51"/>
    <n v="5"/>
    <s v="094205"/>
    <s v="江紹愷"/>
    <x v="0"/>
    <s v="更名"/>
  </r>
  <r>
    <x v="51"/>
    <n v="6"/>
    <s v="094207"/>
    <s v="吳道生"/>
    <x v="0"/>
    <m/>
  </r>
  <r>
    <x v="51"/>
    <n v="7"/>
    <s v="094209"/>
    <s v="杜丞翔"/>
    <x v="0"/>
    <m/>
  </r>
  <r>
    <x v="51"/>
    <n v="8"/>
    <s v="094210"/>
    <s v="林展逸"/>
    <x v="0"/>
    <m/>
  </r>
  <r>
    <x v="51"/>
    <n v="9"/>
    <s v="094211"/>
    <s v="施智文"/>
    <x v="0"/>
    <s v="資源班"/>
  </r>
  <r>
    <x v="51"/>
    <n v="10"/>
    <s v="094212"/>
    <s v="洪丞志"/>
    <x v="0"/>
    <m/>
  </r>
  <r>
    <x v="51"/>
    <n v="11"/>
    <s v="094213"/>
    <s v="范少齊"/>
    <x v="0"/>
    <m/>
  </r>
  <r>
    <x v="51"/>
    <n v="12"/>
    <s v="094215"/>
    <s v="*章椀雁"/>
    <x v="1"/>
    <m/>
  </r>
  <r>
    <x v="51"/>
    <n v="13"/>
    <s v="094216"/>
    <s v="陳立軒"/>
    <x v="0"/>
    <m/>
  </r>
  <r>
    <x v="51"/>
    <n v="14"/>
    <s v="094217"/>
    <s v="陳冠宇"/>
    <x v="0"/>
    <m/>
  </r>
  <r>
    <x v="51"/>
    <n v="15"/>
    <s v="094218"/>
    <s v="陳冠昀"/>
    <x v="0"/>
    <m/>
  </r>
  <r>
    <x v="51"/>
    <n v="16"/>
    <s v="094220"/>
    <s v="*陳筠宣"/>
    <x v="1"/>
    <m/>
  </r>
  <r>
    <x v="51"/>
    <n v="17"/>
    <s v="094221"/>
    <s v="黄泰鈞"/>
    <x v="0"/>
    <m/>
  </r>
  <r>
    <x v="51"/>
    <n v="18"/>
    <s v="094222"/>
    <s v="黃宥翔"/>
    <x v="0"/>
    <m/>
  </r>
  <r>
    <x v="51"/>
    <n v="19"/>
    <s v="094223"/>
    <s v="黃晨祐"/>
    <x v="0"/>
    <m/>
  </r>
  <r>
    <x v="51"/>
    <n v="20"/>
    <s v="094224"/>
    <s v="黃凱群"/>
    <x v="0"/>
    <m/>
  </r>
  <r>
    <x v="51"/>
    <n v="21"/>
    <s v="094225"/>
    <s v="楊杰恩"/>
    <x v="0"/>
    <m/>
  </r>
  <r>
    <x v="51"/>
    <n v="22"/>
    <s v="094226"/>
    <s v="楊秉宸"/>
    <x v="0"/>
    <m/>
  </r>
  <r>
    <x v="51"/>
    <n v="23"/>
    <s v="094227"/>
    <s v="潘思佑"/>
    <x v="0"/>
    <m/>
  </r>
  <r>
    <x v="51"/>
    <n v="24"/>
    <s v="094228"/>
    <s v="蔡毅"/>
    <x v="0"/>
    <m/>
  </r>
  <r>
    <x v="51"/>
    <n v="25"/>
    <s v="094229"/>
    <s v="蔣昌哲"/>
    <x v="0"/>
    <m/>
  </r>
  <r>
    <x v="51"/>
    <n v="26"/>
    <s v="094230"/>
    <s v="鄭超榮"/>
    <x v="0"/>
    <s v="技優生"/>
  </r>
  <r>
    <x v="51"/>
    <n v="27"/>
    <s v="094231"/>
    <s v="*蕭昱糖"/>
    <x v="1"/>
    <m/>
  </r>
  <r>
    <x v="51"/>
    <n v="28"/>
    <s v="094232"/>
    <s v="*闕妤容"/>
    <x v="1"/>
    <m/>
  </r>
  <r>
    <x v="51"/>
    <n v="29"/>
    <s v="094233"/>
    <s v="曾國揚"/>
    <x v="0"/>
    <s v="轉學生"/>
  </r>
  <r>
    <x v="52"/>
    <n v="1"/>
    <s v="095101"/>
    <s v="王宇豪"/>
    <x v="0"/>
    <m/>
  </r>
  <r>
    <x v="52"/>
    <n v="2"/>
    <s v="095102"/>
    <s v="王凱泰"/>
    <x v="0"/>
    <m/>
  </r>
  <r>
    <x v="52"/>
    <n v="3"/>
    <s v="095103"/>
    <s v="吳昕陽"/>
    <x v="0"/>
    <m/>
  </r>
  <r>
    <x v="52"/>
    <n v="4"/>
    <s v="095104"/>
    <s v="吳柏翰"/>
    <x v="0"/>
    <m/>
  </r>
  <r>
    <x v="52"/>
    <n v="5"/>
    <s v="095105"/>
    <s v="李宥德"/>
    <x v="0"/>
    <s v="資源班"/>
  </r>
  <r>
    <x v="52"/>
    <n v="6"/>
    <s v="095106"/>
    <s v="李凱智"/>
    <x v="0"/>
    <m/>
  </r>
  <r>
    <x v="52"/>
    <n v="7"/>
    <s v="095107"/>
    <s v="周冠維"/>
    <x v="0"/>
    <m/>
  </r>
  <r>
    <x v="52"/>
    <n v="8"/>
    <s v="095109"/>
    <s v="林宇風"/>
    <x v="0"/>
    <m/>
  </r>
  <r>
    <x v="52"/>
    <n v="9"/>
    <s v="095110"/>
    <s v="林均豐"/>
    <x v="0"/>
    <m/>
  </r>
  <r>
    <x v="52"/>
    <n v="10"/>
    <s v="095111"/>
    <s v="林晉丞"/>
    <x v="0"/>
    <m/>
  </r>
  <r>
    <x v="52"/>
    <n v="11"/>
    <s v="095113"/>
    <s v="康清颺"/>
    <x v="0"/>
    <m/>
  </r>
  <r>
    <x v="52"/>
    <n v="12"/>
    <s v="095114"/>
    <s v="郭又豪"/>
    <x v="0"/>
    <m/>
  </r>
  <r>
    <x v="52"/>
    <n v="13"/>
    <s v="095115"/>
    <s v="陳元珏"/>
    <x v="0"/>
    <m/>
  </r>
  <r>
    <x v="52"/>
    <n v="14"/>
    <s v="095116"/>
    <s v="陳彥綸"/>
    <x v="0"/>
    <m/>
  </r>
  <r>
    <x v="52"/>
    <n v="15"/>
    <s v="095117"/>
    <s v="陳崇硯"/>
    <x v="0"/>
    <m/>
  </r>
  <r>
    <x v="52"/>
    <n v="16"/>
    <s v="095119"/>
    <s v="陳贊森"/>
    <x v="0"/>
    <m/>
  </r>
  <r>
    <x v="52"/>
    <n v="17"/>
    <s v="095121"/>
    <s v="黃旻陞"/>
    <x v="0"/>
    <m/>
  </r>
  <r>
    <x v="52"/>
    <n v="18"/>
    <s v="095122"/>
    <s v="黃彥祥"/>
    <x v="0"/>
    <m/>
  </r>
  <r>
    <x v="52"/>
    <n v="19"/>
    <s v="095123"/>
    <s v="黃洺仲"/>
    <x v="0"/>
    <m/>
  </r>
  <r>
    <x v="52"/>
    <n v="20"/>
    <s v="095124"/>
    <s v="黃詠傑"/>
    <x v="0"/>
    <m/>
  </r>
  <r>
    <x v="52"/>
    <n v="21"/>
    <s v="095125"/>
    <s v="廖丙富"/>
    <x v="0"/>
    <s v="體優生"/>
  </r>
  <r>
    <x v="52"/>
    <n v="22"/>
    <s v="095126"/>
    <s v="廖佑恩"/>
    <x v="0"/>
    <m/>
  </r>
  <r>
    <x v="52"/>
    <n v="23"/>
    <s v="095127"/>
    <s v="劉育劭"/>
    <x v="0"/>
    <s v="體優生"/>
  </r>
  <r>
    <x v="52"/>
    <n v="24"/>
    <s v="095128"/>
    <s v="劉信緯"/>
    <x v="0"/>
    <m/>
  </r>
  <r>
    <x v="52"/>
    <n v="25"/>
    <s v="095129"/>
    <s v="慕全翔"/>
    <x v="0"/>
    <m/>
  </r>
  <r>
    <x v="52"/>
    <n v="26"/>
    <s v="095130"/>
    <s v="練建輝"/>
    <x v="0"/>
    <m/>
  </r>
  <r>
    <x v="52"/>
    <n v="27"/>
    <s v="095131"/>
    <s v="蔡沛辰"/>
    <x v="0"/>
    <m/>
  </r>
  <r>
    <x v="52"/>
    <n v="28"/>
    <s v="095132"/>
    <s v="蔡宗霖"/>
    <x v="0"/>
    <s v="體優生"/>
  </r>
  <r>
    <x v="52"/>
    <n v="29"/>
    <s v="095134"/>
    <s v="鄧永廷"/>
    <x v="0"/>
    <m/>
  </r>
  <r>
    <x v="52"/>
    <n v="30"/>
    <s v="095135"/>
    <s v="盧冠智"/>
    <x v="0"/>
    <m/>
  </r>
  <r>
    <x v="52"/>
    <n v="31"/>
    <s v="095136"/>
    <s v="張喻傑"/>
    <x v="0"/>
    <s v="轉學生"/>
  </r>
  <r>
    <x v="53"/>
    <n v="1"/>
    <s v="095201"/>
    <s v="江信霆"/>
    <x v="0"/>
    <m/>
  </r>
  <r>
    <x v="53"/>
    <n v="2"/>
    <s v="095202"/>
    <s v="江柏霖"/>
    <x v="0"/>
    <m/>
  </r>
  <r>
    <x v="53"/>
    <n v="3"/>
    <s v="095203"/>
    <s v="*何承澄"/>
    <x v="1"/>
    <m/>
  </r>
  <r>
    <x v="53"/>
    <n v="4"/>
    <s v="095205"/>
    <s v="吳冠毅"/>
    <x v="0"/>
    <m/>
  </r>
  <r>
    <x v="53"/>
    <n v="5"/>
    <s v="095206"/>
    <s v="吳柏叡"/>
    <x v="0"/>
    <m/>
  </r>
  <r>
    <x v="53"/>
    <n v="6"/>
    <s v="095207"/>
    <s v="吳晉翔"/>
    <x v="0"/>
    <m/>
  </r>
  <r>
    <x v="53"/>
    <n v="7"/>
    <s v="095208"/>
    <s v="沈泓宇"/>
    <x v="0"/>
    <m/>
  </r>
  <r>
    <x v="53"/>
    <n v="8"/>
    <s v="095209"/>
    <s v="周玹德"/>
    <x v="0"/>
    <s v="資源班"/>
  </r>
  <r>
    <x v="53"/>
    <n v="9"/>
    <s v="095210"/>
    <s v="周義訓"/>
    <x v="0"/>
    <m/>
  </r>
  <r>
    <x v="53"/>
    <n v="10"/>
    <s v="095211"/>
    <s v="易加恩"/>
    <x v="0"/>
    <m/>
  </r>
  <r>
    <x v="53"/>
    <n v="11"/>
    <s v="095212"/>
    <s v="*林宜潔"/>
    <x v="1"/>
    <m/>
  </r>
  <r>
    <x v="53"/>
    <n v="12"/>
    <s v="095213"/>
    <s v="林穎昊"/>
    <x v="0"/>
    <s v="原住民"/>
  </r>
  <r>
    <x v="53"/>
    <n v="13"/>
    <s v="095214"/>
    <s v="邱柏翔"/>
    <x v="0"/>
    <m/>
  </r>
  <r>
    <x v="53"/>
    <n v="14"/>
    <s v="095215"/>
    <s v="徐士宸"/>
    <x v="0"/>
    <m/>
  </r>
  <r>
    <x v="53"/>
    <n v="15"/>
    <s v="095216"/>
    <s v="張元溢"/>
    <x v="0"/>
    <m/>
  </r>
  <r>
    <x v="53"/>
    <n v="16"/>
    <s v="095218"/>
    <s v="陳昊晨"/>
    <x v="0"/>
    <m/>
  </r>
  <r>
    <x v="53"/>
    <n v="17"/>
    <s v="095219"/>
    <s v="陳奎延"/>
    <x v="0"/>
    <m/>
  </r>
  <r>
    <x v="53"/>
    <n v="18"/>
    <s v="095221"/>
    <s v="陳軒緯"/>
    <x v="0"/>
    <m/>
  </r>
  <r>
    <x v="53"/>
    <n v="19"/>
    <s v="095222"/>
    <s v="彭聖軒"/>
    <x v="0"/>
    <m/>
  </r>
  <r>
    <x v="53"/>
    <n v="20"/>
    <s v="095223"/>
    <s v="*黃品寧"/>
    <x v="1"/>
    <m/>
  </r>
  <r>
    <x v="53"/>
    <n v="21"/>
    <s v="095224"/>
    <s v="黃維宏"/>
    <x v="0"/>
    <m/>
  </r>
  <r>
    <x v="53"/>
    <n v="22"/>
    <s v="095225"/>
    <s v="楊賀丞"/>
    <x v="0"/>
    <m/>
  </r>
  <r>
    <x v="53"/>
    <n v="23"/>
    <s v="095226"/>
    <s v="詹奇維"/>
    <x v="0"/>
    <m/>
  </r>
  <r>
    <x v="53"/>
    <n v="24"/>
    <s v="095227"/>
    <s v="廖秉睿"/>
    <x v="0"/>
    <m/>
  </r>
  <r>
    <x v="53"/>
    <n v="25"/>
    <s v="095228"/>
    <s v="劉宥慶"/>
    <x v="0"/>
    <m/>
  </r>
  <r>
    <x v="53"/>
    <n v="26"/>
    <s v="095229"/>
    <s v="劉晉愷"/>
    <x v="0"/>
    <m/>
  </r>
  <r>
    <x v="53"/>
    <n v="27"/>
    <s v="095231"/>
    <s v="蔡閔翔"/>
    <x v="0"/>
    <m/>
  </r>
  <r>
    <x v="53"/>
    <n v="28"/>
    <s v="095232"/>
    <s v="蔡瑋丞"/>
    <x v="0"/>
    <m/>
  </r>
  <r>
    <x v="53"/>
    <n v="29"/>
    <s v="095233"/>
    <s v="蕭宇哲"/>
    <x v="0"/>
    <m/>
  </r>
  <r>
    <x v="53"/>
    <n v="30"/>
    <s v="095234"/>
    <s v="謝承翰"/>
    <x v="0"/>
    <m/>
  </r>
  <r>
    <x v="53"/>
    <n v="31"/>
    <s v="095235"/>
    <s v="羅元柏"/>
    <x v="0"/>
    <s v="技優生"/>
  </r>
  <r>
    <x v="54"/>
    <n v="1"/>
    <s v="098101"/>
    <s v="*于文慈"/>
    <x v="1"/>
    <m/>
  </r>
  <r>
    <x v="54"/>
    <n v="2"/>
    <s v="098102"/>
    <s v="王翼崴"/>
    <x v="0"/>
    <m/>
  </r>
  <r>
    <x v="54"/>
    <n v="3"/>
    <s v="098104"/>
    <s v="官宗德"/>
    <x v="0"/>
    <m/>
  </r>
  <r>
    <x v="54"/>
    <n v="4"/>
    <s v="098105"/>
    <s v="林耘"/>
    <x v="0"/>
    <m/>
  </r>
  <r>
    <x v="54"/>
    <n v="5"/>
    <s v="098106"/>
    <s v="*林熙恩"/>
    <x v="1"/>
    <m/>
  </r>
  <r>
    <x v="54"/>
    <n v="6"/>
    <s v="098107"/>
    <s v="*林誼臻"/>
    <x v="1"/>
    <m/>
  </r>
  <r>
    <x v="54"/>
    <n v="7"/>
    <s v="098108"/>
    <s v="洪法"/>
    <x v="0"/>
    <m/>
  </r>
  <r>
    <x v="54"/>
    <n v="8"/>
    <s v="098109"/>
    <s v="徐立恩"/>
    <x v="0"/>
    <m/>
  </r>
  <r>
    <x v="54"/>
    <n v="9"/>
    <s v="098110"/>
    <s v="秦得善"/>
    <x v="0"/>
    <m/>
  </r>
  <r>
    <x v="54"/>
    <n v="10"/>
    <s v="098111"/>
    <s v="*高渝棻"/>
    <x v="1"/>
    <s v="體優生"/>
  </r>
  <r>
    <x v="54"/>
    <n v="11"/>
    <s v="098112"/>
    <s v="*高雅萍"/>
    <x v="1"/>
    <s v="體優生"/>
  </r>
  <r>
    <x v="54"/>
    <n v="12"/>
    <s v="098113"/>
    <s v="張冠霖"/>
    <x v="0"/>
    <m/>
  </r>
  <r>
    <x v="54"/>
    <n v="13"/>
    <s v="098114"/>
    <s v="*張珈瑄"/>
    <x v="1"/>
    <m/>
  </r>
  <r>
    <x v="54"/>
    <n v="14"/>
    <s v="098115"/>
    <s v="莊韋哲"/>
    <x v="0"/>
    <m/>
  </r>
  <r>
    <x v="54"/>
    <n v="15"/>
    <s v="098116"/>
    <s v="許璿麟"/>
    <x v="0"/>
    <m/>
  </r>
  <r>
    <x v="54"/>
    <n v="16"/>
    <s v="098117"/>
    <s v="*郭又瑄"/>
    <x v="1"/>
    <m/>
  </r>
  <r>
    <x v="54"/>
    <n v="17"/>
    <s v="098118"/>
    <s v="*陳俞彤"/>
    <x v="1"/>
    <m/>
  </r>
  <r>
    <x v="54"/>
    <n v="18"/>
    <s v="098119"/>
    <s v="*陳品妤"/>
    <x v="1"/>
    <m/>
  </r>
  <r>
    <x v="54"/>
    <n v="19"/>
    <s v="098120"/>
    <s v="*陳宥婕"/>
    <x v="1"/>
    <m/>
  </r>
  <r>
    <x v="54"/>
    <n v="20"/>
    <s v="098121"/>
    <s v="陳竑宇"/>
    <x v="0"/>
    <s v="資源班"/>
  </r>
  <r>
    <x v="54"/>
    <n v="21"/>
    <s v="098122"/>
    <s v="*游采諠"/>
    <x v="1"/>
    <m/>
  </r>
  <r>
    <x v="54"/>
    <n v="22"/>
    <s v="098123"/>
    <s v="*黃郁庭"/>
    <x v="1"/>
    <m/>
  </r>
  <r>
    <x v="54"/>
    <n v="23"/>
    <s v="098124"/>
    <s v="*葉亞諭"/>
    <x v="1"/>
    <m/>
  </r>
  <r>
    <x v="54"/>
    <n v="24"/>
    <s v="098125"/>
    <s v="*葉晴"/>
    <x v="1"/>
    <m/>
  </r>
  <r>
    <x v="54"/>
    <n v="25"/>
    <s v="098126"/>
    <s v="*劉思妤"/>
    <x v="1"/>
    <m/>
  </r>
  <r>
    <x v="54"/>
    <n v="26"/>
    <s v="098127"/>
    <s v="*蔡雨蒨"/>
    <x v="1"/>
    <m/>
  </r>
  <r>
    <x v="54"/>
    <n v="27"/>
    <s v="098128"/>
    <s v="*蔡譯徵"/>
    <x v="1"/>
    <m/>
  </r>
  <r>
    <x v="54"/>
    <n v="28"/>
    <s v="098129"/>
    <s v="鄭楓吾"/>
    <x v="0"/>
    <m/>
  </r>
  <r>
    <x v="54"/>
    <n v="29"/>
    <s v="098130"/>
    <s v="*謝昕佑"/>
    <x v="1"/>
    <m/>
  </r>
  <r>
    <x v="54"/>
    <n v="30"/>
    <s v="098131"/>
    <s v="*謝陳緣"/>
    <x v="1"/>
    <m/>
  </r>
  <r>
    <x v="54"/>
    <n v="31"/>
    <s v="098133"/>
    <s v="*顧采妮"/>
    <x v="1"/>
    <m/>
  </r>
  <r>
    <x v="54"/>
    <n v="32"/>
    <s v="088110"/>
    <s v="李毅駒"/>
    <x v="0"/>
    <s v="復學生"/>
  </r>
  <r>
    <x v="55"/>
    <n v="1"/>
    <s v="098201"/>
    <s v="*王淨儀"/>
    <x v="1"/>
    <m/>
  </r>
  <r>
    <x v="55"/>
    <n v="2"/>
    <s v="098202"/>
    <s v="*何昕庭"/>
    <x v="1"/>
    <m/>
  </r>
  <r>
    <x v="55"/>
    <n v="3"/>
    <s v="098203"/>
    <s v="余詹焯"/>
    <x v="0"/>
    <m/>
  </r>
  <r>
    <x v="55"/>
    <n v="4"/>
    <s v="098204"/>
    <s v="李冠宏"/>
    <x v="0"/>
    <m/>
  </r>
  <r>
    <x v="55"/>
    <n v="5"/>
    <s v="098205"/>
    <s v="*李家秀"/>
    <x v="1"/>
    <m/>
  </r>
  <r>
    <x v="55"/>
    <n v="6"/>
    <s v="098207"/>
    <s v="*林心宜"/>
    <x v="1"/>
    <s v="原住民"/>
  </r>
  <r>
    <x v="55"/>
    <n v="7"/>
    <s v="098208"/>
    <s v="林立宏"/>
    <x v="0"/>
    <m/>
  </r>
  <r>
    <x v="55"/>
    <n v="8"/>
    <s v="098209"/>
    <s v="*凌聿力"/>
    <x v="1"/>
    <m/>
  </r>
  <r>
    <x v="55"/>
    <n v="9"/>
    <s v="098210"/>
    <s v="*徐妤華"/>
    <x v="1"/>
    <m/>
  </r>
  <r>
    <x v="55"/>
    <n v="10"/>
    <s v="098211"/>
    <s v="*翁郁捷"/>
    <x v="1"/>
    <m/>
  </r>
  <r>
    <x v="55"/>
    <n v="11"/>
    <s v="098212"/>
    <s v="*馬采云"/>
    <x v="1"/>
    <m/>
  </r>
  <r>
    <x v="55"/>
    <n v="12"/>
    <s v="098213"/>
    <s v="馬瑋浩"/>
    <x v="0"/>
    <m/>
  </r>
  <r>
    <x v="55"/>
    <n v="13"/>
    <s v="098215"/>
    <s v="張宏諺"/>
    <x v="0"/>
    <m/>
  </r>
  <r>
    <x v="55"/>
    <n v="14"/>
    <s v="098216"/>
    <s v="*張詠絜"/>
    <x v="1"/>
    <m/>
  </r>
  <r>
    <x v="55"/>
    <n v="15"/>
    <s v="098217"/>
    <s v="*張瑀庭"/>
    <x v="1"/>
    <s v="資源班"/>
  </r>
  <r>
    <x v="55"/>
    <n v="16"/>
    <s v="098218"/>
    <s v="莊恩明"/>
    <x v="0"/>
    <m/>
  </r>
  <r>
    <x v="55"/>
    <n v="17"/>
    <s v="098220"/>
    <s v="許祐禕"/>
    <x v="0"/>
    <m/>
  </r>
  <r>
    <x v="55"/>
    <n v="18"/>
    <s v="098222"/>
    <s v="*陳柏璇"/>
    <x v="1"/>
    <m/>
  </r>
  <r>
    <x v="55"/>
    <n v="19"/>
    <s v="098223"/>
    <s v="*彭苙淇"/>
    <x v="1"/>
    <m/>
  </r>
  <r>
    <x v="55"/>
    <n v="20"/>
    <s v="098224"/>
    <s v="*黃佳婷"/>
    <x v="1"/>
    <m/>
  </r>
  <r>
    <x v="55"/>
    <n v="21"/>
    <s v="098226"/>
    <s v="*黃紫薇"/>
    <x v="1"/>
    <m/>
  </r>
  <r>
    <x v="55"/>
    <n v="22"/>
    <s v="098227"/>
    <s v="黃瑞祥"/>
    <x v="0"/>
    <m/>
  </r>
  <r>
    <x v="55"/>
    <n v="23"/>
    <s v="098228"/>
    <s v="*黃稚蓁"/>
    <x v="1"/>
    <m/>
  </r>
  <r>
    <x v="55"/>
    <n v="24"/>
    <s v="098229"/>
    <s v="*黃詩涵"/>
    <x v="1"/>
    <m/>
  </r>
  <r>
    <x v="55"/>
    <n v="25"/>
    <s v="098230"/>
    <s v="楊景任"/>
    <x v="0"/>
    <m/>
  </r>
  <r>
    <x v="55"/>
    <n v="26"/>
    <s v="098231"/>
    <s v="葉柏廷"/>
    <x v="0"/>
    <m/>
  </r>
  <r>
    <x v="55"/>
    <n v="27"/>
    <s v="098232"/>
    <s v="*鄒惟昕"/>
    <x v="1"/>
    <m/>
  </r>
  <r>
    <x v="55"/>
    <n v="28"/>
    <s v="098233"/>
    <s v="*鍾佩珊"/>
    <x v="1"/>
    <m/>
  </r>
  <r>
    <x v="55"/>
    <n v="29"/>
    <s v="098234"/>
    <s v="蔡譽綸"/>
    <x v="0"/>
    <s v="轉科生"/>
  </r>
  <r>
    <x v="56"/>
    <n v="1"/>
    <s v="096101"/>
    <s v="尹念行"/>
    <x v="0"/>
    <m/>
  </r>
  <r>
    <x v="56"/>
    <n v="2"/>
    <s v="096102"/>
    <s v="*任耘逸"/>
    <x v="1"/>
    <m/>
  </r>
  <r>
    <x v="56"/>
    <n v="3"/>
    <s v="096103"/>
    <s v="*吳沛璇"/>
    <x v="1"/>
    <m/>
  </r>
  <r>
    <x v="56"/>
    <n v="4"/>
    <s v="096104"/>
    <s v="吳瑋勳"/>
    <x v="0"/>
    <m/>
  </r>
  <r>
    <x v="56"/>
    <n v="5"/>
    <s v="096106"/>
    <s v="*林姿伶"/>
    <x v="1"/>
    <m/>
  </r>
  <r>
    <x v="56"/>
    <n v="6"/>
    <s v="096107"/>
    <s v="林哲瑋"/>
    <x v="0"/>
    <m/>
  </r>
  <r>
    <x v="56"/>
    <n v="7"/>
    <s v="096108"/>
    <s v="林常閎"/>
    <x v="0"/>
    <m/>
  </r>
  <r>
    <x v="56"/>
    <n v="8"/>
    <s v="096109"/>
    <s v="施棠議"/>
    <x v="0"/>
    <m/>
  </r>
  <r>
    <x v="56"/>
    <n v="9"/>
    <s v="096110"/>
    <s v="張睿豐"/>
    <x v="0"/>
    <m/>
  </r>
  <r>
    <x v="56"/>
    <n v="10"/>
    <s v="096111"/>
    <s v="鄭晉傑"/>
    <x v="0"/>
    <m/>
  </r>
  <r>
    <x v="56"/>
    <n v="11"/>
    <s v="096112"/>
    <s v="鄭維德"/>
    <x v="0"/>
    <m/>
  </r>
  <r>
    <x v="56"/>
    <n v="12"/>
    <s v="096113"/>
    <s v="戴文麒"/>
    <x v="0"/>
    <m/>
  </r>
  <r>
    <x v="56"/>
    <n v="13"/>
    <s v="096114"/>
    <s v="張若谷"/>
    <x v="0"/>
    <s v="轉學生"/>
  </r>
  <r>
    <x v="57"/>
    <n v="1"/>
    <s v="097101"/>
    <s v="*王芝㚬"/>
    <x v="1"/>
    <m/>
  </r>
  <r>
    <x v="57"/>
    <n v="2"/>
    <s v="097102"/>
    <s v="吳秉澄"/>
    <x v="0"/>
    <m/>
  </r>
  <r>
    <x v="57"/>
    <n v="3"/>
    <s v="097103"/>
    <s v="李柏羲"/>
    <x v="0"/>
    <m/>
  </r>
  <r>
    <x v="57"/>
    <n v="4"/>
    <s v="097104"/>
    <s v="周書丞"/>
    <x v="0"/>
    <m/>
  </r>
  <r>
    <x v="57"/>
    <n v="5"/>
    <s v="097105"/>
    <s v="侯天勤"/>
    <x v="0"/>
    <m/>
  </r>
  <r>
    <x v="57"/>
    <n v="6"/>
    <s v="097106"/>
    <s v="張育綸"/>
    <x v="0"/>
    <m/>
  </r>
  <r>
    <x v="57"/>
    <n v="7"/>
    <s v="097107"/>
    <s v="張奐奇"/>
    <x v="0"/>
    <m/>
  </r>
  <r>
    <x v="57"/>
    <n v="8"/>
    <s v="097108"/>
    <s v="*許滋玹"/>
    <x v="1"/>
    <m/>
  </r>
  <r>
    <x v="57"/>
    <n v="9"/>
    <s v="097109"/>
    <s v="陳佑誠"/>
    <x v="0"/>
    <m/>
  </r>
  <r>
    <x v="57"/>
    <n v="10"/>
    <s v="097110"/>
    <s v="陳凱威"/>
    <x v="0"/>
    <m/>
  </r>
  <r>
    <x v="57"/>
    <n v="11"/>
    <s v="097111"/>
    <s v="黃巳祐"/>
    <x v="0"/>
    <m/>
  </r>
  <r>
    <x v="57"/>
    <n v="12"/>
    <s v="097112"/>
    <s v="黃致盛"/>
    <x v="0"/>
    <m/>
  </r>
  <r>
    <x v="57"/>
    <n v="13"/>
    <s v="097113"/>
    <s v="*蔡佳汝"/>
    <x v="1"/>
    <m/>
  </r>
  <r>
    <x v="57"/>
    <n v="14"/>
    <s v="097114"/>
    <s v="蔡銘杰"/>
    <x v="0"/>
    <m/>
  </r>
  <r>
    <x v="57"/>
    <n v="15"/>
    <s v="097115"/>
    <s v="*賴誼軒"/>
    <x v="1"/>
    <m/>
  </r>
  <r>
    <x v="57"/>
    <n v="16"/>
    <s v="097116"/>
    <s v="*簡羽伶"/>
    <x v="1"/>
    <m/>
  </r>
  <r>
    <x v="57"/>
    <n v="17"/>
    <s v="097117"/>
    <s v="簡宏儒"/>
    <x v="0"/>
    <m/>
  </r>
  <r>
    <x v="57"/>
    <n v="18"/>
    <s v="097118"/>
    <s v="魏廷翰"/>
    <x v="0"/>
    <m/>
  </r>
  <r>
    <x v="57"/>
    <n v="19"/>
    <s v="097121"/>
    <s v="彭毓升"/>
    <x v="0"/>
    <s v="轉學生"/>
  </r>
  <r>
    <x v="57"/>
    <n v="20"/>
    <s v="097122"/>
    <s v="胡立禹"/>
    <x v="0"/>
    <s v="轉學生"/>
  </r>
  <r>
    <x v="57"/>
    <n v="21"/>
    <s v="097123"/>
    <s v="田翔元"/>
    <x v="0"/>
    <s v="轉學生"/>
  </r>
  <r>
    <x v="57"/>
    <n v="22"/>
    <s v="097124"/>
    <s v="陳明哲"/>
    <x v="0"/>
    <s v="轉學生"/>
  </r>
  <r>
    <x v="57"/>
    <n v="23"/>
    <s v="097125"/>
    <s v="羅聿凱"/>
    <x v="0"/>
    <s v="轉學生"/>
  </r>
  <r>
    <x v="57"/>
    <n v="24"/>
    <s v="097126"/>
    <s v="邱品睿"/>
    <x v="0"/>
    <s v="轉學生"/>
  </r>
  <r>
    <x v="57"/>
    <n v="25"/>
    <s v="097127"/>
    <s v="梁庭瑋"/>
    <x v="0"/>
    <s v="轉學生"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  <r>
    <x v="58"/>
    <m/>
    <m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樞紐分析表1" cacheId="0" dataOnRows="1" applyNumberFormats="0" applyBorderFormats="0" applyFontFormats="0" applyPatternFormats="0" applyAlignmentFormats="0" applyWidthHeightFormats="1" dataCaption="資料" updatedVersion="6" minRefreshableVersion="3" showMemberPropertyTips="0" useAutoFormatting="1" itemPrintTitles="1" createdVersion="6" indent="0" compact="0" compactData="0" gridDropZones="1">
  <location ref="K3:N63" firstHeaderRow="1" firstDataRow="2" firstDataCol="1"/>
  <pivotFields count="6">
    <pivotField axis="axisRow" compact="0" outline="0" subtotalTop="0" showAll="0" includeNewItemsInFilter="1">
      <items count="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m="1" x="67"/>
        <item m="1" x="64"/>
        <item x="15"/>
        <item x="16"/>
        <item m="1" x="59"/>
        <item m="1" x="70"/>
        <item x="17"/>
        <item m="1" x="61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m="1" x="63"/>
        <item m="1" x="62"/>
        <item m="1" x="69"/>
        <item m="1" x="66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m="1" x="68"/>
        <item m="1" x="65"/>
        <item m="1" x="60"/>
        <item m="1" x="71"/>
        <item h="1" x="58"/>
        <item x="54"/>
        <item x="55"/>
        <item x="56"/>
        <item m="1" x="72"/>
        <item x="57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dataField="1" compact="0" outline="0" subtotalTop="0" showAll="0" includeNewItemsInFilter="1">
      <items count="5">
        <item x="1"/>
        <item x="0"/>
        <item x="2"/>
        <item m="1" x="3"/>
        <item t="default"/>
      </items>
    </pivotField>
    <pivotField compact="0" outline="0" subtotalTop="0" showAll="0" includeNewItemsInFilter="1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7"/>
    </i>
    <i>
      <x v="18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8"/>
    </i>
    <i>
      <x v="69"/>
    </i>
    <i>
      <x v="70"/>
    </i>
    <i>
      <x v="72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計數 - 性別" fld="4" subtotal="count" baseField="0" baseItem="0"/>
  </dataFields>
  <formats count="5">
    <format dxfId="6">
      <pivotArea type="all" dataOnly="0" outline="0" fieldPosition="0"/>
    </format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origin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99" Type="http://schemas.openxmlformats.org/officeDocument/2006/relationships/ctrlProp" Target="../ctrlProps/ctrlProp295.xml"/><Relationship Id="rId21" Type="http://schemas.openxmlformats.org/officeDocument/2006/relationships/ctrlProp" Target="../ctrlProps/ctrlProp17.xml"/><Relationship Id="rId63" Type="http://schemas.openxmlformats.org/officeDocument/2006/relationships/ctrlProp" Target="../ctrlProps/ctrlProp59.xml"/><Relationship Id="rId159" Type="http://schemas.openxmlformats.org/officeDocument/2006/relationships/ctrlProp" Target="../ctrlProps/ctrlProp155.xml"/><Relationship Id="rId324" Type="http://schemas.openxmlformats.org/officeDocument/2006/relationships/ctrlProp" Target="../ctrlProps/ctrlProp320.xml"/><Relationship Id="rId366" Type="http://schemas.openxmlformats.org/officeDocument/2006/relationships/ctrlProp" Target="../ctrlProps/ctrlProp362.xml"/><Relationship Id="rId170" Type="http://schemas.openxmlformats.org/officeDocument/2006/relationships/ctrlProp" Target="../ctrlProps/ctrlProp166.xml"/><Relationship Id="rId226" Type="http://schemas.openxmlformats.org/officeDocument/2006/relationships/ctrlProp" Target="../ctrlProps/ctrlProp222.xml"/><Relationship Id="rId433" Type="http://schemas.openxmlformats.org/officeDocument/2006/relationships/ctrlProp" Target="../ctrlProps/ctrlProp429.xml"/><Relationship Id="rId268" Type="http://schemas.openxmlformats.org/officeDocument/2006/relationships/ctrlProp" Target="../ctrlProps/ctrlProp264.xml"/><Relationship Id="rId475" Type="http://schemas.openxmlformats.org/officeDocument/2006/relationships/ctrlProp" Target="../ctrlProps/ctrlProp471.xml"/><Relationship Id="rId32" Type="http://schemas.openxmlformats.org/officeDocument/2006/relationships/ctrlProp" Target="../ctrlProps/ctrlProp28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335" Type="http://schemas.openxmlformats.org/officeDocument/2006/relationships/ctrlProp" Target="../ctrlProps/ctrlProp331.xml"/><Relationship Id="rId377" Type="http://schemas.openxmlformats.org/officeDocument/2006/relationships/ctrlProp" Target="../ctrlProps/ctrlProp373.xml"/><Relationship Id="rId5" Type="http://schemas.openxmlformats.org/officeDocument/2006/relationships/ctrlProp" Target="../ctrlProps/ctrlProp1.xml"/><Relationship Id="rId181" Type="http://schemas.openxmlformats.org/officeDocument/2006/relationships/ctrlProp" Target="../ctrlProps/ctrlProp177.xml"/><Relationship Id="rId237" Type="http://schemas.openxmlformats.org/officeDocument/2006/relationships/ctrlProp" Target="../ctrlProps/ctrlProp233.xml"/><Relationship Id="rId402" Type="http://schemas.openxmlformats.org/officeDocument/2006/relationships/ctrlProp" Target="../ctrlProps/ctrlProp398.xml"/><Relationship Id="rId279" Type="http://schemas.openxmlformats.org/officeDocument/2006/relationships/ctrlProp" Target="../ctrlProps/ctrlProp275.xml"/><Relationship Id="rId444" Type="http://schemas.openxmlformats.org/officeDocument/2006/relationships/ctrlProp" Target="../ctrlProps/ctrlProp440.xml"/><Relationship Id="rId43" Type="http://schemas.openxmlformats.org/officeDocument/2006/relationships/ctrlProp" Target="../ctrlProps/ctrlProp39.xml"/><Relationship Id="rId139" Type="http://schemas.openxmlformats.org/officeDocument/2006/relationships/ctrlProp" Target="../ctrlProps/ctrlProp135.xml"/><Relationship Id="rId290" Type="http://schemas.openxmlformats.org/officeDocument/2006/relationships/ctrlProp" Target="../ctrlProps/ctrlProp286.xml"/><Relationship Id="rId304" Type="http://schemas.openxmlformats.org/officeDocument/2006/relationships/ctrlProp" Target="../ctrlProps/ctrlProp300.xml"/><Relationship Id="rId346" Type="http://schemas.openxmlformats.org/officeDocument/2006/relationships/ctrlProp" Target="../ctrlProps/ctrlProp342.xml"/><Relationship Id="rId388" Type="http://schemas.openxmlformats.org/officeDocument/2006/relationships/ctrlProp" Target="../ctrlProps/ctrlProp384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413" Type="http://schemas.openxmlformats.org/officeDocument/2006/relationships/ctrlProp" Target="../ctrlProps/ctrlProp409.xml"/><Relationship Id="rId248" Type="http://schemas.openxmlformats.org/officeDocument/2006/relationships/ctrlProp" Target="../ctrlProps/ctrlProp244.xml"/><Relationship Id="rId455" Type="http://schemas.openxmlformats.org/officeDocument/2006/relationships/ctrlProp" Target="../ctrlProps/ctrlProp451.xml"/><Relationship Id="rId12" Type="http://schemas.openxmlformats.org/officeDocument/2006/relationships/ctrlProp" Target="../ctrlProps/ctrlProp8.xml"/><Relationship Id="rId108" Type="http://schemas.openxmlformats.org/officeDocument/2006/relationships/ctrlProp" Target="../ctrlProps/ctrlProp104.xml"/><Relationship Id="rId315" Type="http://schemas.openxmlformats.org/officeDocument/2006/relationships/ctrlProp" Target="../ctrlProps/ctrlProp311.xml"/><Relationship Id="rId357" Type="http://schemas.openxmlformats.org/officeDocument/2006/relationships/ctrlProp" Target="../ctrlProps/ctrlProp353.xml"/><Relationship Id="rId54" Type="http://schemas.openxmlformats.org/officeDocument/2006/relationships/ctrlProp" Target="../ctrlProps/ctrlProp50.xml"/><Relationship Id="rId96" Type="http://schemas.openxmlformats.org/officeDocument/2006/relationships/ctrlProp" Target="../ctrlProps/ctrlProp92.xml"/><Relationship Id="rId161" Type="http://schemas.openxmlformats.org/officeDocument/2006/relationships/ctrlProp" Target="../ctrlProps/ctrlProp157.xml"/><Relationship Id="rId217" Type="http://schemas.openxmlformats.org/officeDocument/2006/relationships/ctrlProp" Target="../ctrlProps/ctrlProp213.xml"/><Relationship Id="rId399" Type="http://schemas.openxmlformats.org/officeDocument/2006/relationships/ctrlProp" Target="../ctrlProps/ctrlProp395.xml"/><Relationship Id="rId259" Type="http://schemas.openxmlformats.org/officeDocument/2006/relationships/ctrlProp" Target="../ctrlProps/ctrlProp255.xml"/><Relationship Id="rId424" Type="http://schemas.openxmlformats.org/officeDocument/2006/relationships/ctrlProp" Target="../ctrlProps/ctrlProp420.xml"/><Relationship Id="rId466" Type="http://schemas.openxmlformats.org/officeDocument/2006/relationships/ctrlProp" Target="../ctrlProps/ctrlProp462.xml"/><Relationship Id="rId23" Type="http://schemas.openxmlformats.org/officeDocument/2006/relationships/ctrlProp" Target="../ctrlProps/ctrlProp19.xml"/><Relationship Id="rId119" Type="http://schemas.openxmlformats.org/officeDocument/2006/relationships/ctrlProp" Target="../ctrlProps/ctrlProp115.xml"/><Relationship Id="rId270" Type="http://schemas.openxmlformats.org/officeDocument/2006/relationships/ctrlProp" Target="../ctrlProps/ctrlProp266.xml"/><Relationship Id="rId326" Type="http://schemas.openxmlformats.org/officeDocument/2006/relationships/ctrlProp" Target="../ctrlProps/ctrlProp322.xml"/><Relationship Id="rId65" Type="http://schemas.openxmlformats.org/officeDocument/2006/relationships/ctrlProp" Target="../ctrlProps/ctrlProp61.xml"/><Relationship Id="rId130" Type="http://schemas.openxmlformats.org/officeDocument/2006/relationships/ctrlProp" Target="../ctrlProps/ctrlProp126.xml"/><Relationship Id="rId368" Type="http://schemas.openxmlformats.org/officeDocument/2006/relationships/ctrlProp" Target="../ctrlProps/ctrlProp364.xml"/><Relationship Id="rId172" Type="http://schemas.openxmlformats.org/officeDocument/2006/relationships/ctrlProp" Target="../ctrlProps/ctrlProp168.xml"/><Relationship Id="rId228" Type="http://schemas.openxmlformats.org/officeDocument/2006/relationships/ctrlProp" Target="../ctrlProps/ctrlProp224.xml"/><Relationship Id="rId435" Type="http://schemas.openxmlformats.org/officeDocument/2006/relationships/ctrlProp" Target="../ctrlProps/ctrlProp431.xml"/><Relationship Id="rId477" Type="http://schemas.openxmlformats.org/officeDocument/2006/relationships/ctrlProp" Target="../ctrlProps/ctrlProp473.xml"/><Relationship Id="rId281" Type="http://schemas.openxmlformats.org/officeDocument/2006/relationships/ctrlProp" Target="../ctrlProps/ctrlProp277.xml"/><Relationship Id="rId337" Type="http://schemas.openxmlformats.org/officeDocument/2006/relationships/ctrlProp" Target="../ctrlProps/ctrlProp333.xml"/><Relationship Id="rId34" Type="http://schemas.openxmlformats.org/officeDocument/2006/relationships/ctrlProp" Target="../ctrlProps/ctrlProp30.xml"/><Relationship Id="rId76" Type="http://schemas.openxmlformats.org/officeDocument/2006/relationships/ctrlProp" Target="../ctrlProps/ctrlProp72.xml"/><Relationship Id="rId141" Type="http://schemas.openxmlformats.org/officeDocument/2006/relationships/ctrlProp" Target="../ctrlProps/ctrlProp137.xml"/><Relationship Id="rId379" Type="http://schemas.openxmlformats.org/officeDocument/2006/relationships/ctrlProp" Target="../ctrlProps/ctrlProp375.xml"/><Relationship Id="rId7" Type="http://schemas.openxmlformats.org/officeDocument/2006/relationships/ctrlProp" Target="../ctrlProps/ctrlProp3.xml"/><Relationship Id="rId183" Type="http://schemas.openxmlformats.org/officeDocument/2006/relationships/ctrlProp" Target="../ctrlProps/ctrlProp179.xml"/><Relationship Id="rId239" Type="http://schemas.openxmlformats.org/officeDocument/2006/relationships/ctrlProp" Target="../ctrlProps/ctrlProp235.xml"/><Relationship Id="rId390" Type="http://schemas.openxmlformats.org/officeDocument/2006/relationships/ctrlProp" Target="../ctrlProps/ctrlProp386.xml"/><Relationship Id="rId404" Type="http://schemas.openxmlformats.org/officeDocument/2006/relationships/ctrlProp" Target="../ctrlProps/ctrlProp400.xml"/><Relationship Id="rId446" Type="http://schemas.openxmlformats.org/officeDocument/2006/relationships/ctrlProp" Target="../ctrlProps/ctrlProp442.xml"/><Relationship Id="rId250" Type="http://schemas.openxmlformats.org/officeDocument/2006/relationships/ctrlProp" Target="../ctrlProps/ctrlProp246.xml"/><Relationship Id="rId292" Type="http://schemas.openxmlformats.org/officeDocument/2006/relationships/ctrlProp" Target="../ctrlProps/ctrlProp288.xml"/><Relationship Id="rId306" Type="http://schemas.openxmlformats.org/officeDocument/2006/relationships/ctrlProp" Target="../ctrlProps/ctrlProp302.xml"/><Relationship Id="rId45" Type="http://schemas.openxmlformats.org/officeDocument/2006/relationships/ctrlProp" Target="../ctrlProps/ctrlProp41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348" Type="http://schemas.openxmlformats.org/officeDocument/2006/relationships/ctrlProp" Target="../ctrlProps/ctrlProp344.xml"/><Relationship Id="rId152" Type="http://schemas.openxmlformats.org/officeDocument/2006/relationships/ctrlProp" Target="../ctrlProps/ctrlProp148.xml"/><Relationship Id="rId194" Type="http://schemas.openxmlformats.org/officeDocument/2006/relationships/ctrlProp" Target="../ctrlProps/ctrlProp190.xml"/><Relationship Id="rId208" Type="http://schemas.openxmlformats.org/officeDocument/2006/relationships/ctrlProp" Target="../ctrlProps/ctrlProp204.xml"/><Relationship Id="rId415" Type="http://schemas.openxmlformats.org/officeDocument/2006/relationships/ctrlProp" Target="../ctrlProps/ctrlProp411.xml"/><Relationship Id="rId457" Type="http://schemas.openxmlformats.org/officeDocument/2006/relationships/ctrlProp" Target="../ctrlProps/ctrlProp453.xml"/><Relationship Id="rId261" Type="http://schemas.openxmlformats.org/officeDocument/2006/relationships/ctrlProp" Target="../ctrlProps/ctrlProp257.xml"/><Relationship Id="rId14" Type="http://schemas.openxmlformats.org/officeDocument/2006/relationships/ctrlProp" Target="../ctrlProps/ctrlProp10.xml"/><Relationship Id="rId56" Type="http://schemas.openxmlformats.org/officeDocument/2006/relationships/ctrlProp" Target="../ctrlProps/ctrlProp52.xml"/><Relationship Id="rId317" Type="http://schemas.openxmlformats.org/officeDocument/2006/relationships/ctrlProp" Target="../ctrlProps/ctrlProp313.xml"/><Relationship Id="rId359" Type="http://schemas.openxmlformats.org/officeDocument/2006/relationships/ctrlProp" Target="../ctrlProps/ctrlProp355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63" Type="http://schemas.openxmlformats.org/officeDocument/2006/relationships/ctrlProp" Target="../ctrlProps/ctrlProp159.xml"/><Relationship Id="rId219" Type="http://schemas.openxmlformats.org/officeDocument/2006/relationships/ctrlProp" Target="../ctrlProps/ctrlProp215.xml"/><Relationship Id="rId370" Type="http://schemas.openxmlformats.org/officeDocument/2006/relationships/ctrlProp" Target="../ctrlProps/ctrlProp366.xml"/><Relationship Id="rId426" Type="http://schemas.openxmlformats.org/officeDocument/2006/relationships/ctrlProp" Target="../ctrlProps/ctrlProp422.xml"/><Relationship Id="rId230" Type="http://schemas.openxmlformats.org/officeDocument/2006/relationships/ctrlProp" Target="../ctrlProps/ctrlProp226.xml"/><Relationship Id="rId468" Type="http://schemas.openxmlformats.org/officeDocument/2006/relationships/ctrlProp" Target="../ctrlProps/ctrlProp464.xml"/><Relationship Id="rId25" Type="http://schemas.openxmlformats.org/officeDocument/2006/relationships/ctrlProp" Target="../ctrlProps/ctrlProp21.xml"/><Relationship Id="rId67" Type="http://schemas.openxmlformats.org/officeDocument/2006/relationships/ctrlProp" Target="../ctrlProps/ctrlProp63.xml"/><Relationship Id="rId272" Type="http://schemas.openxmlformats.org/officeDocument/2006/relationships/ctrlProp" Target="../ctrlProps/ctrlProp268.xml"/><Relationship Id="rId328" Type="http://schemas.openxmlformats.org/officeDocument/2006/relationships/ctrlProp" Target="../ctrlProps/ctrlProp324.xml"/><Relationship Id="rId132" Type="http://schemas.openxmlformats.org/officeDocument/2006/relationships/ctrlProp" Target="../ctrlProps/ctrlProp128.xml"/><Relationship Id="rId174" Type="http://schemas.openxmlformats.org/officeDocument/2006/relationships/ctrlProp" Target="../ctrlProps/ctrlProp170.xml"/><Relationship Id="rId381" Type="http://schemas.openxmlformats.org/officeDocument/2006/relationships/ctrlProp" Target="../ctrlProps/ctrlProp377.xml"/><Relationship Id="rId241" Type="http://schemas.openxmlformats.org/officeDocument/2006/relationships/ctrlProp" Target="../ctrlProps/ctrlProp237.xml"/><Relationship Id="rId437" Type="http://schemas.openxmlformats.org/officeDocument/2006/relationships/ctrlProp" Target="../ctrlProps/ctrlProp433.xml"/><Relationship Id="rId479" Type="http://schemas.openxmlformats.org/officeDocument/2006/relationships/ctrlProp" Target="../ctrlProps/ctrlProp475.xml"/><Relationship Id="rId36" Type="http://schemas.openxmlformats.org/officeDocument/2006/relationships/ctrlProp" Target="../ctrlProps/ctrlProp32.xml"/><Relationship Id="rId283" Type="http://schemas.openxmlformats.org/officeDocument/2006/relationships/ctrlProp" Target="../ctrlProps/ctrlProp279.xml"/><Relationship Id="rId339" Type="http://schemas.openxmlformats.org/officeDocument/2006/relationships/ctrlProp" Target="../ctrlProps/ctrlProp335.xml"/><Relationship Id="rId78" Type="http://schemas.openxmlformats.org/officeDocument/2006/relationships/ctrlProp" Target="../ctrlProps/ctrlProp74.xml"/><Relationship Id="rId101" Type="http://schemas.openxmlformats.org/officeDocument/2006/relationships/ctrlProp" Target="../ctrlProps/ctrlProp97.xml"/><Relationship Id="rId143" Type="http://schemas.openxmlformats.org/officeDocument/2006/relationships/ctrlProp" Target="../ctrlProps/ctrlProp139.xml"/><Relationship Id="rId185" Type="http://schemas.openxmlformats.org/officeDocument/2006/relationships/ctrlProp" Target="../ctrlProps/ctrlProp181.xml"/><Relationship Id="rId350" Type="http://schemas.openxmlformats.org/officeDocument/2006/relationships/ctrlProp" Target="../ctrlProps/ctrlProp346.xml"/><Relationship Id="rId406" Type="http://schemas.openxmlformats.org/officeDocument/2006/relationships/ctrlProp" Target="../ctrlProps/ctrlProp402.xml"/><Relationship Id="rId9" Type="http://schemas.openxmlformats.org/officeDocument/2006/relationships/ctrlProp" Target="../ctrlProps/ctrlProp5.xml"/><Relationship Id="rId210" Type="http://schemas.openxmlformats.org/officeDocument/2006/relationships/ctrlProp" Target="../ctrlProps/ctrlProp206.xml"/><Relationship Id="rId392" Type="http://schemas.openxmlformats.org/officeDocument/2006/relationships/ctrlProp" Target="../ctrlProps/ctrlProp388.xml"/><Relationship Id="rId448" Type="http://schemas.openxmlformats.org/officeDocument/2006/relationships/ctrlProp" Target="../ctrlProps/ctrlProp444.xml"/><Relationship Id="rId252" Type="http://schemas.openxmlformats.org/officeDocument/2006/relationships/ctrlProp" Target="../ctrlProps/ctrlProp248.xml"/><Relationship Id="rId294" Type="http://schemas.openxmlformats.org/officeDocument/2006/relationships/ctrlProp" Target="../ctrlProps/ctrlProp290.xml"/><Relationship Id="rId308" Type="http://schemas.openxmlformats.org/officeDocument/2006/relationships/ctrlProp" Target="../ctrlProps/ctrlProp304.xml"/><Relationship Id="rId47" Type="http://schemas.openxmlformats.org/officeDocument/2006/relationships/ctrlProp" Target="../ctrlProps/ctrlProp43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54" Type="http://schemas.openxmlformats.org/officeDocument/2006/relationships/ctrlProp" Target="../ctrlProps/ctrlProp150.xml"/><Relationship Id="rId361" Type="http://schemas.openxmlformats.org/officeDocument/2006/relationships/ctrlProp" Target="../ctrlProps/ctrlProp357.xml"/><Relationship Id="rId196" Type="http://schemas.openxmlformats.org/officeDocument/2006/relationships/ctrlProp" Target="../ctrlProps/ctrlProp192.xml"/><Relationship Id="rId417" Type="http://schemas.openxmlformats.org/officeDocument/2006/relationships/ctrlProp" Target="../ctrlProps/ctrlProp413.xml"/><Relationship Id="rId459" Type="http://schemas.openxmlformats.org/officeDocument/2006/relationships/ctrlProp" Target="../ctrlProps/ctrlProp455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63" Type="http://schemas.openxmlformats.org/officeDocument/2006/relationships/ctrlProp" Target="../ctrlProps/ctrlProp259.xml"/><Relationship Id="rId319" Type="http://schemas.openxmlformats.org/officeDocument/2006/relationships/ctrlProp" Target="../ctrlProps/ctrlProp315.xml"/><Relationship Id="rId470" Type="http://schemas.openxmlformats.org/officeDocument/2006/relationships/ctrlProp" Target="../ctrlProps/ctrlProp466.xml"/><Relationship Id="rId58" Type="http://schemas.openxmlformats.org/officeDocument/2006/relationships/ctrlProp" Target="../ctrlProps/ctrlProp54.xml"/><Relationship Id="rId123" Type="http://schemas.openxmlformats.org/officeDocument/2006/relationships/ctrlProp" Target="../ctrlProps/ctrlProp119.xml"/><Relationship Id="rId330" Type="http://schemas.openxmlformats.org/officeDocument/2006/relationships/ctrlProp" Target="../ctrlProps/ctrlProp326.xml"/><Relationship Id="rId165" Type="http://schemas.openxmlformats.org/officeDocument/2006/relationships/ctrlProp" Target="../ctrlProps/ctrlProp161.xml"/><Relationship Id="rId372" Type="http://schemas.openxmlformats.org/officeDocument/2006/relationships/ctrlProp" Target="../ctrlProps/ctrlProp368.xml"/><Relationship Id="rId428" Type="http://schemas.openxmlformats.org/officeDocument/2006/relationships/ctrlProp" Target="../ctrlProps/ctrlProp424.xml"/><Relationship Id="rId232" Type="http://schemas.openxmlformats.org/officeDocument/2006/relationships/ctrlProp" Target="../ctrlProps/ctrlProp228.xml"/><Relationship Id="rId274" Type="http://schemas.openxmlformats.org/officeDocument/2006/relationships/ctrlProp" Target="../ctrlProps/ctrlProp270.xml"/><Relationship Id="rId481" Type="http://schemas.openxmlformats.org/officeDocument/2006/relationships/ctrlProp" Target="../ctrlProps/ctrlProp477.xml"/><Relationship Id="rId27" Type="http://schemas.openxmlformats.org/officeDocument/2006/relationships/ctrlProp" Target="../ctrlProps/ctrlProp23.xml"/><Relationship Id="rId69" Type="http://schemas.openxmlformats.org/officeDocument/2006/relationships/ctrlProp" Target="../ctrlProps/ctrlProp65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76" Type="http://schemas.openxmlformats.org/officeDocument/2006/relationships/ctrlProp" Target="../ctrlProps/ctrlProp172.xml"/><Relationship Id="rId341" Type="http://schemas.openxmlformats.org/officeDocument/2006/relationships/ctrlProp" Target="../ctrlProps/ctrlProp337.xml"/><Relationship Id="rId383" Type="http://schemas.openxmlformats.org/officeDocument/2006/relationships/ctrlProp" Target="../ctrlProps/ctrlProp379.xml"/><Relationship Id="rId439" Type="http://schemas.openxmlformats.org/officeDocument/2006/relationships/ctrlProp" Target="../ctrlProps/ctrlProp435.xml"/><Relationship Id="rId201" Type="http://schemas.openxmlformats.org/officeDocument/2006/relationships/ctrlProp" Target="../ctrlProps/ctrlProp197.xml"/><Relationship Id="rId243" Type="http://schemas.openxmlformats.org/officeDocument/2006/relationships/ctrlProp" Target="../ctrlProps/ctrlProp239.xml"/><Relationship Id="rId285" Type="http://schemas.openxmlformats.org/officeDocument/2006/relationships/ctrlProp" Target="../ctrlProps/ctrlProp281.xml"/><Relationship Id="rId450" Type="http://schemas.openxmlformats.org/officeDocument/2006/relationships/ctrlProp" Target="../ctrlProps/ctrlProp446.xml"/><Relationship Id="rId38" Type="http://schemas.openxmlformats.org/officeDocument/2006/relationships/ctrlProp" Target="../ctrlProps/ctrlProp34.xml"/><Relationship Id="rId103" Type="http://schemas.openxmlformats.org/officeDocument/2006/relationships/ctrlProp" Target="../ctrlProps/ctrlProp99.xml"/><Relationship Id="rId310" Type="http://schemas.openxmlformats.org/officeDocument/2006/relationships/ctrlProp" Target="../ctrlProps/ctrlProp306.xml"/><Relationship Id="rId91" Type="http://schemas.openxmlformats.org/officeDocument/2006/relationships/ctrlProp" Target="../ctrlProps/ctrlProp87.xml"/><Relationship Id="rId145" Type="http://schemas.openxmlformats.org/officeDocument/2006/relationships/ctrlProp" Target="../ctrlProps/ctrlProp141.xml"/><Relationship Id="rId187" Type="http://schemas.openxmlformats.org/officeDocument/2006/relationships/ctrlProp" Target="../ctrlProps/ctrlProp183.xml"/><Relationship Id="rId352" Type="http://schemas.openxmlformats.org/officeDocument/2006/relationships/ctrlProp" Target="../ctrlProps/ctrlProp348.xml"/><Relationship Id="rId394" Type="http://schemas.openxmlformats.org/officeDocument/2006/relationships/ctrlProp" Target="../ctrlProps/ctrlProp390.xml"/><Relationship Id="rId408" Type="http://schemas.openxmlformats.org/officeDocument/2006/relationships/ctrlProp" Target="../ctrlProps/ctrlProp404.xml"/><Relationship Id="rId212" Type="http://schemas.openxmlformats.org/officeDocument/2006/relationships/ctrlProp" Target="../ctrlProps/ctrlProp208.xml"/><Relationship Id="rId254" Type="http://schemas.openxmlformats.org/officeDocument/2006/relationships/ctrlProp" Target="../ctrlProps/ctrlProp250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296" Type="http://schemas.openxmlformats.org/officeDocument/2006/relationships/ctrlProp" Target="../ctrlProps/ctrlProp292.xml"/><Relationship Id="rId461" Type="http://schemas.openxmlformats.org/officeDocument/2006/relationships/ctrlProp" Target="../ctrlProps/ctrlProp457.xml"/><Relationship Id="rId60" Type="http://schemas.openxmlformats.org/officeDocument/2006/relationships/ctrlProp" Target="../ctrlProps/ctrlProp56.xml"/><Relationship Id="rId156" Type="http://schemas.openxmlformats.org/officeDocument/2006/relationships/ctrlProp" Target="../ctrlProps/ctrlProp152.xml"/><Relationship Id="rId198" Type="http://schemas.openxmlformats.org/officeDocument/2006/relationships/ctrlProp" Target="../ctrlProps/ctrlProp194.xml"/><Relationship Id="rId321" Type="http://schemas.openxmlformats.org/officeDocument/2006/relationships/ctrlProp" Target="../ctrlProps/ctrlProp317.xml"/><Relationship Id="rId363" Type="http://schemas.openxmlformats.org/officeDocument/2006/relationships/ctrlProp" Target="../ctrlProps/ctrlProp359.xml"/><Relationship Id="rId419" Type="http://schemas.openxmlformats.org/officeDocument/2006/relationships/ctrlProp" Target="../ctrlProps/ctrlProp415.xml"/><Relationship Id="rId223" Type="http://schemas.openxmlformats.org/officeDocument/2006/relationships/ctrlProp" Target="../ctrlProps/ctrlProp219.xml"/><Relationship Id="rId430" Type="http://schemas.openxmlformats.org/officeDocument/2006/relationships/ctrlProp" Target="../ctrlProps/ctrlProp426.xml"/><Relationship Id="rId18" Type="http://schemas.openxmlformats.org/officeDocument/2006/relationships/ctrlProp" Target="../ctrlProps/ctrlProp14.xml"/><Relationship Id="rId265" Type="http://schemas.openxmlformats.org/officeDocument/2006/relationships/ctrlProp" Target="../ctrlProps/ctrlProp261.xml"/><Relationship Id="rId472" Type="http://schemas.openxmlformats.org/officeDocument/2006/relationships/ctrlProp" Target="../ctrlProps/ctrlProp468.xml"/><Relationship Id="rId125" Type="http://schemas.openxmlformats.org/officeDocument/2006/relationships/ctrlProp" Target="../ctrlProps/ctrlProp121.xml"/><Relationship Id="rId167" Type="http://schemas.openxmlformats.org/officeDocument/2006/relationships/ctrlProp" Target="../ctrlProps/ctrlProp163.xml"/><Relationship Id="rId332" Type="http://schemas.openxmlformats.org/officeDocument/2006/relationships/ctrlProp" Target="../ctrlProps/ctrlProp328.xml"/><Relationship Id="rId374" Type="http://schemas.openxmlformats.org/officeDocument/2006/relationships/ctrlProp" Target="../ctrlProps/ctrlProp370.xml"/><Relationship Id="rId71" Type="http://schemas.openxmlformats.org/officeDocument/2006/relationships/ctrlProp" Target="../ctrlProps/ctrlProp67.xml"/><Relationship Id="rId234" Type="http://schemas.openxmlformats.org/officeDocument/2006/relationships/ctrlProp" Target="../ctrlProps/ctrlProp230.xml"/><Relationship Id="rId2" Type="http://schemas.openxmlformats.org/officeDocument/2006/relationships/printerSettings" Target="../printerSettings/printerSettings7.bin"/><Relationship Id="rId29" Type="http://schemas.openxmlformats.org/officeDocument/2006/relationships/ctrlProp" Target="../ctrlProps/ctrlProp25.xml"/><Relationship Id="rId276" Type="http://schemas.openxmlformats.org/officeDocument/2006/relationships/ctrlProp" Target="../ctrlProps/ctrlProp272.xml"/><Relationship Id="rId441" Type="http://schemas.openxmlformats.org/officeDocument/2006/relationships/ctrlProp" Target="../ctrlProps/ctrlProp437.xml"/><Relationship Id="rId40" Type="http://schemas.openxmlformats.org/officeDocument/2006/relationships/ctrlProp" Target="../ctrlProps/ctrlProp36.xml"/><Relationship Id="rId136" Type="http://schemas.openxmlformats.org/officeDocument/2006/relationships/ctrlProp" Target="../ctrlProps/ctrlProp132.xml"/><Relationship Id="rId178" Type="http://schemas.openxmlformats.org/officeDocument/2006/relationships/ctrlProp" Target="../ctrlProps/ctrlProp174.xml"/><Relationship Id="rId301" Type="http://schemas.openxmlformats.org/officeDocument/2006/relationships/ctrlProp" Target="../ctrlProps/ctrlProp297.xml"/><Relationship Id="rId343" Type="http://schemas.openxmlformats.org/officeDocument/2006/relationships/ctrlProp" Target="../ctrlProps/ctrlProp339.xml"/><Relationship Id="rId82" Type="http://schemas.openxmlformats.org/officeDocument/2006/relationships/ctrlProp" Target="../ctrlProps/ctrlProp78.xml"/><Relationship Id="rId203" Type="http://schemas.openxmlformats.org/officeDocument/2006/relationships/ctrlProp" Target="../ctrlProps/ctrlProp199.xml"/><Relationship Id="rId385" Type="http://schemas.openxmlformats.org/officeDocument/2006/relationships/ctrlProp" Target="../ctrlProps/ctrlProp381.xml"/><Relationship Id="rId245" Type="http://schemas.openxmlformats.org/officeDocument/2006/relationships/ctrlProp" Target="../ctrlProps/ctrlProp241.xml"/><Relationship Id="rId287" Type="http://schemas.openxmlformats.org/officeDocument/2006/relationships/ctrlProp" Target="../ctrlProps/ctrlProp283.xml"/><Relationship Id="rId410" Type="http://schemas.openxmlformats.org/officeDocument/2006/relationships/ctrlProp" Target="../ctrlProps/ctrlProp406.xml"/><Relationship Id="rId452" Type="http://schemas.openxmlformats.org/officeDocument/2006/relationships/ctrlProp" Target="../ctrlProps/ctrlProp448.xml"/><Relationship Id="rId105" Type="http://schemas.openxmlformats.org/officeDocument/2006/relationships/ctrlProp" Target="../ctrlProps/ctrlProp101.xml"/><Relationship Id="rId147" Type="http://schemas.openxmlformats.org/officeDocument/2006/relationships/ctrlProp" Target="../ctrlProps/ctrlProp143.xml"/><Relationship Id="rId312" Type="http://schemas.openxmlformats.org/officeDocument/2006/relationships/ctrlProp" Target="../ctrlProps/ctrlProp308.xml"/><Relationship Id="rId354" Type="http://schemas.openxmlformats.org/officeDocument/2006/relationships/ctrlProp" Target="../ctrlProps/ctrlProp350.xml"/><Relationship Id="rId51" Type="http://schemas.openxmlformats.org/officeDocument/2006/relationships/ctrlProp" Target="../ctrlProps/ctrlProp47.xml"/><Relationship Id="rId93" Type="http://schemas.openxmlformats.org/officeDocument/2006/relationships/ctrlProp" Target="../ctrlProps/ctrlProp89.xml"/><Relationship Id="rId189" Type="http://schemas.openxmlformats.org/officeDocument/2006/relationships/ctrlProp" Target="../ctrlProps/ctrlProp185.xml"/><Relationship Id="rId396" Type="http://schemas.openxmlformats.org/officeDocument/2006/relationships/ctrlProp" Target="../ctrlProps/ctrlProp392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5" Type="http://schemas.openxmlformats.org/officeDocument/2006/relationships/ctrlProp" Target="../ctrlProps/ctrlProp231.xml"/><Relationship Id="rId256" Type="http://schemas.openxmlformats.org/officeDocument/2006/relationships/ctrlProp" Target="../ctrlProps/ctrlProp252.xml"/><Relationship Id="rId277" Type="http://schemas.openxmlformats.org/officeDocument/2006/relationships/ctrlProp" Target="../ctrlProps/ctrlProp273.xml"/><Relationship Id="rId298" Type="http://schemas.openxmlformats.org/officeDocument/2006/relationships/ctrlProp" Target="../ctrlProps/ctrlProp294.xml"/><Relationship Id="rId400" Type="http://schemas.openxmlformats.org/officeDocument/2006/relationships/ctrlProp" Target="../ctrlProps/ctrlProp396.xml"/><Relationship Id="rId421" Type="http://schemas.openxmlformats.org/officeDocument/2006/relationships/ctrlProp" Target="../ctrlProps/ctrlProp417.xml"/><Relationship Id="rId442" Type="http://schemas.openxmlformats.org/officeDocument/2006/relationships/ctrlProp" Target="../ctrlProps/ctrlProp438.xml"/><Relationship Id="rId463" Type="http://schemas.openxmlformats.org/officeDocument/2006/relationships/ctrlProp" Target="../ctrlProps/ctrlProp459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302" Type="http://schemas.openxmlformats.org/officeDocument/2006/relationships/ctrlProp" Target="../ctrlProps/ctrlProp298.xml"/><Relationship Id="rId323" Type="http://schemas.openxmlformats.org/officeDocument/2006/relationships/ctrlProp" Target="../ctrlProps/ctrlProp319.xml"/><Relationship Id="rId344" Type="http://schemas.openxmlformats.org/officeDocument/2006/relationships/ctrlProp" Target="../ctrlProps/ctrlProp340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179" Type="http://schemas.openxmlformats.org/officeDocument/2006/relationships/ctrlProp" Target="../ctrlProps/ctrlProp175.xml"/><Relationship Id="rId365" Type="http://schemas.openxmlformats.org/officeDocument/2006/relationships/ctrlProp" Target="../ctrlProps/ctrlProp361.xml"/><Relationship Id="rId386" Type="http://schemas.openxmlformats.org/officeDocument/2006/relationships/ctrlProp" Target="../ctrlProps/ctrlProp382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5" Type="http://schemas.openxmlformats.org/officeDocument/2006/relationships/ctrlProp" Target="../ctrlProps/ctrlProp221.xml"/><Relationship Id="rId246" Type="http://schemas.openxmlformats.org/officeDocument/2006/relationships/ctrlProp" Target="../ctrlProps/ctrlProp242.xml"/><Relationship Id="rId267" Type="http://schemas.openxmlformats.org/officeDocument/2006/relationships/ctrlProp" Target="../ctrlProps/ctrlProp263.xml"/><Relationship Id="rId288" Type="http://schemas.openxmlformats.org/officeDocument/2006/relationships/ctrlProp" Target="../ctrlProps/ctrlProp284.xml"/><Relationship Id="rId411" Type="http://schemas.openxmlformats.org/officeDocument/2006/relationships/ctrlProp" Target="../ctrlProps/ctrlProp407.xml"/><Relationship Id="rId432" Type="http://schemas.openxmlformats.org/officeDocument/2006/relationships/ctrlProp" Target="../ctrlProps/ctrlProp428.xml"/><Relationship Id="rId453" Type="http://schemas.openxmlformats.org/officeDocument/2006/relationships/ctrlProp" Target="../ctrlProps/ctrlProp449.xml"/><Relationship Id="rId474" Type="http://schemas.openxmlformats.org/officeDocument/2006/relationships/ctrlProp" Target="../ctrlProps/ctrlProp470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313" Type="http://schemas.openxmlformats.org/officeDocument/2006/relationships/ctrlProp" Target="../ctrlProps/ctrlProp309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94" Type="http://schemas.openxmlformats.org/officeDocument/2006/relationships/ctrlProp" Target="../ctrlProps/ctrlProp90.xml"/><Relationship Id="rId148" Type="http://schemas.openxmlformats.org/officeDocument/2006/relationships/ctrlProp" Target="../ctrlProps/ctrlProp144.xml"/><Relationship Id="rId169" Type="http://schemas.openxmlformats.org/officeDocument/2006/relationships/ctrlProp" Target="../ctrlProps/ctrlProp165.xml"/><Relationship Id="rId334" Type="http://schemas.openxmlformats.org/officeDocument/2006/relationships/ctrlProp" Target="../ctrlProps/ctrlProp330.xml"/><Relationship Id="rId355" Type="http://schemas.openxmlformats.org/officeDocument/2006/relationships/ctrlProp" Target="../ctrlProps/ctrlProp351.xml"/><Relationship Id="rId376" Type="http://schemas.openxmlformats.org/officeDocument/2006/relationships/ctrlProp" Target="../ctrlProps/ctrlProp372.xml"/><Relationship Id="rId397" Type="http://schemas.openxmlformats.org/officeDocument/2006/relationships/ctrlProp" Target="../ctrlProps/ctrlProp393.xml"/><Relationship Id="rId4" Type="http://schemas.openxmlformats.org/officeDocument/2006/relationships/vmlDrawing" Target="../drawings/vmlDrawing1.vml"/><Relationship Id="rId180" Type="http://schemas.openxmlformats.org/officeDocument/2006/relationships/ctrlProp" Target="../ctrlProps/ctrlProp17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57" Type="http://schemas.openxmlformats.org/officeDocument/2006/relationships/ctrlProp" Target="../ctrlProps/ctrlProp253.xml"/><Relationship Id="rId278" Type="http://schemas.openxmlformats.org/officeDocument/2006/relationships/ctrlProp" Target="../ctrlProps/ctrlProp274.xml"/><Relationship Id="rId401" Type="http://schemas.openxmlformats.org/officeDocument/2006/relationships/ctrlProp" Target="../ctrlProps/ctrlProp397.xml"/><Relationship Id="rId422" Type="http://schemas.openxmlformats.org/officeDocument/2006/relationships/ctrlProp" Target="../ctrlProps/ctrlProp418.xml"/><Relationship Id="rId443" Type="http://schemas.openxmlformats.org/officeDocument/2006/relationships/ctrlProp" Target="../ctrlProps/ctrlProp439.xml"/><Relationship Id="rId464" Type="http://schemas.openxmlformats.org/officeDocument/2006/relationships/ctrlProp" Target="../ctrlProps/ctrlProp460.xml"/><Relationship Id="rId303" Type="http://schemas.openxmlformats.org/officeDocument/2006/relationships/ctrlProp" Target="../ctrlProps/ctrlProp299.xml"/><Relationship Id="rId42" Type="http://schemas.openxmlformats.org/officeDocument/2006/relationships/ctrlProp" Target="../ctrlProps/ctrlProp38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345" Type="http://schemas.openxmlformats.org/officeDocument/2006/relationships/ctrlProp" Target="../ctrlProps/ctrlProp341.xml"/><Relationship Id="rId387" Type="http://schemas.openxmlformats.org/officeDocument/2006/relationships/ctrlProp" Target="../ctrlProps/ctrlProp383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47" Type="http://schemas.openxmlformats.org/officeDocument/2006/relationships/ctrlProp" Target="../ctrlProps/ctrlProp243.xml"/><Relationship Id="rId412" Type="http://schemas.openxmlformats.org/officeDocument/2006/relationships/ctrlProp" Target="../ctrlProps/ctrlProp408.xml"/><Relationship Id="rId107" Type="http://schemas.openxmlformats.org/officeDocument/2006/relationships/ctrlProp" Target="../ctrlProps/ctrlProp103.xml"/><Relationship Id="rId289" Type="http://schemas.openxmlformats.org/officeDocument/2006/relationships/ctrlProp" Target="../ctrlProps/ctrlProp285.xml"/><Relationship Id="rId454" Type="http://schemas.openxmlformats.org/officeDocument/2006/relationships/ctrlProp" Target="../ctrlProps/ctrlProp450.xml"/><Relationship Id="rId11" Type="http://schemas.openxmlformats.org/officeDocument/2006/relationships/ctrlProp" Target="../ctrlProps/ctrlProp7.xml"/><Relationship Id="rId53" Type="http://schemas.openxmlformats.org/officeDocument/2006/relationships/ctrlProp" Target="../ctrlProps/ctrlProp49.xml"/><Relationship Id="rId149" Type="http://schemas.openxmlformats.org/officeDocument/2006/relationships/ctrlProp" Target="../ctrlProps/ctrlProp145.xml"/><Relationship Id="rId314" Type="http://schemas.openxmlformats.org/officeDocument/2006/relationships/ctrlProp" Target="../ctrlProps/ctrlProp310.xml"/><Relationship Id="rId356" Type="http://schemas.openxmlformats.org/officeDocument/2006/relationships/ctrlProp" Target="../ctrlProps/ctrlProp352.xml"/><Relationship Id="rId398" Type="http://schemas.openxmlformats.org/officeDocument/2006/relationships/ctrlProp" Target="../ctrlProps/ctrlProp394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216" Type="http://schemas.openxmlformats.org/officeDocument/2006/relationships/ctrlProp" Target="../ctrlProps/ctrlProp212.xml"/><Relationship Id="rId423" Type="http://schemas.openxmlformats.org/officeDocument/2006/relationships/ctrlProp" Target="../ctrlProps/ctrlProp419.xml"/><Relationship Id="rId258" Type="http://schemas.openxmlformats.org/officeDocument/2006/relationships/ctrlProp" Target="../ctrlProps/ctrlProp254.xml"/><Relationship Id="rId465" Type="http://schemas.openxmlformats.org/officeDocument/2006/relationships/ctrlProp" Target="../ctrlProps/ctrlProp461.xml"/><Relationship Id="rId22" Type="http://schemas.openxmlformats.org/officeDocument/2006/relationships/ctrlProp" Target="../ctrlProps/ctrlProp18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325" Type="http://schemas.openxmlformats.org/officeDocument/2006/relationships/ctrlProp" Target="../ctrlProps/ctrlProp321.xml"/><Relationship Id="rId367" Type="http://schemas.openxmlformats.org/officeDocument/2006/relationships/ctrlProp" Target="../ctrlProps/ctrlProp363.xml"/><Relationship Id="rId171" Type="http://schemas.openxmlformats.org/officeDocument/2006/relationships/ctrlProp" Target="../ctrlProps/ctrlProp167.xml"/><Relationship Id="rId227" Type="http://schemas.openxmlformats.org/officeDocument/2006/relationships/ctrlProp" Target="../ctrlProps/ctrlProp223.xml"/><Relationship Id="rId269" Type="http://schemas.openxmlformats.org/officeDocument/2006/relationships/ctrlProp" Target="../ctrlProps/ctrlProp265.xml"/><Relationship Id="rId434" Type="http://schemas.openxmlformats.org/officeDocument/2006/relationships/ctrlProp" Target="../ctrlProps/ctrlProp430.xml"/><Relationship Id="rId476" Type="http://schemas.openxmlformats.org/officeDocument/2006/relationships/ctrlProp" Target="../ctrlProps/ctrlProp472.xml"/><Relationship Id="rId33" Type="http://schemas.openxmlformats.org/officeDocument/2006/relationships/ctrlProp" Target="../ctrlProps/ctrlProp29.xml"/><Relationship Id="rId129" Type="http://schemas.openxmlformats.org/officeDocument/2006/relationships/ctrlProp" Target="../ctrlProps/ctrlProp125.xml"/><Relationship Id="rId280" Type="http://schemas.openxmlformats.org/officeDocument/2006/relationships/ctrlProp" Target="../ctrlProps/ctrlProp276.xml"/><Relationship Id="rId336" Type="http://schemas.openxmlformats.org/officeDocument/2006/relationships/ctrlProp" Target="../ctrlProps/ctrlProp332.xml"/><Relationship Id="rId75" Type="http://schemas.openxmlformats.org/officeDocument/2006/relationships/ctrlProp" Target="../ctrlProps/ctrlProp71.xml"/><Relationship Id="rId140" Type="http://schemas.openxmlformats.org/officeDocument/2006/relationships/ctrlProp" Target="../ctrlProps/ctrlProp136.xml"/><Relationship Id="rId182" Type="http://schemas.openxmlformats.org/officeDocument/2006/relationships/ctrlProp" Target="../ctrlProps/ctrlProp178.xml"/><Relationship Id="rId378" Type="http://schemas.openxmlformats.org/officeDocument/2006/relationships/ctrlProp" Target="../ctrlProps/ctrlProp374.xml"/><Relationship Id="rId403" Type="http://schemas.openxmlformats.org/officeDocument/2006/relationships/ctrlProp" Target="../ctrlProps/ctrlProp399.xml"/><Relationship Id="rId6" Type="http://schemas.openxmlformats.org/officeDocument/2006/relationships/ctrlProp" Target="../ctrlProps/ctrlProp2.xml"/><Relationship Id="rId238" Type="http://schemas.openxmlformats.org/officeDocument/2006/relationships/ctrlProp" Target="../ctrlProps/ctrlProp234.xml"/><Relationship Id="rId445" Type="http://schemas.openxmlformats.org/officeDocument/2006/relationships/ctrlProp" Target="../ctrlProps/ctrlProp441.xml"/><Relationship Id="rId291" Type="http://schemas.openxmlformats.org/officeDocument/2006/relationships/ctrlProp" Target="../ctrlProps/ctrlProp287.xml"/><Relationship Id="rId305" Type="http://schemas.openxmlformats.org/officeDocument/2006/relationships/ctrlProp" Target="../ctrlProps/ctrlProp301.xml"/><Relationship Id="rId347" Type="http://schemas.openxmlformats.org/officeDocument/2006/relationships/ctrlProp" Target="../ctrlProps/ctrlProp343.xml"/><Relationship Id="rId44" Type="http://schemas.openxmlformats.org/officeDocument/2006/relationships/ctrlProp" Target="../ctrlProps/ctrlProp40.xml"/><Relationship Id="rId86" Type="http://schemas.openxmlformats.org/officeDocument/2006/relationships/ctrlProp" Target="../ctrlProps/ctrlProp82.xml"/><Relationship Id="rId151" Type="http://schemas.openxmlformats.org/officeDocument/2006/relationships/ctrlProp" Target="../ctrlProps/ctrlProp147.xml"/><Relationship Id="rId389" Type="http://schemas.openxmlformats.org/officeDocument/2006/relationships/ctrlProp" Target="../ctrlProps/ctrlProp385.xml"/><Relationship Id="rId193" Type="http://schemas.openxmlformats.org/officeDocument/2006/relationships/ctrlProp" Target="../ctrlProps/ctrlProp189.xml"/><Relationship Id="rId207" Type="http://schemas.openxmlformats.org/officeDocument/2006/relationships/ctrlProp" Target="../ctrlProps/ctrlProp203.xml"/><Relationship Id="rId249" Type="http://schemas.openxmlformats.org/officeDocument/2006/relationships/ctrlProp" Target="../ctrlProps/ctrlProp245.xml"/><Relationship Id="rId414" Type="http://schemas.openxmlformats.org/officeDocument/2006/relationships/ctrlProp" Target="../ctrlProps/ctrlProp410.xml"/><Relationship Id="rId456" Type="http://schemas.openxmlformats.org/officeDocument/2006/relationships/ctrlProp" Target="../ctrlProps/ctrlProp452.xml"/><Relationship Id="rId13" Type="http://schemas.openxmlformats.org/officeDocument/2006/relationships/ctrlProp" Target="../ctrlProps/ctrlProp9.xml"/><Relationship Id="rId109" Type="http://schemas.openxmlformats.org/officeDocument/2006/relationships/ctrlProp" Target="../ctrlProps/ctrlProp105.xml"/><Relationship Id="rId260" Type="http://schemas.openxmlformats.org/officeDocument/2006/relationships/ctrlProp" Target="../ctrlProps/ctrlProp256.xml"/><Relationship Id="rId316" Type="http://schemas.openxmlformats.org/officeDocument/2006/relationships/ctrlProp" Target="../ctrlProps/ctrlProp312.xml"/><Relationship Id="rId55" Type="http://schemas.openxmlformats.org/officeDocument/2006/relationships/ctrlProp" Target="../ctrlProps/ctrlProp51.xml"/><Relationship Id="rId97" Type="http://schemas.openxmlformats.org/officeDocument/2006/relationships/ctrlProp" Target="../ctrlProps/ctrlProp93.xml"/><Relationship Id="rId120" Type="http://schemas.openxmlformats.org/officeDocument/2006/relationships/ctrlProp" Target="../ctrlProps/ctrlProp116.xml"/><Relationship Id="rId358" Type="http://schemas.openxmlformats.org/officeDocument/2006/relationships/ctrlProp" Target="../ctrlProps/ctrlProp354.xml"/><Relationship Id="rId162" Type="http://schemas.openxmlformats.org/officeDocument/2006/relationships/ctrlProp" Target="../ctrlProps/ctrlProp158.xml"/><Relationship Id="rId218" Type="http://schemas.openxmlformats.org/officeDocument/2006/relationships/ctrlProp" Target="../ctrlProps/ctrlProp214.xml"/><Relationship Id="rId425" Type="http://schemas.openxmlformats.org/officeDocument/2006/relationships/ctrlProp" Target="../ctrlProps/ctrlProp421.xml"/><Relationship Id="rId467" Type="http://schemas.openxmlformats.org/officeDocument/2006/relationships/ctrlProp" Target="../ctrlProps/ctrlProp463.xml"/><Relationship Id="rId271" Type="http://schemas.openxmlformats.org/officeDocument/2006/relationships/ctrlProp" Target="../ctrlProps/ctrlProp267.xml"/><Relationship Id="rId24" Type="http://schemas.openxmlformats.org/officeDocument/2006/relationships/ctrlProp" Target="../ctrlProps/ctrlProp20.xml"/><Relationship Id="rId66" Type="http://schemas.openxmlformats.org/officeDocument/2006/relationships/ctrlProp" Target="../ctrlProps/ctrlProp62.xml"/><Relationship Id="rId131" Type="http://schemas.openxmlformats.org/officeDocument/2006/relationships/ctrlProp" Target="../ctrlProps/ctrlProp127.xml"/><Relationship Id="rId327" Type="http://schemas.openxmlformats.org/officeDocument/2006/relationships/ctrlProp" Target="../ctrlProps/ctrlProp323.xml"/><Relationship Id="rId369" Type="http://schemas.openxmlformats.org/officeDocument/2006/relationships/ctrlProp" Target="../ctrlProps/ctrlProp365.xml"/><Relationship Id="rId173" Type="http://schemas.openxmlformats.org/officeDocument/2006/relationships/ctrlProp" Target="../ctrlProps/ctrlProp169.xml"/><Relationship Id="rId229" Type="http://schemas.openxmlformats.org/officeDocument/2006/relationships/ctrlProp" Target="../ctrlProps/ctrlProp225.xml"/><Relationship Id="rId380" Type="http://schemas.openxmlformats.org/officeDocument/2006/relationships/ctrlProp" Target="../ctrlProps/ctrlProp376.xml"/><Relationship Id="rId436" Type="http://schemas.openxmlformats.org/officeDocument/2006/relationships/ctrlProp" Target="../ctrlProps/ctrlProp432.xml"/><Relationship Id="rId240" Type="http://schemas.openxmlformats.org/officeDocument/2006/relationships/ctrlProp" Target="../ctrlProps/ctrlProp236.xml"/><Relationship Id="rId478" Type="http://schemas.openxmlformats.org/officeDocument/2006/relationships/ctrlProp" Target="../ctrlProps/ctrlProp474.xml"/><Relationship Id="rId35" Type="http://schemas.openxmlformats.org/officeDocument/2006/relationships/ctrlProp" Target="../ctrlProps/ctrlProp31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282" Type="http://schemas.openxmlformats.org/officeDocument/2006/relationships/ctrlProp" Target="../ctrlProps/ctrlProp278.xml"/><Relationship Id="rId338" Type="http://schemas.openxmlformats.org/officeDocument/2006/relationships/ctrlProp" Target="../ctrlProps/ctrlProp334.xml"/><Relationship Id="rId8" Type="http://schemas.openxmlformats.org/officeDocument/2006/relationships/ctrlProp" Target="../ctrlProps/ctrlProp4.xml"/><Relationship Id="rId142" Type="http://schemas.openxmlformats.org/officeDocument/2006/relationships/ctrlProp" Target="../ctrlProps/ctrlProp138.xml"/><Relationship Id="rId184" Type="http://schemas.openxmlformats.org/officeDocument/2006/relationships/ctrlProp" Target="../ctrlProps/ctrlProp180.xml"/><Relationship Id="rId391" Type="http://schemas.openxmlformats.org/officeDocument/2006/relationships/ctrlProp" Target="../ctrlProps/ctrlProp387.xml"/><Relationship Id="rId405" Type="http://schemas.openxmlformats.org/officeDocument/2006/relationships/ctrlProp" Target="../ctrlProps/ctrlProp401.xml"/><Relationship Id="rId447" Type="http://schemas.openxmlformats.org/officeDocument/2006/relationships/ctrlProp" Target="../ctrlProps/ctrlProp443.xml"/><Relationship Id="rId251" Type="http://schemas.openxmlformats.org/officeDocument/2006/relationships/ctrlProp" Target="../ctrlProps/ctrlProp247.xml"/><Relationship Id="rId46" Type="http://schemas.openxmlformats.org/officeDocument/2006/relationships/ctrlProp" Target="../ctrlProps/ctrlProp42.xml"/><Relationship Id="rId293" Type="http://schemas.openxmlformats.org/officeDocument/2006/relationships/ctrlProp" Target="../ctrlProps/ctrlProp289.xml"/><Relationship Id="rId307" Type="http://schemas.openxmlformats.org/officeDocument/2006/relationships/ctrlProp" Target="../ctrlProps/ctrlProp303.xml"/><Relationship Id="rId349" Type="http://schemas.openxmlformats.org/officeDocument/2006/relationships/ctrlProp" Target="../ctrlProps/ctrlProp345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53" Type="http://schemas.openxmlformats.org/officeDocument/2006/relationships/ctrlProp" Target="../ctrlProps/ctrlProp149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360" Type="http://schemas.openxmlformats.org/officeDocument/2006/relationships/ctrlProp" Target="../ctrlProps/ctrlProp356.xml"/><Relationship Id="rId416" Type="http://schemas.openxmlformats.org/officeDocument/2006/relationships/ctrlProp" Target="../ctrlProps/ctrlProp412.xml"/><Relationship Id="rId220" Type="http://schemas.openxmlformats.org/officeDocument/2006/relationships/ctrlProp" Target="../ctrlProps/ctrlProp216.xml"/><Relationship Id="rId458" Type="http://schemas.openxmlformats.org/officeDocument/2006/relationships/ctrlProp" Target="../ctrlProps/ctrlProp454.xml"/><Relationship Id="rId15" Type="http://schemas.openxmlformats.org/officeDocument/2006/relationships/ctrlProp" Target="../ctrlProps/ctrlProp11.xml"/><Relationship Id="rId57" Type="http://schemas.openxmlformats.org/officeDocument/2006/relationships/ctrlProp" Target="../ctrlProps/ctrlProp53.xml"/><Relationship Id="rId262" Type="http://schemas.openxmlformats.org/officeDocument/2006/relationships/ctrlProp" Target="../ctrlProps/ctrlProp258.xml"/><Relationship Id="rId318" Type="http://schemas.openxmlformats.org/officeDocument/2006/relationships/ctrlProp" Target="../ctrlProps/ctrlProp314.xml"/><Relationship Id="rId99" Type="http://schemas.openxmlformats.org/officeDocument/2006/relationships/ctrlProp" Target="../ctrlProps/ctrlProp95.xml"/><Relationship Id="rId122" Type="http://schemas.openxmlformats.org/officeDocument/2006/relationships/ctrlProp" Target="../ctrlProps/ctrlProp118.xml"/><Relationship Id="rId164" Type="http://schemas.openxmlformats.org/officeDocument/2006/relationships/ctrlProp" Target="../ctrlProps/ctrlProp160.xml"/><Relationship Id="rId371" Type="http://schemas.openxmlformats.org/officeDocument/2006/relationships/ctrlProp" Target="../ctrlProps/ctrlProp367.xml"/><Relationship Id="rId427" Type="http://schemas.openxmlformats.org/officeDocument/2006/relationships/ctrlProp" Target="../ctrlProps/ctrlProp423.xml"/><Relationship Id="rId469" Type="http://schemas.openxmlformats.org/officeDocument/2006/relationships/ctrlProp" Target="../ctrlProps/ctrlProp465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273" Type="http://schemas.openxmlformats.org/officeDocument/2006/relationships/ctrlProp" Target="../ctrlProps/ctrlProp269.xml"/><Relationship Id="rId329" Type="http://schemas.openxmlformats.org/officeDocument/2006/relationships/ctrlProp" Target="../ctrlProps/ctrlProp325.xml"/><Relationship Id="rId480" Type="http://schemas.openxmlformats.org/officeDocument/2006/relationships/ctrlProp" Target="../ctrlProps/ctrlProp476.xml"/><Relationship Id="rId68" Type="http://schemas.openxmlformats.org/officeDocument/2006/relationships/ctrlProp" Target="../ctrlProps/ctrlProp64.xml"/><Relationship Id="rId133" Type="http://schemas.openxmlformats.org/officeDocument/2006/relationships/ctrlProp" Target="../ctrlProps/ctrlProp129.xml"/><Relationship Id="rId175" Type="http://schemas.openxmlformats.org/officeDocument/2006/relationships/ctrlProp" Target="../ctrlProps/ctrlProp171.xml"/><Relationship Id="rId340" Type="http://schemas.openxmlformats.org/officeDocument/2006/relationships/ctrlProp" Target="../ctrlProps/ctrlProp336.xml"/><Relationship Id="rId200" Type="http://schemas.openxmlformats.org/officeDocument/2006/relationships/ctrlProp" Target="../ctrlProps/ctrlProp196.xml"/><Relationship Id="rId382" Type="http://schemas.openxmlformats.org/officeDocument/2006/relationships/ctrlProp" Target="../ctrlProps/ctrlProp378.xml"/><Relationship Id="rId438" Type="http://schemas.openxmlformats.org/officeDocument/2006/relationships/ctrlProp" Target="../ctrlProps/ctrlProp434.xml"/><Relationship Id="rId242" Type="http://schemas.openxmlformats.org/officeDocument/2006/relationships/ctrlProp" Target="../ctrlProps/ctrlProp238.xml"/><Relationship Id="rId284" Type="http://schemas.openxmlformats.org/officeDocument/2006/relationships/ctrlProp" Target="../ctrlProps/ctrlProp280.xml"/><Relationship Id="rId37" Type="http://schemas.openxmlformats.org/officeDocument/2006/relationships/ctrlProp" Target="../ctrlProps/ctrlProp33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86" Type="http://schemas.openxmlformats.org/officeDocument/2006/relationships/ctrlProp" Target="../ctrlProps/ctrlProp182.xml"/><Relationship Id="rId351" Type="http://schemas.openxmlformats.org/officeDocument/2006/relationships/ctrlProp" Target="../ctrlProps/ctrlProp347.xml"/><Relationship Id="rId393" Type="http://schemas.openxmlformats.org/officeDocument/2006/relationships/ctrlProp" Target="../ctrlProps/ctrlProp389.xml"/><Relationship Id="rId407" Type="http://schemas.openxmlformats.org/officeDocument/2006/relationships/ctrlProp" Target="../ctrlProps/ctrlProp403.xml"/><Relationship Id="rId449" Type="http://schemas.openxmlformats.org/officeDocument/2006/relationships/ctrlProp" Target="../ctrlProps/ctrlProp445.xml"/><Relationship Id="rId211" Type="http://schemas.openxmlformats.org/officeDocument/2006/relationships/ctrlProp" Target="../ctrlProps/ctrlProp207.xml"/><Relationship Id="rId253" Type="http://schemas.openxmlformats.org/officeDocument/2006/relationships/ctrlProp" Target="../ctrlProps/ctrlProp249.xml"/><Relationship Id="rId295" Type="http://schemas.openxmlformats.org/officeDocument/2006/relationships/ctrlProp" Target="../ctrlProps/ctrlProp291.xml"/><Relationship Id="rId309" Type="http://schemas.openxmlformats.org/officeDocument/2006/relationships/ctrlProp" Target="../ctrlProps/ctrlProp305.xml"/><Relationship Id="rId460" Type="http://schemas.openxmlformats.org/officeDocument/2006/relationships/ctrlProp" Target="../ctrlProps/ctrlProp456.xml"/><Relationship Id="rId48" Type="http://schemas.openxmlformats.org/officeDocument/2006/relationships/ctrlProp" Target="../ctrlProps/ctrlProp44.xml"/><Relationship Id="rId113" Type="http://schemas.openxmlformats.org/officeDocument/2006/relationships/ctrlProp" Target="../ctrlProps/ctrlProp109.xml"/><Relationship Id="rId320" Type="http://schemas.openxmlformats.org/officeDocument/2006/relationships/ctrlProp" Target="../ctrlProps/ctrlProp316.xml"/><Relationship Id="rId155" Type="http://schemas.openxmlformats.org/officeDocument/2006/relationships/ctrlProp" Target="../ctrlProps/ctrlProp151.xml"/><Relationship Id="rId197" Type="http://schemas.openxmlformats.org/officeDocument/2006/relationships/ctrlProp" Target="../ctrlProps/ctrlProp193.xml"/><Relationship Id="rId362" Type="http://schemas.openxmlformats.org/officeDocument/2006/relationships/ctrlProp" Target="../ctrlProps/ctrlProp358.xml"/><Relationship Id="rId418" Type="http://schemas.openxmlformats.org/officeDocument/2006/relationships/ctrlProp" Target="../ctrlProps/ctrlProp414.xml"/><Relationship Id="rId222" Type="http://schemas.openxmlformats.org/officeDocument/2006/relationships/ctrlProp" Target="../ctrlProps/ctrlProp218.xml"/><Relationship Id="rId264" Type="http://schemas.openxmlformats.org/officeDocument/2006/relationships/ctrlProp" Target="../ctrlProps/ctrlProp260.xml"/><Relationship Id="rId471" Type="http://schemas.openxmlformats.org/officeDocument/2006/relationships/ctrlProp" Target="../ctrlProps/ctrlProp467.xml"/><Relationship Id="rId17" Type="http://schemas.openxmlformats.org/officeDocument/2006/relationships/ctrlProp" Target="../ctrlProps/ctrlProp13.xml"/><Relationship Id="rId59" Type="http://schemas.openxmlformats.org/officeDocument/2006/relationships/ctrlProp" Target="../ctrlProps/ctrlProp55.xml"/><Relationship Id="rId124" Type="http://schemas.openxmlformats.org/officeDocument/2006/relationships/ctrlProp" Target="../ctrlProps/ctrlProp120.xml"/><Relationship Id="rId70" Type="http://schemas.openxmlformats.org/officeDocument/2006/relationships/ctrlProp" Target="../ctrlProps/ctrlProp66.xml"/><Relationship Id="rId166" Type="http://schemas.openxmlformats.org/officeDocument/2006/relationships/ctrlProp" Target="../ctrlProps/ctrlProp162.xml"/><Relationship Id="rId331" Type="http://schemas.openxmlformats.org/officeDocument/2006/relationships/ctrlProp" Target="../ctrlProps/ctrlProp327.xml"/><Relationship Id="rId373" Type="http://schemas.openxmlformats.org/officeDocument/2006/relationships/ctrlProp" Target="../ctrlProps/ctrlProp369.xml"/><Relationship Id="rId429" Type="http://schemas.openxmlformats.org/officeDocument/2006/relationships/ctrlProp" Target="../ctrlProps/ctrlProp425.xml"/><Relationship Id="rId1" Type="http://schemas.openxmlformats.org/officeDocument/2006/relationships/pivotTable" Target="../pivotTables/pivotTable1.xml"/><Relationship Id="rId233" Type="http://schemas.openxmlformats.org/officeDocument/2006/relationships/ctrlProp" Target="../ctrlProps/ctrlProp229.xml"/><Relationship Id="rId440" Type="http://schemas.openxmlformats.org/officeDocument/2006/relationships/ctrlProp" Target="../ctrlProps/ctrlProp436.xml"/><Relationship Id="rId28" Type="http://schemas.openxmlformats.org/officeDocument/2006/relationships/ctrlProp" Target="../ctrlProps/ctrlProp24.xml"/><Relationship Id="rId275" Type="http://schemas.openxmlformats.org/officeDocument/2006/relationships/ctrlProp" Target="../ctrlProps/ctrlProp271.xml"/><Relationship Id="rId300" Type="http://schemas.openxmlformats.org/officeDocument/2006/relationships/ctrlProp" Target="../ctrlProps/ctrlProp296.xml"/><Relationship Id="rId81" Type="http://schemas.openxmlformats.org/officeDocument/2006/relationships/ctrlProp" Target="../ctrlProps/ctrlProp77.xml"/><Relationship Id="rId135" Type="http://schemas.openxmlformats.org/officeDocument/2006/relationships/ctrlProp" Target="../ctrlProps/ctrlProp131.xml"/><Relationship Id="rId177" Type="http://schemas.openxmlformats.org/officeDocument/2006/relationships/ctrlProp" Target="../ctrlProps/ctrlProp173.xml"/><Relationship Id="rId342" Type="http://schemas.openxmlformats.org/officeDocument/2006/relationships/ctrlProp" Target="../ctrlProps/ctrlProp338.xml"/><Relationship Id="rId384" Type="http://schemas.openxmlformats.org/officeDocument/2006/relationships/ctrlProp" Target="../ctrlProps/ctrlProp380.xml"/><Relationship Id="rId202" Type="http://schemas.openxmlformats.org/officeDocument/2006/relationships/ctrlProp" Target="../ctrlProps/ctrlProp198.xml"/><Relationship Id="rId244" Type="http://schemas.openxmlformats.org/officeDocument/2006/relationships/ctrlProp" Target="../ctrlProps/ctrlProp240.xml"/><Relationship Id="rId39" Type="http://schemas.openxmlformats.org/officeDocument/2006/relationships/ctrlProp" Target="../ctrlProps/ctrlProp35.xml"/><Relationship Id="rId286" Type="http://schemas.openxmlformats.org/officeDocument/2006/relationships/ctrlProp" Target="../ctrlProps/ctrlProp282.xml"/><Relationship Id="rId451" Type="http://schemas.openxmlformats.org/officeDocument/2006/relationships/ctrlProp" Target="../ctrlProps/ctrlProp447.xml"/><Relationship Id="rId50" Type="http://schemas.openxmlformats.org/officeDocument/2006/relationships/ctrlProp" Target="../ctrlProps/ctrlProp46.xml"/><Relationship Id="rId104" Type="http://schemas.openxmlformats.org/officeDocument/2006/relationships/ctrlProp" Target="../ctrlProps/ctrlProp100.xml"/><Relationship Id="rId146" Type="http://schemas.openxmlformats.org/officeDocument/2006/relationships/ctrlProp" Target="../ctrlProps/ctrlProp142.xml"/><Relationship Id="rId188" Type="http://schemas.openxmlformats.org/officeDocument/2006/relationships/ctrlProp" Target="../ctrlProps/ctrlProp184.xml"/><Relationship Id="rId311" Type="http://schemas.openxmlformats.org/officeDocument/2006/relationships/ctrlProp" Target="../ctrlProps/ctrlProp307.xml"/><Relationship Id="rId353" Type="http://schemas.openxmlformats.org/officeDocument/2006/relationships/ctrlProp" Target="../ctrlProps/ctrlProp349.xml"/><Relationship Id="rId395" Type="http://schemas.openxmlformats.org/officeDocument/2006/relationships/ctrlProp" Target="../ctrlProps/ctrlProp391.xml"/><Relationship Id="rId409" Type="http://schemas.openxmlformats.org/officeDocument/2006/relationships/ctrlProp" Target="../ctrlProps/ctrlProp405.xml"/><Relationship Id="rId92" Type="http://schemas.openxmlformats.org/officeDocument/2006/relationships/ctrlProp" Target="../ctrlProps/ctrlProp88.xml"/><Relationship Id="rId213" Type="http://schemas.openxmlformats.org/officeDocument/2006/relationships/ctrlProp" Target="../ctrlProps/ctrlProp209.xml"/><Relationship Id="rId420" Type="http://schemas.openxmlformats.org/officeDocument/2006/relationships/ctrlProp" Target="../ctrlProps/ctrlProp416.xml"/><Relationship Id="rId255" Type="http://schemas.openxmlformats.org/officeDocument/2006/relationships/ctrlProp" Target="../ctrlProps/ctrlProp251.xml"/><Relationship Id="rId297" Type="http://schemas.openxmlformats.org/officeDocument/2006/relationships/ctrlProp" Target="../ctrlProps/ctrlProp293.xml"/><Relationship Id="rId462" Type="http://schemas.openxmlformats.org/officeDocument/2006/relationships/ctrlProp" Target="../ctrlProps/ctrlProp458.xml"/><Relationship Id="rId115" Type="http://schemas.openxmlformats.org/officeDocument/2006/relationships/ctrlProp" Target="../ctrlProps/ctrlProp111.xml"/><Relationship Id="rId157" Type="http://schemas.openxmlformats.org/officeDocument/2006/relationships/ctrlProp" Target="../ctrlProps/ctrlProp153.xml"/><Relationship Id="rId322" Type="http://schemas.openxmlformats.org/officeDocument/2006/relationships/ctrlProp" Target="../ctrlProps/ctrlProp318.xml"/><Relationship Id="rId364" Type="http://schemas.openxmlformats.org/officeDocument/2006/relationships/ctrlProp" Target="../ctrlProps/ctrlProp360.xml"/><Relationship Id="rId61" Type="http://schemas.openxmlformats.org/officeDocument/2006/relationships/ctrlProp" Target="../ctrlProps/ctrlProp57.xml"/><Relationship Id="rId199" Type="http://schemas.openxmlformats.org/officeDocument/2006/relationships/ctrlProp" Target="../ctrlProps/ctrlProp19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66" Type="http://schemas.openxmlformats.org/officeDocument/2006/relationships/ctrlProp" Target="../ctrlProps/ctrlProp262.xml"/><Relationship Id="rId431" Type="http://schemas.openxmlformats.org/officeDocument/2006/relationships/ctrlProp" Target="../ctrlProps/ctrlProp427.xml"/><Relationship Id="rId473" Type="http://schemas.openxmlformats.org/officeDocument/2006/relationships/ctrlProp" Target="../ctrlProps/ctrlProp469.xml"/><Relationship Id="rId30" Type="http://schemas.openxmlformats.org/officeDocument/2006/relationships/ctrlProp" Target="../ctrlProps/ctrlProp26.xml"/><Relationship Id="rId126" Type="http://schemas.openxmlformats.org/officeDocument/2006/relationships/ctrlProp" Target="../ctrlProps/ctrlProp122.xml"/><Relationship Id="rId168" Type="http://schemas.openxmlformats.org/officeDocument/2006/relationships/ctrlProp" Target="../ctrlProps/ctrlProp164.xml"/><Relationship Id="rId333" Type="http://schemas.openxmlformats.org/officeDocument/2006/relationships/ctrlProp" Target="../ctrlProps/ctrlProp329.xml"/><Relationship Id="rId72" Type="http://schemas.openxmlformats.org/officeDocument/2006/relationships/ctrlProp" Target="../ctrlProps/ctrlProp68.xml"/><Relationship Id="rId375" Type="http://schemas.openxmlformats.org/officeDocument/2006/relationships/ctrlProp" Target="../ctrlProps/ctrlProp37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tabColor indexed="13"/>
  </sheetPr>
  <dimension ref="A1:DA179"/>
  <sheetViews>
    <sheetView tabSelected="1" view="pageBreakPreview" topLeftCell="N1" zoomScale="125" zoomScaleNormal="75" zoomScaleSheetLayoutView="100" workbookViewId="0">
      <pane ySplit="1" topLeftCell="A15" activePane="bottomLeft" state="frozen"/>
      <selection activeCell="H25" sqref="H25:H26"/>
      <selection pane="bottomLeft" activeCell="T37" sqref="T37"/>
    </sheetView>
  </sheetViews>
  <sheetFormatPr baseColWidth="10" defaultColWidth="6.6640625" defaultRowHeight="15.75" customHeight="1"/>
  <cols>
    <col min="1" max="1" width="2.6640625" style="115" customWidth="1"/>
    <col min="2" max="2" width="7.33203125" style="117" customWidth="1"/>
    <col min="3" max="3" width="9.6640625" style="116" customWidth="1"/>
    <col min="4" max="4" width="8.6640625" style="116" customWidth="1"/>
    <col min="5" max="5" width="8.33203125" style="1" customWidth="1"/>
    <col min="6" max="6" width="2.6640625" style="115" customWidth="1"/>
    <col min="7" max="7" width="7.33203125" style="117" customWidth="1"/>
    <col min="8" max="8" width="9.6640625" style="116" customWidth="1"/>
    <col min="9" max="9" width="8.6640625" style="116" customWidth="1"/>
    <col min="10" max="10" width="8.33203125" style="1" customWidth="1"/>
    <col min="11" max="11" width="2.6640625" style="115" customWidth="1"/>
    <col min="12" max="12" width="7.33203125" style="115" customWidth="1"/>
    <col min="13" max="13" width="9.6640625" style="116" customWidth="1"/>
    <col min="14" max="14" width="8.6640625" style="116" customWidth="1"/>
    <col min="15" max="15" width="8.33203125" style="1" customWidth="1"/>
    <col min="16" max="16" width="2.6640625" style="115" customWidth="1"/>
    <col min="17" max="17" width="7.33203125" style="115" customWidth="1"/>
    <col min="18" max="18" width="9.6640625" style="116" customWidth="1"/>
    <col min="19" max="19" width="8.6640625" style="116" customWidth="1"/>
    <col min="20" max="20" width="10.5" style="32" bestFit="1" customWidth="1"/>
    <col min="21" max="21" width="2.6640625" style="115" customWidth="1"/>
    <col min="22" max="22" width="7.33203125" style="115" customWidth="1"/>
    <col min="23" max="23" width="9.6640625" style="116" customWidth="1"/>
    <col min="24" max="24" width="8.6640625" style="116" customWidth="1"/>
    <col min="25" max="25" width="8.33203125" style="1" customWidth="1"/>
    <col min="26" max="26" width="2.6640625" style="115" customWidth="1"/>
    <col min="27" max="27" width="7.33203125" style="115" customWidth="1"/>
    <col min="28" max="28" width="9.6640625" style="116" customWidth="1"/>
    <col min="29" max="29" width="8.6640625" style="116" customWidth="1"/>
    <col min="30" max="30" width="8.33203125" style="1" customWidth="1"/>
    <col min="31" max="31" width="2.6640625" style="115" customWidth="1"/>
    <col min="32" max="32" width="7.33203125" style="115" customWidth="1"/>
    <col min="33" max="33" width="9.6640625" style="116" customWidth="1"/>
    <col min="34" max="34" width="8.6640625" style="116" customWidth="1"/>
    <col min="35" max="35" width="8.33203125" style="1" customWidth="1"/>
    <col min="36" max="36" width="2.6640625" style="115" customWidth="1"/>
    <col min="37" max="37" width="7.33203125" style="115" customWidth="1"/>
    <col min="38" max="38" width="9.6640625" style="116" customWidth="1"/>
    <col min="39" max="39" width="8.6640625" style="116" customWidth="1"/>
    <col min="40" max="40" width="8.33203125" style="1" customWidth="1"/>
    <col min="41" max="41" width="2.6640625" style="115" customWidth="1"/>
    <col min="42" max="42" width="7.33203125" style="115" customWidth="1"/>
    <col min="43" max="43" width="9.6640625" style="116" customWidth="1"/>
    <col min="44" max="44" width="8.6640625" style="116" customWidth="1"/>
    <col min="45" max="45" width="8.33203125" style="1" customWidth="1"/>
    <col min="46" max="46" width="2.6640625" style="115" customWidth="1"/>
    <col min="47" max="47" width="7.33203125" style="115" customWidth="1"/>
    <col min="48" max="48" width="9.6640625" style="116" customWidth="1"/>
    <col min="49" max="49" width="8.6640625" style="116" customWidth="1"/>
    <col min="50" max="50" width="8.33203125" style="1" customWidth="1"/>
    <col min="51" max="51" width="2.6640625" style="115" customWidth="1"/>
    <col min="52" max="52" width="7.33203125" style="115" customWidth="1"/>
    <col min="53" max="53" width="9.6640625" style="116" customWidth="1"/>
    <col min="54" max="54" width="8.6640625" style="116" customWidth="1"/>
    <col min="55" max="55" width="8.33203125" style="1" customWidth="1"/>
    <col min="56" max="56" width="2.6640625" style="115" customWidth="1"/>
    <col min="57" max="57" width="7.33203125" style="115" customWidth="1"/>
    <col min="58" max="58" width="9.6640625" style="116" customWidth="1"/>
    <col min="59" max="59" width="8.6640625" style="116" customWidth="1"/>
    <col min="60" max="60" width="8.33203125" style="1" customWidth="1"/>
    <col min="61" max="61" width="2.6640625" style="115" customWidth="1"/>
    <col min="62" max="62" width="7.33203125" style="115" customWidth="1"/>
    <col min="63" max="63" width="9.6640625" style="116" customWidth="1"/>
    <col min="64" max="64" width="8.6640625" style="116" customWidth="1"/>
    <col min="65" max="65" width="8.33203125" style="1" customWidth="1"/>
    <col min="66" max="66" width="2.6640625" style="115" customWidth="1"/>
    <col min="67" max="67" width="7.33203125" style="115" customWidth="1"/>
    <col min="68" max="68" width="9.6640625" style="116" customWidth="1"/>
    <col min="69" max="69" width="8.6640625" style="116" customWidth="1"/>
    <col min="70" max="70" width="8.33203125" style="1" customWidth="1"/>
    <col min="71" max="71" width="2.6640625" style="115" customWidth="1"/>
    <col min="72" max="72" width="7.33203125" style="115" customWidth="1"/>
    <col min="73" max="73" width="9.6640625" style="116" customWidth="1"/>
    <col min="74" max="74" width="8.6640625" style="116" customWidth="1"/>
    <col min="75" max="75" width="8.33203125" style="1" customWidth="1"/>
    <col min="76" max="76" width="2.6640625" style="115" customWidth="1"/>
    <col min="77" max="77" width="7.33203125" style="115" customWidth="1"/>
    <col min="78" max="78" width="9.6640625" style="116" customWidth="1"/>
    <col min="79" max="79" width="8.6640625" style="116" customWidth="1"/>
    <col min="80" max="80" width="8.33203125" style="1" customWidth="1"/>
    <col min="81" max="81" width="2.6640625" style="115" customWidth="1"/>
    <col min="82" max="82" width="7.33203125" style="115" customWidth="1"/>
    <col min="83" max="83" width="9.6640625" style="116" customWidth="1"/>
    <col min="84" max="84" width="8.6640625" style="116" customWidth="1"/>
    <col min="85" max="85" width="8.33203125" style="1" customWidth="1"/>
    <col min="86" max="86" width="2.6640625" style="115" customWidth="1"/>
    <col min="87" max="87" width="7.33203125" style="115" customWidth="1"/>
    <col min="88" max="88" width="9.6640625" style="116" customWidth="1"/>
    <col min="89" max="89" width="8.6640625" style="116" customWidth="1"/>
    <col min="90" max="90" width="8.33203125" style="1" customWidth="1"/>
    <col min="91" max="91" width="2.6640625" style="115" customWidth="1"/>
    <col min="92" max="92" width="7.33203125" style="115" customWidth="1"/>
    <col min="93" max="93" width="9.6640625" style="116" customWidth="1"/>
    <col min="94" max="94" width="8.6640625" style="116" customWidth="1"/>
    <col min="95" max="95" width="8.33203125" style="1" customWidth="1"/>
    <col min="96" max="16384" width="6.6640625" style="115"/>
  </cols>
  <sheetData>
    <row r="1" spans="1:95" s="3" customFormat="1" ht="21.75" customHeight="1" thickBot="1">
      <c r="A1" s="361" t="s">
        <v>5</v>
      </c>
      <c r="B1" s="361"/>
      <c r="C1" s="361"/>
      <c r="D1" s="361"/>
      <c r="E1" s="2"/>
      <c r="F1" s="361" t="s">
        <v>46</v>
      </c>
      <c r="G1" s="361"/>
      <c r="H1" s="361"/>
      <c r="I1" s="361"/>
      <c r="J1" s="2"/>
      <c r="K1" s="361" t="s">
        <v>47</v>
      </c>
      <c r="L1" s="361"/>
      <c r="M1" s="361"/>
      <c r="N1" s="361"/>
      <c r="O1" s="2"/>
      <c r="P1" s="361" t="s">
        <v>48</v>
      </c>
      <c r="Q1" s="361"/>
      <c r="R1" s="361"/>
      <c r="S1" s="361"/>
      <c r="T1" s="32"/>
      <c r="U1" s="361" t="s">
        <v>49</v>
      </c>
      <c r="V1" s="361"/>
      <c r="W1" s="361"/>
      <c r="X1" s="361"/>
      <c r="Y1" s="2"/>
      <c r="Z1" s="361" t="s">
        <v>50</v>
      </c>
      <c r="AA1" s="361"/>
      <c r="AB1" s="361"/>
      <c r="AC1" s="361"/>
      <c r="AD1" s="2"/>
      <c r="AE1" s="362" t="s">
        <v>51</v>
      </c>
      <c r="AF1" s="362"/>
      <c r="AG1" s="362"/>
      <c r="AH1" s="362"/>
      <c r="AI1" s="2"/>
      <c r="AJ1" s="361" t="s">
        <v>52</v>
      </c>
      <c r="AK1" s="361"/>
      <c r="AL1" s="361"/>
      <c r="AM1" s="361"/>
      <c r="AN1" s="2"/>
      <c r="AO1" s="361" t="s">
        <v>53</v>
      </c>
      <c r="AP1" s="361"/>
      <c r="AQ1" s="361"/>
      <c r="AR1" s="361"/>
      <c r="AS1" s="2"/>
      <c r="AT1" s="361" t="s">
        <v>54</v>
      </c>
      <c r="AU1" s="361"/>
      <c r="AV1" s="361"/>
      <c r="AW1" s="361"/>
      <c r="AX1" s="2"/>
      <c r="AY1" s="361" t="s">
        <v>61</v>
      </c>
      <c r="AZ1" s="361"/>
      <c r="BA1" s="361"/>
      <c r="BB1" s="361"/>
      <c r="BC1" s="2"/>
      <c r="BD1" s="361" t="s">
        <v>55</v>
      </c>
      <c r="BE1" s="361"/>
      <c r="BF1" s="361"/>
      <c r="BG1" s="361"/>
      <c r="BH1" s="2"/>
      <c r="BI1" s="361" t="s">
        <v>56</v>
      </c>
      <c r="BJ1" s="361"/>
      <c r="BK1" s="361"/>
      <c r="BL1" s="361"/>
      <c r="BM1" s="2"/>
      <c r="BN1" s="361" t="s">
        <v>57</v>
      </c>
      <c r="BO1" s="361"/>
      <c r="BP1" s="361"/>
      <c r="BQ1" s="361"/>
      <c r="BR1" s="2"/>
      <c r="BS1" s="361" t="s">
        <v>58</v>
      </c>
      <c r="BT1" s="361"/>
      <c r="BU1" s="361"/>
      <c r="BV1" s="361"/>
      <c r="BW1" s="2"/>
      <c r="BX1" s="361" t="s">
        <v>1080</v>
      </c>
      <c r="BY1" s="361"/>
      <c r="BZ1" s="361"/>
      <c r="CA1" s="361"/>
      <c r="CB1" s="2"/>
      <c r="CC1" s="361" t="s">
        <v>1082</v>
      </c>
      <c r="CD1" s="361"/>
      <c r="CE1" s="361"/>
      <c r="CF1" s="361"/>
      <c r="CG1" s="2"/>
      <c r="CH1" s="361" t="s">
        <v>1190</v>
      </c>
      <c r="CI1" s="361"/>
      <c r="CJ1" s="361"/>
      <c r="CK1" s="361"/>
      <c r="CL1" s="2"/>
      <c r="CM1" s="361" t="s">
        <v>6</v>
      </c>
      <c r="CN1" s="361"/>
      <c r="CO1" s="361"/>
      <c r="CP1" s="361"/>
      <c r="CQ1" s="2"/>
    </row>
    <row r="2" spans="1:95" s="8" customFormat="1" ht="15" customHeight="1" thickTop="1">
      <c r="A2" s="4">
        <v>1</v>
      </c>
      <c r="B2" s="25">
        <v>111101</v>
      </c>
      <c r="C2" s="5" t="s">
        <v>3700</v>
      </c>
      <c r="D2" s="6" t="s">
        <v>59</v>
      </c>
      <c r="E2" s="50"/>
      <c r="F2" s="4">
        <v>1</v>
      </c>
      <c r="G2" s="25">
        <v>111201</v>
      </c>
      <c r="H2" s="5" t="s">
        <v>3701</v>
      </c>
      <c r="I2" s="6" t="s">
        <v>60</v>
      </c>
      <c r="J2" s="138"/>
      <c r="K2" s="4">
        <v>1</v>
      </c>
      <c r="L2" s="25">
        <v>111301</v>
      </c>
      <c r="M2" s="5" t="s">
        <v>3702</v>
      </c>
      <c r="N2" s="6" t="s">
        <v>59</v>
      </c>
      <c r="O2" s="138"/>
      <c r="P2" s="4">
        <v>1</v>
      </c>
      <c r="Q2" s="25">
        <v>111401</v>
      </c>
      <c r="R2" s="5" t="s">
        <v>3703</v>
      </c>
      <c r="S2" s="6" t="s">
        <v>59</v>
      </c>
      <c r="T2" s="138"/>
      <c r="U2" s="4">
        <v>1</v>
      </c>
      <c r="V2" s="25">
        <v>112101</v>
      </c>
      <c r="W2" s="5" t="s">
        <v>3704</v>
      </c>
      <c r="X2" s="6" t="s">
        <v>59</v>
      </c>
      <c r="Y2" s="138"/>
      <c r="Z2" s="4">
        <v>1</v>
      </c>
      <c r="AA2" s="25">
        <v>112201</v>
      </c>
      <c r="AB2" s="5" t="s">
        <v>3705</v>
      </c>
      <c r="AC2" s="6" t="s">
        <v>59</v>
      </c>
      <c r="AD2" s="263"/>
      <c r="AE2" s="4">
        <v>1</v>
      </c>
      <c r="AF2" s="25">
        <v>112301</v>
      </c>
      <c r="AG2" s="5" t="s">
        <v>3706</v>
      </c>
      <c r="AH2" s="6" t="s">
        <v>59</v>
      </c>
      <c r="AI2" s="135"/>
      <c r="AJ2" s="4">
        <v>1</v>
      </c>
      <c r="AK2" s="25">
        <v>112401</v>
      </c>
      <c r="AL2" s="5" t="s">
        <v>3707</v>
      </c>
      <c r="AM2" s="6" t="s">
        <v>59</v>
      </c>
      <c r="AN2" s="135"/>
      <c r="AO2" s="4">
        <v>1</v>
      </c>
      <c r="AP2" s="25">
        <v>113101</v>
      </c>
      <c r="AQ2" s="5" t="s">
        <v>3708</v>
      </c>
      <c r="AR2" s="6" t="s">
        <v>59</v>
      </c>
      <c r="AS2" s="50"/>
      <c r="AT2" s="4">
        <v>1</v>
      </c>
      <c r="AU2" s="25">
        <v>113201</v>
      </c>
      <c r="AV2" s="5" t="s">
        <v>3709</v>
      </c>
      <c r="AW2" s="6" t="s">
        <v>59</v>
      </c>
      <c r="AX2" s="135"/>
      <c r="AY2" s="4">
        <v>1</v>
      </c>
      <c r="AZ2" s="25">
        <v>113301</v>
      </c>
      <c r="BA2" s="5" t="s">
        <v>3710</v>
      </c>
      <c r="BB2" s="6" t="s">
        <v>59</v>
      </c>
      <c r="BC2" s="50"/>
      <c r="BD2" s="4">
        <v>1</v>
      </c>
      <c r="BE2" s="25">
        <v>114101</v>
      </c>
      <c r="BF2" s="5" t="s">
        <v>3730</v>
      </c>
      <c r="BG2" s="6" t="s">
        <v>59</v>
      </c>
      <c r="BH2" s="50"/>
      <c r="BI2" s="4">
        <v>1</v>
      </c>
      <c r="BJ2" s="25">
        <v>114201</v>
      </c>
      <c r="BK2" s="5" t="s">
        <v>3711</v>
      </c>
      <c r="BL2" s="6" t="s">
        <v>59</v>
      </c>
      <c r="BM2" s="50"/>
      <c r="BN2" s="4">
        <v>1</v>
      </c>
      <c r="BO2" s="25">
        <v>115101</v>
      </c>
      <c r="BP2" s="5" t="s">
        <v>3713</v>
      </c>
      <c r="BQ2" s="6" t="s">
        <v>59</v>
      </c>
      <c r="BR2" s="138"/>
      <c r="BS2" s="4">
        <v>1</v>
      </c>
      <c r="BT2" s="25">
        <v>115201</v>
      </c>
      <c r="BU2" s="5" t="s">
        <v>3733</v>
      </c>
      <c r="BV2" s="6" t="s">
        <v>59</v>
      </c>
      <c r="BW2" s="138"/>
      <c r="BX2" s="4">
        <v>1</v>
      </c>
      <c r="BY2" s="25">
        <v>118101</v>
      </c>
      <c r="BZ2" s="5" t="s">
        <v>3715</v>
      </c>
      <c r="CA2" s="6" t="s">
        <v>59</v>
      </c>
      <c r="CB2" s="138"/>
      <c r="CC2" s="4">
        <v>1</v>
      </c>
      <c r="CD2" s="25">
        <v>118201</v>
      </c>
      <c r="CE2" s="5" t="s">
        <v>3716</v>
      </c>
      <c r="CF2" s="6" t="s">
        <v>59</v>
      </c>
      <c r="CG2" s="135"/>
      <c r="CH2" s="4">
        <v>1</v>
      </c>
      <c r="CI2" s="25">
        <v>116101</v>
      </c>
      <c r="CJ2" s="5" t="s">
        <v>3717</v>
      </c>
      <c r="CK2" s="6" t="s">
        <v>59</v>
      </c>
      <c r="CL2" s="7"/>
      <c r="CM2" s="4">
        <v>1</v>
      </c>
      <c r="CN2" s="25">
        <v>117101</v>
      </c>
      <c r="CO2" s="5" t="s">
        <v>3718</v>
      </c>
      <c r="CP2" s="6" t="s">
        <v>59</v>
      </c>
      <c r="CQ2" s="7"/>
    </row>
    <row r="3" spans="1:95" s="8" customFormat="1" ht="15" customHeight="1">
      <c r="A3" s="9">
        <v>2</v>
      </c>
      <c r="B3" s="26">
        <v>111102</v>
      </c>
      <c r="C3" s="10" t="s">
        <v>3719</v>
      </c>
      <c r="D3" s="11" t="s">
        <v>59</v>
      </c>
      <c r="E3" s="138"/>
      <c r="F3" s="9">
        <v>2</v>
      </c>
      <c r="G3" s="26">
        <v>111202</v>
      </c>
      <c r="H3" s="10" t="s">
        <v>3720</v>
      </c>
      <c r="I3" s="11" t="s">
        <v>59</v>
      </c>
      <c r="J3" s="138"/>
      <c r="K3" s="9">
        <v>2</v>
      </c>
      <c r="L3" s="26">
        <v>111302</v>
      </c>
      <c r="M3" s="10" t="s">
        <v>3721</v>
      </c>
      <c r="N3" s="11" t="s">
        <v>59</v>
      </c>
      <c r="O3" s="138"/>
      <c r="P3" s="9">
        <v>2</v>
      </c>
      <c r="Q3" s="26">
        <v>111402</v>
      </c>
      <c r="R3" s="10" t="s">
        <v>3722</v>
      </c>
      <c r="S3" s="11" t="s">
        <v>60</v>
      </c>
      <c r="T3" s="138"/>
      <c r="U3" s="9">
        <v>2</v>
      </c>
      <c r="V3" s="26">
        <v>112102</v>
      </c>
      <c r="W3" s="10" t="s">
        <v>3723</v>
      </c>
      <c r="X3" s="11" t="s">
        <v>59</v>
      </c>
      <c r="Y3" s="138"/>
      <c r="Z3" s="9">
        <v>2</v>
      </c>
      <c r="AA3" s="26">
        <v>112202</v>
      </c>
      <c r="AB3" s="10" t="s">
        <v>3724</v>
      </c>
      <c r="AC3" s="11" t="s">
        <v>59</v>
      </c>
      <c r="AD3" s="50"/>
      <c r="AE3" s="9">
        <v>2</v>
      </c>
      <c r="AF3" s="26">
        <v>112302</v>
      </c>
      <c r="AG3" s="10" t="s">
        <v>3725</v>
      </c>
      <c r="AH3" s="11" t="s">
        <v>59</v>
      </c>
      <c r="AI3" s="57"/>
      <c r="AJ3" s="9">
        <v>2</v>
      </c>
      <c r="AK3" s="26">
        <v>112402</v>
      </c>
      <c r="AL3" s="10" t="s">
        <v>3726</v>
      </c>
      <c r="AM3" s="11" t="s">
        <v>59</v>
      </c>
      <c r="AN3" s="135"/>
      <c r="AO3" s="9">
        <v>2</v>
      </c>
      <c r="AP3" s="26">
        <v>113102</v>
      </c>
      <c r="AQ3" s="10" t="s">
        <v>3727</v>
      </c>
      <c r="AR3" s="11" t="s">
        <v>59</v>
      </c>
      <c r="AS3" s="135"/>
      <c r="AT3" s="9">
        <v>2</v>
      </c>
      <c r="AU3" s="26">
        <v>113202</v>
      </c>
      <c r="AV3" s="10" t="s">
        <v>3728</v>
      </c>
      <c r="AW3" s="11" t="s">
        <v>59</v>
      </c>
      <c r="AX3" s="135"/>
      <c r="AY3" s="9">
        <v>2</v>
      </c>
      <c r="AZ3" s="26">
        <v>113302</v>
      </c>
      <c r="BA3" s="10" t="s">
        <v>3729</v>
      </c>
      <c r="BB3" s="11" t="s">
        <v>59</v>
      </c>
      <c r="BC3" s="50"/>
      <c r="BD3" s="9">
        <v>2</v>
      </c>
      <c r="BE3" s="26">
        <v>114102</v>
      </c>
      <c r="BF3" s="10" t="s">
        <v>3748</v>
      </c>
      <c r="BG3" s="11" t="s">
        <v>59</v>
      </c>
      <c r="BH3" s="50"/>
      <c r="BI3" s="9">
        <v>2</v>
      </c>
      <c r="BJ3" s="26">
        <v>114202</v>
      </c>
      <c r="BK3" s="10" t="s">
        <v>3712</v>
      </c>
      <c r="BL3" s="11" t="s">
        <v>59</v>
      </c>
      <c r="BM3" s="50"/>
      <c r="BN3" s="9">
        <v>2</v>
      </c>
      <c r="BO3" s="26">
        <v>115102</v>
      </c>
      <c r="BP3" s="10" t="s">
        <v>3732</v>
      </c>
      <c r="BQ3" s="11" t="s">
        <v>59</v>
      </c>
      <c r="BR3" s="135"/>
      <c r="BS3" s="9">
        <v>2</v>
      </c>
      <c r="BT3" s="26">
        <v>115202</v>
      </c>
      <c r="BU3" s="10" t="s">
        <v>3751</v>
      </c>
      <c r="BV3" s="11" t="s">
        <v>59</v>
      </c>
      <c r="BW3" s="135"/>
      <c r="BX3" s="9">
        <v>2</v>
      </c>
      <c r="BY3" s="26">
        <v>118102</v>
      </c>
      <c r="BZ3" s="10" t="s">
        <v>3734</v>
      </c>
      <c r="CA3" s="11" t="s">
        <v>59</v>
      </c>
      <c r="CB3" s="135"/>
      <c r="CC3" s="9">
        <v>2</v>
      </c>
      <c r="CD3" s="26">
        <v>118202</v>
      </c>
      <c r="CE3" s="10" t="s">
        <v>3753</v>
      </c>
      <c r="CF3" s="11" t="s">
        <v>59</v>
      </c>
      <c r="CG3" s="135"/>
      <c r="CH3" s="9">
        <v>2</v>
      </c>
      <c r="CI3" s="26">
        <v>116102</v>
      </c>
      <c r="CJ3" s="10" t="s">
        <v>3736</v>
      </c>
      <c r="CK3" s="11" t="s">
        <v>59</v>
      </c>
      <c r="CL3" s="7"/>
      <c r="CM3" s="9">
        <v>2</v>
      </c>
      <c r="CN3" s="26">
        <v>117102</v>
      </c>
      <c r="CO3" s="10" t="s">
        <v>3737</v>
      </c>
      <c r="CP3" s="11" t="s">
        <v>59</v>
      </c>
      <c r="CQ3" s="7"/>
    </row>
    <row r="4" spans="1:95" s="8" customFormat="1" ht="15" customHeight="1">
      <c r="A4" s="9">
        <v>3</v>
      </c>
      <c r="B4" s="21">
        <v>111103</v>
      </c>
      <c r="C4" s="10" t="s">
        <v>3738</v>
      </c>
      <c r="D4" s="11" t="s">
        <v>59</v>
      </c>
      <c r="E4" s="138"/>
      <c r="F4" s="9">
        <v>3</v>
      </c>
      <c r="G4" s="21">
        <v>111203</v>
      </c>
      <c r="H4" s="10" t="s">
        <v>925</v>
      </c>
      <c r="I4" s="11" t="s">
        <v>59</v>
      </c>
      <c r="J4" s="138"/>
      <c r="K4" s="9">
        <v>3</v>
      </c>
      <c r="L4" s="21">
        <v>111303</v>
      </c>
      <c r="M4" s="10" t="s">
        <v>3739</v>
      </c>
      <c r="N4" s="11" t="s">
        <v>59</v>
      </c>
      <c r="O4" s="135"/>
      <c r="P4" s="9">
        <v>3</v>
      </c>
      <c r="Q4" s="21">
        <v>111403</v>
      </c>
      <c r="R4" s="10" t="s">
        <v>3740</v>
      </c>
      <c r="S4" s="11" t="s">
        <v>59</v>
      </c>
      <c r="T4" s="138"/>
      <c r="U4" s="9">
        <v>3</v>
      </c>
      <c r="V4" s="21">
        <v>112103</v>
      </c>
      <c r="W4" s="10" t="s">
        <v>3741</v>
      </c>
      <c r="X4" s="11" t="s">
        <v>59</v>
      </c>
      <c r="Y4" s="138"/>
      <c r="Z4" s="9">
        <v>3</v>
      </c>
      <c r="AA4" s="21">
        <v>112203</v>
      </c>
      <c r="AB4" s="10" t="s">
        <v>3742</v>
      </c>
      <c r="AC4" s="11" t="s">
        <v>59</v>
      </c>
      <c r="AD4" s="50"/>
      <c r="AE4" s="9">
        <v>3</v>
      </c>
      <c r="AF4" s="21">
        <v>112303</v>
      </c>
      <c r="AG4" s="10" t="s">
        <v>3743</v>
      </c>
      <c r="AH4" s="11" t="s">
        <v>59</v>
      </c>
      <c r="AI4" s="50"/>
      <c r="AJ4" s="9">
        <v>3</v>
      </c>
      <c r="AK4" s="21">
        <v>112403</v>
      </c>
      <c r="AL4" s="10" t="s">
        <v>3744</v>
      </c>
      <c r="AM4" s="11" t="s">
        <v>59</v>
      </c>
      <c r="AN4" s="135"/>
      <c r="AO4" s="9">
        <v>3</v>
      </c>
      <c r="AP4" s="21">
        <v>113103</v>
      </c>
      <c r="AQ4" s="10" t="s">
        <v>3745</v>
      </c>
      <c r="AR4" s="11" t="s">
        <v>59</v>
      </c>
      <c r="AS4" s="135"/>
      <c r="AT4" s="9">
        <v>3</v>
      </c>
      <c r="AU4" s="21">
        <v>113203</v>
      </c>
      <c r="AV4" s="10" t="s">
        <v>3746</v>
      </c>
      <c r="AW4" s="11" t="s">
        <v>59</v>
      </c>
      <c r="AX4" s="135"/>
      <c r="AY4" s="9">
        <v>3</v>
      </c>
      <c r="AZ4" s="21">
        <v>113303</v>
      </c>
      <c r="BA4" s="10" t="s">
        <v>3747</v>
      </c>
      <c r="BB4" s="11" t="s">
        <v>60</v>
      </c>
      <c r="BC4" s="50"/>
      <c r="BD4" s="9">
        <v>3</v>
      </c>
      <c r="BE4" s="21">
        <v>114103</v>
      </c>
      <c r="BF4" s="10" t="s">
        <v>3767</v>
      </c>
      <c r="BG4" s="11" t="s">
        <v>59</v>
      </c>
      <c r="BH4" s="50"/>
      <c r="BI4" s="9">
        <v>3</v>
      </c>
      <c r="BJ4" s="21">
        <v>114203</v>
      </c>
      <c r="BK4" s="10" t="s">
        <v>3731</v>
      </c>
      <c r="BL4" s="11" t="s">
        <v>59</v>
      </c>
      <c r="BM4" s="50"/>
      <c r="BN4" s="9">
        <v>3</v>
      </c>
      <c r="BO4" s="21">
        <v>115103</v>
      </c>
      <c r="BP4" s="10" t="s">
        <v>3714</v>
      </c>
      <c r="BQ4" s="11" t="s">
        <v>59</v>
      </c>
      <c r="BR4" s="138"/>
      <c r="BS4" s="9">
        <v>3</v>
      </c>
      <c r="BT4" s="21">
        <v>115203</v>
      </c>
      <c r="BU4" s="10" t="s">
        <v>3769</v>
      </c>
      <c r="BV4" s="11" t="s">
        <v>59</v>
      </c>
      <c r="BW4" s="138"/>
      <c r="BX4" s="9">
        <v>3</v>
      </c>
      <c r="BY4" s="21">
        <v>118103</v>
      </c>
      <c r="BZ4" s="10" t="s">
        <v>3735</v>
      </c>
      <c r="CA4" s="11" t="s">
        <v>60</v>
      </c>
      <c r="CB4" s="135"/>
      <c r="CC4" s="9">
        <v>3</v>
      </c>
      <c r="CD4" s="21">
        <v>118203</v>
      </c>
      <c r="CE4" s="10" t="s">
        <v>3752</v>
      </c>
      <c r="CF4" s="11" t="s">
        <v>59</v>
      </c>
      <c r="CG4" s="135"/>
      <c r="CH4" s="9">
        <v>3</v>
      </c>
      <c r="CI4" s="21">
        <v>116103</v>
      </c>
      <c r="CJ4" s="10" t="s">
        <v>3754</v>
      </c>
      <c r="CK4" s="11" t="s">
        <v>60</v>
      </c>
      <c r="CL4" s="7"/>
      <c r="CM4" s="9">
        <v>3</v>
      </c>
      <c r="CN4" s="21">
        <v>117103</v>
      </c>
      <c r="CO4" s="10" t="s">
        <v>3755</v>
      </c>
      <c r="CP4" s="11" t="s">
        <v>59</v>
      </c>
      <c r="CQ4" s="7"/>
    </row>
    <row r="5" spans="1:95" s="8" customFormat="1" ht="15" customHeight="1">
      <c r="A5" s="9">
        <v>4</v>
      </c>
      <c r="B5" s="21">
        <v>111104</v>
      </c>
      <c r="C5" s="10" t="s">
        <v>3756</v>
      </c>
      <c r="D5" s="11" t="s">
        <v>60</v>
      </c>
      <c r="E5" s="138"/>
      <c r="F5" s="9">
        <v>4</v>
      </c>
      <c r="G5" s="21">
        <v>111204</v>
      </c>
      <c r="H5" s="10" t="s">
        <v>3757</v>
      </c>
      <c r="I5" s="11" t="s">
        <v>59</v>
      </c>
      <c r="J5" s="138"/>
      <c r="K5" s="9">
        <v>4</v>
      </c>
      <c r="L5" s="21">
        <v>111304</v>
      </c>
      <c r="M5" s="10" t="s">
        <v>3758</v>
      </c>
      <c r="N5" s="11" t="s">
        <v>59</v>
      </c>
      <c r="O5" s="138"/>
      <c r="P5" s="9">
        <v>4</v>
      </c>
      <c r="Q5" s="21">
        <v>111404</v>
      </c>
      <c r="R5" s="10" t="s">
        <v>3759</v>
      </c>
      <c r="S5" s="11" t="s">
        <v>60</v>
      </c>
      <c r="T5" s="138"/>
      <c r="U5" s="9">
        <v>4</v>
      </c>
      <c r="V5" s="21">
        <v>112104</v>
      </c>
      <c r="W5" s="10" t="s">
        <v>3760</v>
      </c>
      <c r="X5" s="11" t="s">
        <v>59</v>
      </c>
      <c r="Y5" s="138"/>
      <c r="Z5" s="9">
        <v>4</v>
      </c>
      <c r="AA5" s="21">
        <v>112204</v>
      </c>
      <c r="AB5" s="10" t="s">
        <v>3761</v>
      </c>
      <c r="AC5" s="11" t="s">
        <v>59</v>
      </c>
      <c r="AD5" s="50"/>
      <c r="AE5" s="9">
        <v>4</v>
      </c>
      <c r="AF5" s="21">
        <v>112304</v>
      </c>
      <c r="AG5" s="10" t="s">
        <v>3762</v>
      </c>
      <c r="AH5" s="11" t="s">
        <v>59</v>
      </c>
      <c r="AI5" s="57"/>
      <c r="AJ5" s="9">
        <v>4</v>
      </c>
      <c r="AK5" s="21">
        <v>112404</v>
      </c>
      <c r="AL5" s="10" t="s">
        <v>3763</v>
      </c>
      <c r="AM5" s="11" t="s">
        <v>59</v>
      </c>
      <c r="AN5" s="135"/>
      <c r="AO5" s="9">
        <v>4</v>
      </c>
      <c r="AP5" s="21">
        <v>113104</v>
      </c>
      <c r="AQ5" s="10" t="s">
        <v>3764</v>
      </c>
      <c r="AR5" s="11" t="s">
        <v>59</v>
      </c>
      <c r="AS5" s="135"/>
      <c r="AT5" s="9">
        <v>4</v>
      </c>
      <c r="AU5" s="21">
        <v>113204</v>
      </c>
      <c r="AV5" s="10" t="s">
        <v>3765</v>
      </c>
      <c r="AW5" s="11" t="s">
        <v>60</v>
      </c>
      <c r="AX5" s="135"/>
      <c r="AY5" s="9">
        <v>4</v>
      </c>
      <c r="AZ5" s="21">
        <v>113304</v>
      </c>
      <c r="BA5" s="10" t="s">
        <v>3766</v>
      </c>
      <c r="BB5" s="11" t="s">
        <v>59</v>
      </c>
      <c r="BC5" s="50"/>
      <c r="BD5" s="9">
        <v>4</v>
      </c>
      <c r="BE5" s="21">
        <v>114104</v>
      </c>
      <c r="BF5" s="10" t="s">
        <v>3784</v>
      </c>
      <c r="BG5" s="11" t="s">
        <v>59</v>
      </c>
      <c r="BH5" s="50"/>
      <c r="BI5" s="9">
        <v>4</v>
      </c>
      <c r="BJ5" s="21">
        <v>114204</v>
      </c>
      <c r="BK5" s="10" t="s">
        <v>3749</v>
      </c>
      <c r="BL5" s="11" t="s">
        <v>59</v>
      </c>
      <c r="BM5" s="50"/>
      <c r="BN5" s="9">
        <v>4</v>
      </c>
      <c r="BO5" s="21">
        <v>115104</v>
      </c>
      <c r="BP5" s="10" t="s">
        <v>3750</v>
      </c>
      <c r="BQ5" s="11" t="s">
        <v>59</v>
      </c>
      <c r="BR5" s="138"/>
      <c r="BS5" s="9">
        <v>4</v>
      </c>
      <c r="BT5" s="21">
        <v>115204</v>
      </c>
      <c r="BU5" s="10" t="s">
        <v>3758</v>
      </c>
      <c r="BV5" s="11" t="s">
        <v>59</v>
      </c>
      <c r="BW5" s="135"/>
      <c r="BX5" s="9">
        <v>4</v>
      </c>
      <c r="BY5" s="21">
        <v>118104</v>
      </c>
      <c r="BZ5" s="10" t="s">
        <v>3771</v>
      </c>
      <c r="CA5" s="11" t="s">
        <v>59</v>
      </c>
      <c r="CB5" s="138"/>
      <c r="CC5" s="9">
        <v>4</v>
      </c>
      <c r="CD5" s="21">
        <v>118204</v>
      </c>
      <c r="CE5" s="10" t="s">
        <v>3770</v>
      </c>
      <c r="CF5" s="11" t="s">
        <v>59</v>
      </c>
      <c r="CG5" s="135"/>
      <c r="CH5" s="9">
        <v>4</v>
      </c>
      <c r="CI5" s="21">
        <v>116104</v>
      </c>
      <c r="CJ5" s="10" t="s">
        <v>3772</v>
      </c>
      <c r="CK5" s="11" t="s">
        <v>59</v>
      </c>
      <c r="CL5" s="7"/>
      <c r="CM5" s="9">
        <v>4</v>
      </c>
      <c r="CN5" s="21">
        <v>117104</v>
      </c>
      <c r="CO5" s="10" t="s">
        <v>3773</v>
      </c>
      <c r="CP5" s="11" t="s">
        <v>59</v>
      </c>
      <c r="CQ5" s="7"/>
    </row>
    <row r="6" spans="1:95" s="8" customFormat="1" ht="15" customHeight="1" thickBot="1">
      <c r="A6" s="12">
        <v>5</v>
      </c>
      <c r="B6" s="27">
        <v>111105</v>
      </c>
      <c r="C6" s="13" t="s">
        <v>3774</v>
      </c>
      <c r="D6" s="14" t="s">
        <v>59</v>
      </c>
      <c r="E6" s="138"/>
      <c r="F6" s="12">
        <v>5</v>
      </c>
      <c r="G6" s="27">
        <v>111205</v>
      </c>
      <c r="H6" s="13" t="s">
        <v>3775</v>
      </c>
      <c r="I6" s="14" t="s">
        <v>59</v>
      </c>
      <c r="J6" s="138"/>
      <c r="K6" s="12">
        <v>5</v>
      </c>
      <c r="L6" s="27">
        <v>111305</v>
      </c>
      <c r="M6" s="13" t="s">
        <v>1390</v>
      </c>
      <c r="N6" s="14" t="s">
        <v>59</v>
      </c>
      <c r="O6" s="138"/>
      <c r="P6" s="12">
        <v>5</v>
      </c>
      <c r="Q6" s="27">
        <v>111405</v>
      </c>
      <c r="R6" s="13" t="s">
        <v>3776</v>
      </c>
      <c r="S6" s="14" t="s">
        <v>59</v>
      </c>
      <c r="T6" s="138"/>
      <c r="U6" s="12">
        <v>5</v>
      </c>
      <c r="V6" s="27">
        <v>112105</v>
      </c>
      <c r="W6" s="13" t="s">
        <v>3777</v>
      </c>
      <c r="X6" s="14" t="s">
        <v>59</v>
      </c>
      <c r="Y6" s="138"/>
      <c r="Z6" s="12">
        <v>5</v>
      </c>
      <c r="AA6" s="27">
        <v>112205</v>
      </c>
      <c r="AB6" s="13" t="s">
        <v>3778</v>
      </c>
      <c r="AC6" s="14" t="s">
        <v>59</v>
      </c>
      <c r="AD6" s="50"/>
      <c r="AE6" s="12">
        <v>5</v>
      </c>
      <c r="AF6" s="27">
        <v>112305</v>
      </c>
      <c r="AG6" s="13" t="s">
        <v>3779</v>
      </c>
      <c r="AH6" s="14" t="s">
        <v>59</v>
      </c>
      <c r="AI6" s="57"/>
      <c r="AJ6" s="12">
        <v>5</v>
      </c>
      <c r="AK6" s="27">
        <v>112405</v>
      </c>
      <c r="AL6" s="13" t="s">
        <v>3780</v>
      </c>
      <c r="AM6" s="14" t="s">
        <v>59</v>
      </c>
      <c r="AN6" s="135"/>
      <c r="AO6" s="12">
        <v>5</v>
      </c>
      <c r="AP6" s="27">
        <v>113105</v>
      </c>
      <c r="AQ6" s="13" t="s">
        <v>3781</v>
      </c>
      <c r="AR6" s="14" t="s">
        <v>59</v>
      </c>
      <c r="AS6" s="135"/>
      <c r="AT6" s="12">
        <v>5</v>
      </c>
      <c r="AU6" s="27">
        <v>113205</v>
      </c>
      <c r="AV6" s="13" t="s">
        <v>3782</v>
      </c>
      <c r="AW6" s="14" t="s">
        <v>59</v>
      </c>
      <c r="AX6" s="202"/>
      <c r="AY6" s="12">
        <v>5</v>
      </c>
      <c r="AZ6" s="27">
        <v>113305</v>
      </c>
      <c r="BA6" s="13" t="s">
        <v>3783</v>
      </c>
      <c r="BB6" s="14" t="s">
        <v>59</v>
      </c>
      <c r="BC6" s="50"/>
      <c r="BD6" s="12">
        <v>5</v>
      </c>
      <c r="BE6" s="27">
        <v>114105</v>
      </c>
      <c r="BF6" s="13" t="s">
        <v>3802</v>
      </c>
      <c r="BG6" s="14" t="s">
        <v>59</v>
      </c>
      <c r="BH6" s="50"/>
      <c r="BI6" s="12">
        <v>5</v>
      </c>
      <c r="BJ6" s="27">
        <v>114205</v>
      </c>
      <c r="BK6" s="13" t="s">
        <v>3768</v>
      </c>
      <c r="BL6" s="14" t="s">
        <v>59</v>
      </c>
      <c r="BM6" s="50"/>
      <c r="BN6" s="12">
        <v>5</v>
      </c>
      <c r="BO6" s="27">
        <v>115105</v>
      </c>
      <c r="BP6" s="13" t="s">
        <v>1588</v>
      </c>
      <c r="BQ6" s="14" t="s">
        <v>59</v>
      </c>
      <c r="BR6" s="135"/>
      <c r="BS6" s="12">
        <v>5</v>
      </c>
      <c r="BT6" s="27">
        <v>115205</v>
      </c>
      <c r="BU6" s="13" t="s">
        <v>3839</v>
      </c>
      <c r="BV6" s="14" t="s">
        <v>59</v>
      </c>
      <c r="BW6" s="135"/>
      <c r="BX6" s="12">
        <v>5</v>
      </c>
      <c r="BY6" s="27">
        <v>118105</v>
      </c>
      <c r="BZ6" s="13" t="s">
        <v>3788</v>
      </c>
      <c r="CA6" s="14" t="s">
        <v>60</v>
      </c>
      <c r="CB6" s="135"/>
      <c r="CC6" s="12">
        <v>5</v>
      </c>
      <c r="CD6" s="27">
        <v>118205</v>
      </c>
      <c r="CE6" s="13" t="s">
        <v>1353</v>
      </c>
      <c r="CF6" s="14" t="s">
        <v>59</v>
      </c>
      <c r="CG6" s="135"/>
      <c r="CH6" s="12">
        <v>5</v>
      </c>
      <c r="CI6" s="27">
        <v>116105</v>
      </c>
      <c r="CJ6" s="13" t="s">
        <v>3789</v>
      </c>
      <c r="CK6" s="14" t="s">
        <v>59</v>
      </c>
      <c r="CL6" s="7"/>
      <c r="CM6" s="12">
        <v>5</v>
      </c>
      <c r="CN6" s="27">
        <v>117105</v>
      </c>
      <c r="CO6" s="13" t="s">
        <v>3790</v>
      </c>
      <c r="CP6" s="14" t="s">
        <v>59</v>
      </c>
      <c r="CQ6" s="7"/>
    </row>
    <row r="7" spans="1:95" s="8" customFormat="1" ht="15" customHeight="1" thickTop="1">
      <c r="A7" s="4">
        <v>6</v>
      </c>
      <c r="B7" s="25">
        <v>111106</v>
      </c>
      <c r="C7" s="5" t="s">
        <v>3791</v>
      </c>
      <c r="D7" s="6" t="s">
        <v>59</v>
      </c>
      <c r="E7" s="50"/>
      <c r="F7" s="4">
        <v>6</v>
      </c>
      <c r="G7" s="25">
        <v>111206</v>
      </c>
      <c r="H7" s="5" t="s">
        <v>3792</v>
      </c>
      <c r="I7" s="6" t="s">
        <v>59</v>
      </c>
      <c r="J7" s="138"/>
      <c r="K7" s="4">
        <v>6</v>
      </c>
      <c r="L7" s="25">
        <v>111306</v>
      </c>
      <c r="M7" s="5" t="s">
        <v>3793</v>
      </c>
      <c r="N7" s="6" t="s">
        <v>59</v>
      </c>
      <c r="O7" s="138"/>
      <c r="P7" s="4">
        <v>6</v>
      </c>
      <c r="Q7" s="25">
        <v>111406</v>
      </c>
      <c r="R7" s="5" t="s">
        <v>3794</v>
      </c>
      <c r="S7" s="6" t="s">
        <v>59</v>
      </c>
      <c r="T7" s="138"/>
      <c r="U7" s="4">
        <v>6</v>
      </c>
      <c r="V7" s="25">
        <v>112106</v>
      </c>
      <c r="W7" s="5" t="s">
        <v>3795</v>
      </c>
      <c r="X7" s="6" t="s">
        <v>59</v>
      </c>
      <c r="Y7" s="138"/>
      <c r="Z7" s="4">
        <v>6</v>
      </c>
      <c r="AA7" s="25">
        <v>112206</v>
      </c>
      <c r="AB7" s="5" t="s">
        <v>3796</v>
      </c>
      <c r="AC7" s="6" t="s">
        <v>59</v>
      </c>
      <c r="AD7" s="50"/>
      <c r="AE7" s="4">
        <v>6</v>
      </c>
      <c r="AF7" s="25">
        <v>112306</v>
      </c>
      <c r="AG7" s="5" t="s">
        <v>3797</v>
      </c>
      <c r="AH7" s="6" t="s">
        <v>59</v>
      </c>
      <c r="AI7" s="57"/>
      <c r="AJ7" s="4">
        <v>6</v>
      </c>
      <c r="AK7" s="25">
        <v>112406</v>
      </c>
      <c r="AL7" s="5" t="s">
        <v>3798</v>
      </c>
      <c r="AM7" s="6" t="s">
        <v>59</v>
      </c>
      <c r="AN7" s="50"/>
      <c r="AO7" s="4">
        <v>6</v>
      </c>
      <c r="AP7" s="25">
        <v>113106</v>
      </c>
      <c r="AQ7" s="5" t="s">
        <v>3799</v>
      </c>
      <c r="AR7" s="6" t="s">
        <v>59</v>
      </c>
      <c r="AS7" s="135"/>
      <c r="AT7" s="4">
        <v>6</v>
      </c>
      <c r="AU7" s="25">
        <v>113206</v>
      </c>
      <c r="AV7" s="5" t="s">
        <v>3800</v>
      </c>
      <c r="AW7" s="6" t="s">
        <v>59</v>
      </c>
      <c r="AX7" s="50"/>
      <c r="AY7" s="4">
        <v>6</v>
      </c>
      <c r="AZ7" s="25">
        <v>113306</v>
      </c>
      <c r="BA7" s="5" t="s">
        <v>3801</v>
      </c>
      <c r="BB7" s="6" t="s">
        <v>59</v>
      </c>
      <c r="BC7" s="50"/>
      <c r="BD7" s="4">
        <v>6</v>
      </c>
      <c r="BE7" s="25">
        <v>114106</v>
      </c>
      <c r="BF7" s="5" t="s">
        <v>3818</v>
      </c>
      <c r="BG7" s="6" t="s">
        <v>59</v>
      </c>
      <c r="BH7" s="50"/>
      <c r="BI7" s="4">
        <v>6</v>
      </c>
      <c r="BJ7" s="25">
        <v>114206</v>
      </c>
      <c r="BK7" s="5" t="s">
        <v>3837</v>
      </c>
      <c r="BL7" s="6" t="s">
        <v>60</v>
      </c>
      <c r="BM7" s="50"/>
      <c r="BN7" s="4">
        <v>6</v>
      </c>
      <c r="BO7" s="25">
        <v>115106</v>
      </c>
      <c r="BP7" s="5" t="s">
        <v>3786</v>
      </c>
      <c r="BQ7" s="6" t="s">
        <v>59</v>
      </c>
      <c r="BR7" s="135"/>
      <c r="BS7" s="4">
        <v>6</v>
      </c>
      <c r="BT7" s="25">
        <v>115206</v>
      </c>
      <c r="BU7" s="5" t="s">
        <v>3805</v>
      </c>
      <c r="BV7" s="6" t="s">
        <v>59</v>
      </c>
      <c r="BW7" s="135"/>
      <c r="BX7" s="4">
        <v>6</v>
      </c>
      <c r="BY7" s="25">
        <v>118106</v>
      </c>
      <c r="BZ7" s="5" t="s">
        <v>3787</v>
      </c>
      <c r="CA7" s="6" t="s">
        <v>59</v>
      </c>
      <c r="CB7" s="135"/>
      <c r="CC7" s="4">
        <v>6</v>
      </c>
      <c r="CD7" s="25">
        <v>118206</v>
      </c>
      <c r="CE7" s="5" t="s">
        <v>3842</v>
      </c>
      <c r="CF7" s="6" t="s">
        <v>60</v>
      </c>
      <c r="CG7" s="135"/>
      <c r="CH7" s="4">
        <v>6</v>
      </c>
      <c r="CI7" s="25">
        <v>116106</v>
      </c>
      <c r="CJ7" s="5" t="s">
        <v>3807</v>
      </c>
      <c r="CK7" s="6" t="s">
        <v>59</v>
      </c>
      <c r="CL7" s="7"/>
      <c r="CM7" s="4">
        <v>6</v>
      </c>
      <c r="CN7" s="25">
        <v>117106</v>
      </c>
      <c r="CO7" s="5" t="s">
        <v>3808</v>
      </c>
      <c r="CP7" s="6" t="s">
        <v>59</v>
      </c>
      <c r="CQ7" s="7"/>
    </row>
    <row r="8" spans="1:95" s="8" customFormat="1" ht="15" customHeight="1">
      <c r="A8" s="9">
        <v>7</v>
      </c>
      <c r="B8" s="26">
        <v>111107</v>
      </c>
      <c r="C8" s="10" t="s">
        <v>3809</v>
      </c>
      <c r="D8" s="11" t="s">
        <v>59</v>
      </c>
      <c r="E8" s="50"/>
      <c r="F8" s="9">
        <v>7</v>
      </c>
      <c r="G8" s="26">
        <v>111207</v>
      </c>
      <c r="H8" s="10" t="s">
        <v>3810</v>
      </c>
      <c r="I8" s="11" t="s">
        <v>59</v>
      </c>
      <c r="J8" s="138"/>
      <c r="K8" s="9">
        <v>7</v>
      </c>
      <c r="L8" s="26">
        <v>111307</v>
      </c>
      <c r="M8" s="10" t="s">
        <v>3811</v>
      </c>
      <c r="N8" s="11" t="s">
        <v>59</v>
      </c>
      <c r="O8" s="138"/>
      <c r="P8" s="9">
        <v>7</v>
      </c>
      <c r="Q8" s="26">
        <v>111407</v>
      </c>
      <c r="R8" s="10" t="s">
        <v>3812</v>
      </c>
      <c r="S8" s="11" t="s">
        <v>60</v>
      </c>
      <c r="T8" s="138"/>
      <c r="U8" s="9">
        <v>7</v>
      </c>
      <c r="V8" s="26">
        <v>112107</v>
      </c>
      <c r="W8" s="10" t="s">
        <v>581</v>
      </c>
      <c r="X8" s="11" t="s">
        <v>59</v>
      </c>
      <c r="Y8" s="138"/>
      <c r="Z8" s="9">
        <v>7</v>
      </c>
      <c r="AA8" s="26">
        <v>112207</v>
      </c>
      <c r="AB8" s="10" t="s">
        <v>3813</v>
      </c>
      <c r="AC8" s="11" t="s">
        <v>59</v>
      </c>
      <c r="AD8" s="50"/>
      <c r="AE8" s="9">
        <v>7</v>
      </c>
      <c r="AF8" s="26">
        <v>112307</v>
      </c>
      <c r="AG8" s="10" t="s">
        <v>3814</v>
      </c>
      <c r="AH8" s="11" t="s">
        <v>59</v>
      </c>
      <c r="AI8" s="57"/>
      <c r="AJ8" s="9">
        <v>7</v>
      </c>
      <c r="AK8" s="26">
        <v>112407</v>
      </c>
      <c r="AL8" s="10" t="s">
        <v>1479</v>
      </c>
      <c r="AM8" s="11" t="s">
        <v>59</v>
      </c>
      <c r="AN8" s="135"/>
      <c r="AO8" s="9">
        <v>7</v>
      </c>
      <c r="AP8" s="26">
        <v>113107</v>
      </c>
      <c r="AQ8" s="10" t="s">
        <v>3815</v>
      </c>
      <c r="AR8" s="11" t="s">
        <v>59</v>
      </c>
      <c r="AS8" s="50"/>
      <c r="AT8" s="9">
        <v>7</v>
      </c>
      <c r="AU8" s="26">
        <v>113207</v>
      </c>
      <c r="AV8" s="10" t="s">
        <v>3816</v>
      </c>
      <c r="AW8" s="11" t="s">
        <v>59</v>
      </c>
      <c r="AX8" s="135"/>
      <c r="AY8" s="9">
        <v>7</v>
      </c>
      <c r="AZ8" s="26">
        <v>113307</v>
      </c>
      <c r="BA8" s="10" t="s">
        <v>3817</v>
      </c>
      <c r="BB8" s="11" t="s">
        <v>59</v>
      </c>
      <c r="BC8" s="50"/>
      <c r="BD8" s="9">
        <v>7</v>
      </c>
      <c r="BE8" s="204">
        <v>114107</v>
      </c>
      <c r="BF8" s="205" t="s">
        <v>3803</v>
      </c>
      <c r="BG8" s="206" t="s">
        <v>59</v>
      </c>
      <c r="BH8" s="207" t="s">
        <v>4413</v>
      </c>
      <c r="BI8" s="9">
        <v>7</v>
      </c>
      <c r="BJ8" s="26">
        <v>114207</v>
      </c>
      <c r="BK8" s="10" t="s">
        <v>3785</v>
      </c>
      <c r="BL8" s="11" t="s">
        <v>59</v>
      </c>
      <c r="BM8" s="50"/>
      <c r="BN8" s="9">
        <v>7</v>
      </c>
      <c r="BO8" s="26">
        <v>115107</v>
      </c>
      <c r="BP8" s="10" t="s">
        <v>3804</v>
      </c>
      <c r="BQ8" s="11" t="s">
        <v>59</v>
      </c>
      <c r="BR8" s="135"/>
      <c r="BS8" s="9">
        <v>7</v>
      </c>
      <c r="BT8" s="26">
        <v>115207</v>
      </c>
      <c r="BU8" s="10" t="s">
        <v>3821</v>
      </c>
      <c r="BV8" s="11" t="s">
        <v>59</v>
      </c>
      <c r="BW8" s="135"/>
      <c r="BX8" s="9">
        <v>7</v>
      </c>
      <c r="BY8" s="26">
        <v>118107</v>
      </c>
      <c r="BZ8" s="10" t="s">
        <v>3806</v>
      </c>
      <c r="CA8" s="11" t="s">
        <v>59</v>
      </c>
      <c r="CB8" s="135"/>
      <c r="CC8" s="9">
        <v>7</v>
      </c>
      <c r="CD8" s="26">
        <v>118207</v>
      </c>
      <c r="CE8" s="10" t="s">
        <v>3858</v>
      </c>
      <c r="CF8" s="11" t="s">
        <v>59</v>
      </c>
      <c r="CG8" s="135"/>
      <c r="CH8" s="9">
        <v>7</v>
      </c>
      <c r="CI8" s="26">
        <v>116107</v>
      </c>
      <c r="CJ8" s="10" t="s">
        <v>3824</v>
      </c>
      <c r="CK8" s="11" t="s">
        <v>60</v>
      </c>
      <c r="CL8" s="7"/>
      <c r="CM8" s="9">
        <v>7</v>
      </c>
      <c r="CN8" s="26">
        <v>117107</v>
      </c>
      <c r="CO8" s="10" t="s">
        <v>3825</v>
      </c>
      <c r="CP8" s="11" t="s">
        <v>59</v>
      </c>
      <c r="CQ8" s="7"/>
    </row>
    <row r="9" spans="1:95" s="8" customFormat="1" ht="15" customHeight="1">
      <c r="A9" s="9">
        <v>8</v>
      </c>
      <c r="B9" s="21">
        <v>111108</v>
      </c>
      <c r="C9" s="10" t="s">
        <v>3826</v>
      </c>
      <c r="D9" s="11" t="s">
        <v>59</v>
      </c>
      <c r="E9" s="50"/>
      <c r="F9" s="9">
        <v>8</v>
      </c>
      <c r="G9" s="21">
        <v>111208</v>
      </c>
      <c r="H9" s="10" t="s">
        <v>3827</v>
      </c>
      <c r="I9" s="11" t="s">
        <v>59</v>
      </c>
      <c r="J9" s="138"/>
      <c r="K9" s="9">
        <v>8</v>
      </c>
      <c r="L9" s="21">
        <v>111308</v>
      </c>
      <c r="M9" s="10" t="s">
        <v>3828</v>
      </c>
      <c r="N9" s="11" t="s">
        <v>60</v>
      </c>
      <c r="O9" s="138"/>
      <c r="P9" s="9">
        <v>8</v>
      </c>
      <c r="Q9" s="21">
        <v>111408</v>
      </c>
      <c r="R9" s="10" t="s">
        <v>3829</v>
      </c>
      <c r="S9" s="11" t="s">
        <v>59</v>
      </c>
      <c r="T9" s="138"/>
      <c r="U9" s="9">
        <v>8</v>
      </c>
      <c r="V9" s="21">
        <v>112108</v>
      </c>
      <c r="W9" s="10" t="s">
        <v>3830</v>
      </c>
      <c r="X9" s="11" t="s">
        <v>60</v>
      </c>
      <c r="Y9" s="138"/>
      <c r="Z9" s="9">
        <v>8</v>
      </c>
      <c r="AA9" s="21">
        <v>112208</v>
      </c>
      <c r="AB9" s="10" t="s">
        <v>3831</v>
      </c>
      <c r="AC9" s="11" t="s">
        <v>59</v>
      </c>
      <c r="AD9" s="50"/>
      <c r="AE9" s="9">
        <v>8</v>
      </c>
      <c r="AF9" s="26">
        <v>112308</v>
      </c>
      <c r="AG9" s="10" t="s">
        <v>3832</v>
      </c>
      <c r="AH9" s="11" t="s">
        <v>59</v>
      </c>
      <c r="AI9" s="50"/>
      <c r="AJ9" s="9">
        <v>8</v>
      </c>
      <c r="AK9" s="21">
        <v>112408</v>
      </c>
      <c r="AL9" s="10" t="s">
        <v>3833</v>
      </c>
      <c r="AM9" s="11" t="s">
        <v>59</v>
      </c>
      <c r="AN9" s="135"/>
      <c r="AO9" s="9">
        <v>8</v>
      </c>
      <c r="AP9" s="21">
        <v>113108</v>
      </c>
      <c r="AQ9" s="10" t="s">
        <v>3834</v>
      </c>
      <c r="AR9" s="11" t="s">
        <v>59</v>
      </c>
      <c r="AS9" s="135"/>
      <c r="AT9" s="9">
        <v>8</v>
      </c>
      <c r="AU9" s="21">
        <v>113208</v>
      </c>
      <c r="AV9" s="10" t="s">
        <v>3835</v>
      </c>
      <c r="AW9" s="11" t="s">
        <v>59</v>
      </c>
      <c r="AX9" s="202"/>
      <c r="AY9" s="9">
        <v>8</v>
      </c>
      <c r="AZ9" s="21">
        <v>113308</v>
      </c>
      <c r="BA9" s="10" t="s">
        <v>3836</v>
      </c>
      <c r="BB9" s="11" t="s">
        <v>59</v>
      </c>
      <c r="BC9" s="50"/>
      <c r="BD9" s="9">
        <v>8</v>
      </c>
      <c r="BE9" s="21">
        <v>114108</v>
      </c>
      <c r="BF9" s="10" t="s">
        <v>3854</v>
      </c>
      <c r="BG9" s="11" t="s">
        <v>60</v>
      </c>
      <c r="BH9" s="50"/>
      <c r="BI9" s="9">
        <v>8</v>
      </c>
      <c r="BJ9" s="21">
        <v>114208</v>
      </c>
      <c r="BK9" s="10" t="s">
        <v>3819</v>
      </c>
      <c r="BL9" s="11" t="s">
        <v>59</v>
      </c>
      <c r="BM9" s="50"/>
      <c r="BN9" s="9">
        <v>8</v>
      </c>
      <c r="BO9" s="21">
        <v>115108</v>
      </c>
      <c r="BP9" s="10" t="s">
        <v>3820</v>
      </c>
      <c r="BQ9" s="11" t="s">
        <v>59</v>
      </c>
      <c r="BR9" s="138"/>
      <c r="BS9" s="9">
        <v>8</v>
      </c>
      <c r="BT9" s="21">
        <v>115208</v>
      </c>
      <c r="BU9" s="10" t="s">
        <v>3857</v>
      </c>
      <c r="BV9" s="11" t="s">
        <v>59</v>
      </c>
      <c r="BW9" s="135"/>
      <c r="BX9" s="9">
        <v>8</v>
      </c>
      <c r="BY9" s="21">
        <v>118108</v>
      </c>
      <c r="BZ9" s="10" t="s">
        <v>3823</v>
      </c>
      <c r="CA9" s="11" t="s">
        <v>60</v>
      </c>
      <c r="CB9" s="135"/>
      <c r="CC9" s="9">
        <v>8</v>
      </c>
      <c r="CD9" s="21">
        <v>118208</v>
      </c>
      <c r="CE9" s="10" t="s">
        <v>3896</v>
      </c>
      <c r="CF9" s="11" t="s">
        <v>60</v>
      </c>
      <c r="CG9" s="135"/>
      <c r="CH9" s="9">
        <v>8</v>
      </c>
      <c r="CI9" s="21">
        <v>116108</v>
      </c>
      <c r="CJ9" s="10" t="s">
        <v>2076</v>
      </c>
      <c r="CK9" s="11" t="s">
        <v>59</v>
      </c>
      <c r="CL9" s="7"/>
      <c r="CM9" s="9">
        <v>8</v>
      </c>
      <c r="CN9" s="262">
        <v>117108</v>
      </c>
      <c r="CO9" s="205" t="s">
        <v>3843</v>
      </c>
      <c r="CP9" s="206" t="s">
        <v>59</v>
      </c>
      <c r="CQ9" s="299" t="s">
        <v>4414</v>
      </c>
    </row>
    <row r="10" spans="1:95" s="8" customFormat="1" ht="15" customHeight="1">
      <c r="A10" s="9">
        <v>9</v>
      </c>
      <c r="B10" s="21">
        <v>111109</v>
      </c>
      <c r="C10" s="10" t="s">
        <v>3844</v>
      </c>
      <c r="D10" s="11" t="s">
        <v>59</v>
      </c>
      <c r="E10" s="57"/>
      <c r="F10" s="9">
        <v>9</v>
      </c>
      <c r="G10" s="21">
        <v>111209</v>
      </c>
      <c r="H10" s="10" t="s">
        <v>3845</v>
      </c>
      <c r="I10" s="11" t="s">
        <v>60</v>
      </c>
      <c r="J10" s="138"/>
      <c r="K10" s="9">
        <v>9</v>
      </c>
      <c r="L10" s="21">
        <v>111309</v>
      </c>
      <c r="M10" s="10" t="s">
        <v>3846</v>
      </c>
      <c r="N10" s="11" t="s">
        <v>60</v>
      </c>
      <c r="O10" s="138"/>
      <c r="P10" s="9">
        <v>9</v>
      </c>
      <c r="Q10" s="21">
        <v>111409</v>
      </c>
      <c r="R10" s="10" t="s">
        <v>3847</v>
      </c>
      <c r="S10" s="11" t="s">
        <v>59</v>
      </c>
      <c r="T10" s="138"/>
      <c r="U10" s="9">
        <v>9</v>
      </c>
      <c r="V10" s="21">
        <v>112109</v>
      </c>
      <c r="W10" s="10" t="s">
        <v>2955</v>
      </c>
      <c r="X10" s="11" t="s">
        <v>59</v>
      </c>
      <c r="Y10" s="138"/>
      <c r="Z10" s="9">
        <v>9</v>
      </c>
      <c r="AA10" s="21">
        <v>112209</v>
      </c>
      <c r="AB10" s="10" t="s">
        <v>3848</v>
      </c>
      <c r="AC10" s="11" t="s">
        <v>59</v>
      </c>
      <c r="AD10" s="138"/>
      <c r="AE10" s="9">
        <v>9</v>
      </c>
      <c r="AF10" s="21">
        <v>112309</v>
      </c>
      <c r="AG10" s="10" t="s">
        <v>3849</v>
      </c>
      <c r="AH10" s="11" t="s">
        <v>59</v>
      </c>
      <c r="AI10" s="50"/>
      <c r="AJ10" s="9">
        <v>9</v>
      </c>
      <c r="AK10" s="21">
        <v>112409</v>
      </c>
      <c r="AL10" s="10" t="s">
        <v>3850</v>
      </c>
      <c r="AM10" s="11" t="s">
        <v>59</v>
      </c>
      <c r="AN10" s="50"/>
      <c r="AO10" s="9">
        <v>9</v>
      </c>
      <c r="AP10" s="21">
        <v>113109</v>
      </c>
      <c r="AQ10" s="10" t="s">
        <v>3851</v>
      </c>
      <c r="AR10" s="11" t="s">
        <v>59</v>
      </c>
      <c r="AS10" s="135"/>
      <c r="AT10" s="9">
        <v>9</v>
      </c>
      <c r="AU10" s="21">
        <v>113209</v>
      </c>
      <c r="AV10" s="10" t="s">
        <v>3852</v>
      </c>
      <c r="AW10" s="11" t="s">
        <v>59</v>
      </c>
      <c r="AX10" s="135"/>
      <c r="AY10" s="9">
        <v>9</v>
      </c>
      <c r="AZ10" s="21">
        <v>113309</v>
      </c>
      <c r="BA10" s="10" t="s">
        <v>3853</v>
      </c>
      <c r="BB10" s="11" t="s">
        <v>59</v>
      </c>
      <c r="BC10" s="50"/>
      <c r="BD10" s="9">
        <v>9</v>
      </c>
      <c r="BE10" s="21">
        <v>114109</v>
      </c>
      <c r="BF10" s="10" t="s">
        <v>3873</v>
      </c>
      <c r="BG10" s="11" t="s">
        <v>59</v>
      </c>
      <c r="BH10" s="50"/>
      <c r="BI10" s="9">
        <v>9</v>
      </c>
      <c r="BJ10" s="21">
        <v>114209</v>
      </c>
      <c r="BK10" s="10" t="s">
        <v>3838</v>
      </c>
      <c r="BL10" s="11" t="s">
        <v>59</v>
      </c>
      <c r="BM10" s="50"/>
      <c r="BN10" s="9">
        <v>9</v>
      </c>
      <c r="BO10" s="21">
        <v>115109</v>
      </c>
      <c r="BP10" s="10" t="s">
        <v>3856</v>
      </c>
      <c r="BQ10" s="11" t="s">
        <v>59</v>
      </c>
      <c r="BR10" s="138"/>
      <c r="BS10" s="9">
        <v>9</v>
      </c>
      <c r="BT10" s="21">
        <v>115209</v>
      </c>
      <c r="BU10" s="10" t="s">
        <v>3876</v>
      </c>
      <c r="BV10" s="11" t="s">
        <v>59</v>
      </c>
      <c r="BW10" s="135"/>
      <c r="BX10" s="9">
        <v>9</v>
      </c>
      <c r="BY10" s="21">
        <v>118109</v>
      </c>
      <c r="BZ10" s="10" t="s">
        <v>3822</v>
      </c>
      <c r="CA10" s="11" t="s">
        <v>59</v>
      </c>
      <c r="CB10" s="138"/>
      <c r="CC10" s="9">
        <v>9</v>
      </c>
      <c r="CD10" s="21">
        <v>118209</v>
      </c>
      <c r="CE10" s="10" t="s">
        <v>3878</v>
      </c>
      <c r="CF10" s="11" t="s">
        <v>60</v>
      </c>
      <c r="CG10" s="135"/>
      <c r="CH10" s="9">
        <v>9</v>
      </c>
      <c r="CI10" s="21">
        <v>116109</v>
      </c>
      <c r="CJ10" s="10" t="s">
        <v>3860</v>
      </c>
      <c r="CK10" s="11" t="s">
        <v>59</v>
      </c>
      <c r="CL10" s="7"/>
      <c r="CM10" s="9">
        <v>9</v>
      </c>
      <c r="CN10" s="21">
        <v>117109</v>
      </c>
      <c r="CO10" s="10" t="s">
        <v>3861</v>
      </c>
      <c r="CP10" s="11" t="s">
        <v>59</v>
      </c>
      <c r="CQ10" s="7"/>
    </row>
    <row r="11" spans="1:95" s="8" customFormat="1" ht="15" customHeight="1" thickBot="1">
      <c r="A11" s="12">
        <v>10</v>
      </c>
      <c r="B11" s="27">
        <v>111110</v>
      </c>
      <c r="C11" s="13" t="s">
        <v>3862</v>
      </c>
      <c r="D11" s="14" t="s">
        <v>59</v>
      </c>
      <c r="E11" s="50"/>
      <c r="F11" s="12">
        <v>10</v>
      </c>
      <c r="G11" s="27">
        <v>111210</v>
      </c>
      <c r="H11" s="13" t="s">
        <v>3863</v>
      </c>
      <c r="I11" s="14" t="s">
        <v>59</v>
      </c>
      <c r="J11" s="138"/>
      <c r="K11" s="12">
        <v>10</v>
      </c>
      <c r="L11" s="27">
        <v>111310</v>
      </c>
      <c r="M11" s="13" t="s">
        <v>3864</v>
      </c>
      <c r="N11" s="14" t="s">
        <v>59</v>
      </c>
      <c r="O11" s="138"/>
      <c r="P11" s="12">
        <v>10</v>
      </c>
      <c r="Q11" s="27">
        <v>111410</v>
      </c>
      <c r="R11" s="13" t="s">
        <v>3865</v>
      </c>
      <c r="S11" s="14" t="s">
        <v>60</v>
      </c>
      <c r="T11" s="138"/>
      <c r="U11" s="12">
        <v>10</v>
      </c>
      <c r="V11" s="27">
        <v>112110</v>
      </c>
      <c r="W11" s="13" t="s">
        <v>3866</v>
      </c>
      <c r="X11" s="14" t="s">
        <v>59</v>
      </c>
      <c r="Y11" s="138"/>
      <c r="Z11" s="12">
        <v>10</v>
      </c>
      <c r="AA11" s="27">
        <v>112210</v>
      </c>
      <c r="AB11" s="13" t="s">
        <v>3867</v>
      </c>
      <c r="AC11" s="14" t="s">
        <v>59</v>
      </c>
      <c r="AD11" s="138"/>
      <c r="AE11" s="16">
        <v>10</v>
      </c>
      <c r="AF11" s="199">
        <v>112310</v>
      </c>
      <c r="AG11" s="17" t="s">
        <v>3868</v>
      </c>
      <c r="AH11" s="18" t="s">
        <v>59</v>
      </c>
      <c r="AI11" s="135"/>
      <c r="AJ11" s="12">
        <v>10</v>
      </c>
      <c r="AK11" s="27">
        <v>112410</v>
      </c>
      <c r="AL11" s="13" t="s">
        <v>3869</v>
      </c>
      <c r="AM11" s="14" t="s">
        <v>59</v>
      </c>
      <c r="AN11" s="50"/>
      <c r="AO11" s="12">
        <v>10</v>
      </c>
      <c r="AP11" s="27">
        <v>113110</v>
      </c>
      <c r="AQ11" s="13" t="s">
        <v>3870</v>
      </c>
      <c r="AR11" s="14" t="s">
        <v>59</v>
      </c>
      <c r="AS11" s="135"/>
      <c r="AT11" s="12">
        <v>10</v>
      </c>
      <c r="AU11" s="27">
        <v>113210</v>
      </c>
      <c r="AV11" s="13" t="s">
        <v>3871</v>
      </c>
      <c r="AW11" s="14" t="s">
        <v>59</v>
      </c>
      <c r="AX11" s="57"/>
      <c r="AY11" s="12">
        <v>10</v>
      </c>
      <c r="AZ11" s="27">
        <v>113310</v>
      </c>
      <c r="BA11" s="13" t="s">
        <v>3872</v>
      </c>
      <c r="BB11" s="14" t="s">
        <v>59</v>
      </c>
      <c r="BC11" s="50"/>
      <c r="BD11" s="12">
        <v>10</v>
      </c>
      <c r="BE11" s="27">
        <v>114110</v>
      </c>
      <c r="BF11" s="13" t="s">
        <v>3892</v>
      </c>
      <c r="BG11" s="14" t="s">
        <v>59</v>
      </c>
      <c r="BH11" s="50"/>
      <c r="BI11" s="12">
        <v>10</v>
      </c>
      <c r="BJ11" s="27">
        <v>114210</v>
      </c>
      <c r="BK11" s="13" t="s">
        <v>3855</v>
      </c>
      <c r="BL11" s="14" t="s">
        <v>59</v>
      </c>
      <c r="BM11" s="50"/>
      <c r="BN11" s="12">
        <v>10</v>
      </c>
      <c r="BO11" s="27">
        <v>115110</v>
      </c>
      <c r="BP11" s="13" t="s">
        <v>3840</v>
      </c>
      <c r="BQ11" s="14" t="s">
        <v>59</v>
      </c>
      <c r="BR11" s="138"/>
      <c r="BS11" s="12">
        <v>10</v>
      </c>
      <c r="BT11" s="27">
        <v>115210</v>
      </c>
      <c r="BU11" s="13" t="s">
        <v>3895</v>
      </c>
      <c r="BV11" s="14" t="s">
        <v>59</v>
      </c>
      <c r="BW11" s="138"/>
      <c r="BX11" s="12">
        <v>10</v>
      </c>
      <c r="BY11" s="27">
        <v>118110</v>
      </c>
      <c r="BZ11" s="13" t="s">
        <v>3841</v>
      </c>
      <c r="CA11" s="14" t="s">
        <v>60</v>
      </c>
      <c r="CB11" s="135"/>
      <c r="CC11" s="12">
        <v>10</v>
      </c>
      <c r="CD11" s="27">
        <v>118210</v>
      </c>
      <c r="CE11" s="13" t="s">
        <v>3916</v>
      </c>
      <c r="CF11" s="14" t="s">
        <v>60</v>
      </c>
      <c r="CG11" s="135"/>
      <c r="CH11" s="12">
        <v>10</v>
      </c>
      <c r="CI11" s="27">
        <v>116110</v>
      </c>
      <c r="CJ11" s="13" t="s">
        <v>3879</v>
      </c>
      <c r="CK11" s="14" t="s">
        <v>59</v>
      </c>
      <c r="CL11" s="7"/>
      <c r="CM11" s="12">
        <v>10</v>
      </c>
      <c r="CN11" s="27">
        <v>117110</v>
      </c>
      <c r="CO11" s="13" t="s">
        <v>3880</v>
      </c>
      <c r="CP11" s="14" t="s">
        <v>60</v>
      </c>
      <c r="CQ11" s="7"/>
    </row>
    <row r="12" spans="1:95" s="8" customFormat="1" ht="15" customHeight="1" thickTop="1">
      <c r="A12" s="4">
        <v>11</v>
      </c>
      <c r="B12" s="25">
        <v>111111</v>
      </c>
      <c r="C12" s="5" t="s">
        <v>3881</v>
      </c>
      <c r="D12" s="6" t="s">
        <v>59</v>
      </c>
      <c r="E12" s="138"/>
      <c r="F12" s="4">
        <v>11</v>
      </c>
      <c r="G12" s="25">
        <v>111211</v>
      </c>
      <c r="H12" s="5" t="s">
        <v>3882</v>
      </c>
      <c r="I12" s="6" t="s">
        <v>59</v>
      </c>
      <c r="J12" s="138"/>
      <c r="K12" s="4">
        <v>11</v>
      </c>
      <c r="L12" s="25">
        <v>111311</v>
      </c>
      <c r="M12" s="5" t="s">
        <v>3883</v>
      </c>
      <c r="N12" s="6" t="s">
        <v>59</v>
      </c>
      <c r="O12" s="138"/>
      <c r="P12" s="4">
        <v>11</v>
      </c>
      <c r="Q12" s="25">
        <v>111411</v>
      </c>
      <c r="R12" s="5" t="s">
        <v>3884</v>
      </c>
      <c r="S12" s="6" t="s">
        <v>59</v>
      </c>
      <c r="T12" s="138"/>
      <c r="U12" s="4">
        <v>11</v>
      </c>
      <c r="V12" s="25">
        <v>112111</v>
      </c>
      <c r="W12" s="5" t="s">
        <v>3885</v>
      </c>
      <c r="X12" s="6" t="s">
        <v>59</v>
      </c>
      <c r="Y12" s="138"/>
      <c r="Z12" s="4">
        <v>11</v>
      </c>
      <c r="AA12" s="25">
        <v>112211</v>
      </c>
      <c r="AB12" s="5" t="s">
        <v>3886</v>
      </c>
      <c r="AC12" s="6" t="s">
        <v>59</v>
      </c>
      <c r="AD12" s="138"/>
      <c r="AE12" s="4">
        <v>11</v>
      </c>
      <c r="AF12" s="25">
        <v>112311</v>
      </c>
      <c r="AG12" s="5" t="s">
        <v>3887</v>
      </c>
      <c r="AH12" s="6" t="s">
        <v>59</v>
      </c>
      <c r="AI12" s="135"/>
      <c r="AJ12" s="4">
        <v>11</v>
      </c>
      <c r="AK12" s="25">
        <v>112411</v>
      </c>
      <c r="AL12" s="5" t="s">
        <v>3888</v>
      </c>
      <c r="AM12" s="6" t="s">
        <v>59</v>
      </c>
      <c r="AN12" s="135"/>
      <c r="AO12" s="4">
        <v>11</v>
      </c>
      <c r="AP12" s="25">
        <v>113111</v>
      </c>
      <c r="AQ12" s="5" t="s">
        <v>3889</v>
      </c>
      <c r="AR12" s="6" t="s">
        <v>59</v>
      </c>
      <c r="AS12" s="135"/>
      <c r="AT12" s="4">
        <v>11</v>
      </c>
      <c r="AU12" s="25">
        <v>113211</v>
      </c>
      <c r="AV12" s="5" t="s">
        <v>3890</v>
      </c>
      <c r="AW12" s="6" t="s">
        <v>59</v>
      </c>
      <c r="AX12" s="135"/>
      <c r="AY12" s="4">
        <v>11</v>
      </c>
      <c r="AZ12" s="25">
        <v>113311</v>
      </c>
      <c r="BA12" s="5" t="s">
        <v>3891</v>
      </c>
      <c r="BB12" s="6" t="s">
        <v>59</v>
      </c>
      <c r="BC12" s="50"/>
      <c r="BD12" s="4">
        <v>11</v>
      </c>
      <c r="BE12" s="25">
        <v>114111</v>
      </c>
      <c r="BF12" s="5" t="s">
        <v>3911</v>
      </c>
      <c r="BG12" s="6" t="s">
        <v>59</v>
      </c>
      <c r="BH12" s="50"/>
      <c r="BI12" s="4">
        <v>11</v>
      </c>
      <c r="BJ12" s="25">
        <v>114211</v>
      </c>
      <c r="BK12" s="5" t="s">
        <v>3893</v>
      </c>
      <c r="BL12" s="6" t="s">
        <v>59</v>
      </c>
      <c r="BM12" s="50"/>
      <c r="BN12" s="4">
        <v>11</v>
      </c>
      <c r="BO12" s="25">
        <v>115111</v>
      </c>
      <c r="BP12" s="5" t="s">
        <v>3875</v>
      </c>
      <c r="BQ12" s="6" t="s">
        <v>59</v>
      </c>
      <c r="BR12" s="138"/>
      <c r="BS12" s="4">
        <v>11</v>
      </c>
      <c r="BT12" s="25">
        <v>115211</v>
      </c>
      <c r="BU12" s="5" t="s">
        <v>3914</v>
      </c>
      <c r="BV12" s="6" t="s">
        <v>59</v>
      </c>
      <c r="BW12" s="135"/>
      <c r="BX12" s="4">
        <v>11</v>
      </c>
      <c r="BY12" s="25">
        <v>118111</v>
      </c>
      <c r="BZ12" s="5" t="s">
        <v>3859</v>
      </c>
      <c r="CA12" s="6" t="s">
        <v>60</v>
      </c>
      <c r="CB12" s="138"/>
      <c r="CC12" s="4">
        <v>11</v>
      </c>
      <c r="CD12" s="25">
        <v>118211</v>
      </c>
      <c r="CE12" s="5" t="s">
        <v>3934</v>
      </c>
      <c r="CF12" s="6" t="s">
        <v>60</v>
      </c>
      <c r="CG12" s="135"/>
      <c r="CH12" s="4">
        <v>11</v>
      </c>
      <c r="CI12" s="25">
        <v>116111</v>
      </c>
      <c r="CJ12" s="5" t="s">
        <v>3898</v>
      </c>
      <c r="CK12" s="6" t="s">
        <v>59</v>
      </c>
      <c r="CL12" s="7"/>
      <c r="CM12" s="4">
        <v>11</v>
      </c>
      <c r="CN12" s="25">
        <v>117111</v>
      </c>
      <c r="CO12" s="5" t="s">
        <v>3899</v>
      </c>
      <c r="CP12" s="6" t="s">
        <v>60</v>
      </c>
      <c r="CQ12" s="7"/>
    </row>
    <row r="13" spans="1:95" s="8" customFormat="1" ht="15" customHeight="1">
      <c r="A13" s="9">
        <v>12</v>
      </c>
      <c r="B13" s="26">
        <v>111112</v>
      </c>
      <c r="C13" s="10" t="s">
        <v>3900</v>
      </c>
      <c r="D13" s="11" t="s">
        <v>60</v>
      </c>
      <c r="E13" s="138"/>
      <c r="F13" s="9">
        <v>12</v>
      </c>
      <c r="G13" s="26">
        <v>111212</v>
      </c>
      <c r="H13" s="10" t="s">
        <v>3919</v>
      </c>
      <c r="I13" s="11" t="s">
        <v>59</v>
      </c>
      <c r="J13" s="138"/>
      <c r="K13" s="9">
        <v>12</v>
      </c>
      <c r="L13" s="26">
        <v>111312</v>
      </c>
      <c r="M13" s="10" t="s">
        <v>3902</v>
      </c>
      <c r="N13" s="11" t="s">
        <v>59</v>
      </c>
      <c r="O13" s="138"/>
      <c r="P13" s="9">
        <v>12</v>
      </c>
      <c r="Q13" s="26">
        <v>111412</v>
      </c>
      <c r="R13" s="10" t="s">
        <v>3903</v>
      </c>
      <c r="S13" s="11" t="s">
        <v>59</v>
      </c>
      <c r="T13" s="138"/>
      <c r="U13" s="9">
        <v>12</v>
      </c>
      <c r="V13" s="26">
        <v>112112</v>
      </c>
      <c r="W13" s="10" t="s">
        <v>3904</v>
      </c>
      <c r="X13" s="11" t="s">
        <v>60</v>
      </c>
      <c r="Y13" s="138"/>
      <c r="Z13" s="9">
        <v>12</v>
      </c>
      <c r="AA13" s="26">
        <v>112212</v>
      </c>
      <c r="AB13" s="10" t="s">
        <v>3905</v>
      </c>
      <c r="AC13" s="11" t="s">
        <v>59</v>
      </c>
      <c r="AD13" s="138"/>
      <c r="AE13" s="9">
        <v>12</v>
      </c>
      <c r="AF13" s="26">
        <v>112312</v>
      </c>
      <c r="AG13" s="10" t="s">
        <v>3906</v>
      </c>
      <c r="AH13" s="11" t="s">
        <v>59</v>
      </c>
      <c r="AI13" s="135"/>
      <c r="AJ13" s="9">
        <v>12</v>
      </c>
      <c r="AK13" s="26">
        <v>112412</v>
      </c>
      <c r="AL13" s="10" t="s">
        <v>3907</v>
      </c>
      <c r="AM13" s="11" t="s">
        <v>59</v>
      </c>
      <c r="AN13" s="50"/>
      <c r="AO13" s="9">
        <v>12</v>
      </c>
      <c r="AP13" s="26">
        <v>113112</v>
      </c>
      <c r="AQ13" s="10" t="s">
        <v>3908</v>
      </c>
      <c r="AR13" s="11" t="s">
        <v>59</v>
      </c>
      <c r="AS13" s="135"/>
      <c r="AT13" s="9">
        <v>12</v>
      </c>
      <c r="AU13" s="26">
        <v>113212</v>
      </c>
      <c r="AV13" s="10" t="s">
        <v>3909</v>
      </c>
      <c r="AW13" s="11" t="s">
        <v>59</v>
      </c>
      <c r="AX13" s="135"/>
      <c r="AY13" s="9">
        <v>12</v>
      </c>
      <c r="AZ13" s="26">
        <v>113312</v>
      </c>
      <c r="BA13" s="10" t="s">
        <v>3910</v>
      </c>
      <c r="BB13" s="11" t="s">
        <v>59</v>
      </c>
      <c r="BC13" s="50"/>
      <c r="BD13" s="9">
        <v>12</v>
      </c>
      <c r="BE13" s="26">
        <v>114112</v>
      </c>
      <c r="BF13" s="10" t="s">
        <v>3874</v>
      </c>
      <c r="BG13" s="11" t="s">
        <v>59</v>
      </c>
      <c r="BH13" s="50"/>
      <c r="BI13" s="9">
        <v>12</v>
      </c>
      <c r="BJ13" s="26">
        <v>114212</v>
      </c>
      <c r="BK13" s="10" t="s">
        <v>3912</v>
      </c>
      <c r="BL13" s="11" t="s">
        <v>59</v>
      </c>
      <c r="BM13" s="50"/>
      <c r="BN13" s="9">
        <v>12</v>
      </c>
      <c r="BO13" s="26">
        <v>115112</v>
      </c>
      <c r="BP13" s="10" t="s">
        <v>3894</v>
      </c>
      <c r="BQ13" s="11" t="s">
        <v>59</v>
      </c>
      <c r="BR13" s="138"/>
      <c r="BS13" s="9">
        <v>12</v>
      </c>
      <c r="BT13" s="26">
        <v>115212</v>
      </c>
      <c r="BU13" s="10" t="s">
        <v>3932</v>
      </c>
      <c r="BV13" s="11" t="s">
        <v>59</v>
      </c>
      <c r="BW13" s="135"/>
      <c r="BX13" s="9">
        <v>12</v>
      </c>
      <c r="BY13" s="26">
        <v>118112</v>
      </c>
      <c r="BZ13" s="10" t="s">
        <v>3877</v>
      </c>
      <c r="CA13" s="11" t="s">
        <v>60</v>
      </c>
      <c r="CB13" s="135"/>
      <c r="CC13" s="9">
        <v>12</v>
      </c>
      <c r="CD13" s="26">
        <v>118212</v>
      </c>
      <c r="CE13" s="10" t="s">
        <v>3951</v>
      </c>
      <c r="CF13" s="11" t="s">
        <v>59</v>
      </c>
      <c r="CG13" s="15"/>
      <c r="CH13" s="9"/>
      <c r="CI13" s="26"/>
      <c r="CJ13" s="10"/>
      <c r="CK13" s="11"/>
      <c r="CL13" s="7"/>
      <c r="CM13" s="9">
        <v>12</v>
      </c>
      <c r="CN13" s="26">
        <v>117112</v>
      </c>
      <c r="CO13" s="10" t="s">
        <v>3917</v>
      </c>
      <c r="CP13" s="11" t="s">
        <v>59</v>
      </c>
      <c r="CQ13" s="7"/>
    </row>
    <row r="14" spans="1:95" s="8" customFormat="1" ht="15" customHeight="1">
      <c r="A14" s="9">
        <v>13</v>
      </c>
      <c r="B14" s="21">
        <v>111113</v>
      </c>
      <c r="C14" s="10" t="s">
        <v>3918</v>
      </c>
      <c r="D14" s="11" t="s">
        <v>59</v>
      </c>
      <c r="E14" s="138"/>
      <c r="F14" s="9">
        <v>13</v>
      </c>
      <c r="G14" s="21">
        <v>111213</v>
      </c>
      <c r="H14" s="10" t="s">
        <v>3937</v>
      </c>
      <c r="I14" s="11" t="s">
        <v>59</v>
      </c>
      <c r="J14" s="138"/>
      <c r="K14" s="9">
        <v>13</v>
      </c>
      <c r="L14" s="21">
        <v>111313</v>
      </c>
      <c r="M14" s="10" t="s">
        <v>3920</v>
      </c>
      <c r="N14" s="11" t="s">
        <v>59</v>
      </c>
      <c r="O14" s="138"/>
      <c r="P14" s="9">
        <v>13</v>
      </c>
      <c r="Q14" s="21">
        <v>111413</v>
      </c>
      <c r="R14" s="10" t="s">
        <v>3921</v>
      </c>
      <c r="S14" s="11" t="s">
        <v>59</v>
      </c>
      <c r="T14" s="138"/>
      <c r="U14" s="9">
        <v>13</v>
      </c>
      <c r="V14" s="21">
        <v>112113</v>
      </c>
      <c r="W14" s="10" t="s">
        <v>3922</v>
      </c>
      <c r="X14" s="11" t="s">
        <v>59</v>
      </c>
      <c r="Y14" s="138"/>
      <c r="Z14" s="9">
        <v>13</v>
      </c>
      <c r="AA14" s="21">
        <v>112213</v>
      </c>
      <c r="AB14" s="10" t="s">
        <v>3923</v>
      </c>
      <c r="AC14" s="11" t="s">
        <v>59</v>
      </c>
      <c r="AD14" s="138"/>
      <c r="AE14" s="9">
        <v>13</v>
      </c>
      <c r="AF14" s="26">
        <v>112313</v>
      </c>
      <c r="AG14" s="10" t="s">
        <v>3924</v>
      </c>
      <c r="AH14" s="11" t="s">
        <v>59</v>
      </c>
      <c r="AI14" s="50"/>
      <c r="AJ14" s="9">
        <v>13</v>
      </c>
      <c r="AK14" s="21">
        <v>112413</v>
      </c>
      <c r="AL14" s="10" t="s">
        <v>3925</v>
      </c>
      <c r="AM14" s="11" t="s">
        <v>59</v>
      </c>
      <c r="AN14" s="135"/>
      <c r="AO14" s="9">
        <v>13</v>
      </c>
      <c r="AP14" s="21">
        <v>113113</v>
      </c>
      <c r="AQ14" s="10" t="s">
        <v>3926</v>
      </c>
      <c r="AR14" s="11" t="s">
        <v>59</v>
      </c>
      <c r="AS14" s="135"/>
      <c r="AT14" s="9">
        <v>13</v>
      </c>
      <c r="AU14" s="21">
        <v>113213</v>
      </c>
      <c r="AV14" s="10" t="s">
        <v>3927</v>
      </c>
      <c r="AW14" s="11" t="s">
        <v>59</v>
      </c>
      <c r="AX14" s="135"/>
      <c r="AY14" s="9">
        <v>13</v>
      </c>
      <c r="AZ14" s="21">
        <v>113313</v>
      </c>
      <c r="BA14" s="10" t="s">
        <v>3928</v>
      </c>
      <c r="BB14" s="11" t="s">
        <v>60</v>
      </c>
      <c r="BC14" s="50"/>
      <c r="BD14" s="9">
        <v>13</v>
      </c>
      <c r="BE14" s="21">
        <v>114113</v>
      </c>
      <c r="BF14" s="10" t="s">
        <v>3929</v>
      </c>
      <c r="BG14" s="11" t="s">
        <v>59</v>
      </c>
      <c r="BH14" s="50"/>
      <c r="BI14" s="9">
        <v>13</v>
      </c>
      <c r="BJ14" s="21">
        <v>114213</v>
      </c>
      <c r="BK14" s="10" t="s">
        <v>3930</v>
      </c>
      <c r="BL14" s="11" t="s">
        <v>59</v>
      </c>
      <c r="BM14" s="50"/>
      <c r="BN14" s="9">
        <v>13</v>
      </c>
      <c r="BO14" s="21">
        <v>115113</v>
      </c>
      <c r="BP14" s="10" t="s">
        <v>3913</v>
      </c>
      <c r="BQ14" s="11" t="s">
        <v>59</v>
      </c>
      <c r="BR14" s="135"/>
      <c r="BS14" s="9">
        <v>13</v>
      </c>
      <c r="BT14" s="21">
        <v>115213</v>
      </c>
      <c r="BU14" s="10" t="s">
        <v>3950</v>
      </c>
      <c r="BV14" s="11" t="s">
        <v>59</v>
      </c>
      <c r="BW14" s="138"/>
      <c r="BX14" s="9">
        <v>13</v>
      </c>
      <c r="BY14" s="21">
        <v>118113</v>
      </c>
      <c r="BZ14" s="10" t="s">
        <v>3897</v>
      </c>
      <c r="CA14" s="11" t="s">
        <v>59</v>
      </c>
      <c r="CB14" s="135"/>
      <c r="CC14" s="9">
        <v>13</v>
      </c>
      <c r="CD14" s="21">
        <v>118213</v>
      </c>
      <c r="CE14" s="10" t="s">
        <v>3969</v>
      </c>
      <c r="CF14" s="11" t="s">
        <v>60</v>
      </c>
      <c r="CG14" s="135"/>
      <c r="CH14" s="9"/>
      <c r="CI14" s="21"/>
      <c r="CJ14" s="10"/>
      <c r="CK14" s="11"/>
      <c r="CL14" s="7"/>
      <c r="CM14" s="9">
        <v>13</v>
      </c>
      <c r="CN14" s="21">
        <v>117113</v>
      </c>
      <c r="CO14" s="10" t="s">
        <v>3935</v>
      </c>
      <c r="CP14" s="11" t="s">
        <v>59</v>
      </c>
      <c r="CQ14" s="7"/>
    </row>
    <row r="15" spans="1:95" s="8" customFormat="1" ht="15" customHeight="1">
      <c r="A15" s="9">
        <v>14</v>
      </c>
      <c r="B15" s="26">
        <v>111114</v>
      </c>
      <c r="C15" s="10" t="s">
        <v>3936</v>
      </c>
      <c r="D15" s="11" t="s">
        <v>59</v>
      </c>
      <c r="E15" s="138"/>
      <c r="F15" s="9">
        <v>14</v>
      </c>
      <c r="G15" s="26">
        <v>111214</v>
      </c>
      <c r="H15" s="10" t="s">
        <v>3955</v>
      </c>
      <c r="I15" s="11" t="s">
        <v>59</v>
      </c>
      <c r="J15" s="138"/>
      <c r="K15" s="9">
        <v>14</v>
      </c>
      <c r="L15" s="26">
        <v>111314</v>
      </c>
      <c r="M15" s="10" t="s">
        <v>3938</v>
      </c>
      <c r="N15" s="11" t="s">
        <v>59</v>
      </c>
      <c r="O15" s="138"/>
      <c r="P15" s="9">
        <v>14</v>
      </c>
      <c r="Q15" s="26">
        <v>111414</v>
      </c>
      <c r="R15" s="10" t="s">
        <v>3901</v>
      </c>
      <c r="S15" s="11" t="s">
        <v>59</v>
      </c>
      <c r="T15" s="138"/>
      <c r="U15" s="9">
        <v>14</v>
      </c>
      <c r="V15" s="26">
        <v>112114</v>
      </c>
      <c r="W15" s="10" t="s">
        <v>3940</v>
      </c>
      <c r="X15" s="11" t="s">
        <v>59</v>
      </c>
      <c r="Y15" s="138"/>
      <c r="Z15" s="9">
        <v>14</v>
      </c>
      <c r="AA15" s="26">
        <v>112214</v>
      </c>
      <c r="AB15" s="10" t="s">
        <v>3941</v>
      </c>
      <c r="AC15" s="11" t="s">
        <v>59</v>
      </c>
      <c r="AD15" s="138"/>
      <c r="AE15" s="9">
        <v>14</v>
      </c>
      <c r="AF15" s="21">
        <v>112314</v>
      </c>
      <c r="AG15" s="10" t="s">
        <v>3942</v>
      </c>
      <c r="AH15" s="11" t="s">
        <v>59</v>
      </c>
      <c r="AI15" s="135"/>
      <c r="AJ15" s="9">
        <v>14</v>
      </c>
      <c r="AK15" s="26">
        <v>112414</v>
      </c>
      <c r="AL15" s="10" t="s">
        <v>3943</v>
      </c>
      <c r="AM15" s="11" t="s">
        <v>59</v>
      </c>
      <c r="AN15" s="135"/>
      <c r="AO15" s="9">
        <v>14</v>
      </c>
      <c r="AP15" s="26">
        <v>113114</v>
      </c>
      <c r="AQ15" s="10" t="s">
        <v>3944</v>
      </c>
      <c r="AR15" s="11" t="s">
        <v>59</v>
      </c>
      <c r="AS15" s="135"/>
      <c r="AT15" s="9">
        <v>14</v>
      </c>
      <c r="AU15" s="26">
        <v>113214</v>
      </c>
      <c r="AV15" s="10" t="s">
        <v>3945</v>
      </c>
      <c r="AW15" s="11" t="s">
        <v>59</v>
      </c>
      <c r="AX15" s="135"/>
      <c r="AY15" s="9">
        <v>14</v>
      </c>
      <c r="AZ15" s="26">
        <v>113314</v>
      </c>
      <c r="BA15" s="10" t="s">
        <v>3946</v>
      </c>
      <c r="BB15" s="11" t="s">
        <v>59</v>
      </c>
      <c r="BC15" s="50"/>
      <c r="BD15" s="9">
        <v>14</v>
      </c>
      <c r="BE15" s="26">
        <v>114114</v>
      </c>
      <c r="BF15" s="10" t="s">
        <v>3947</v>
      </c>
      <c r="BG15" s="11" t="s">
        <v>59</v>
      </c>
      <c r="BH15" s="50"/>
      <c r="BI15" s="9">
        <v>14</v>
      </c>
      <c r="BJ15" s="26">
        <v>114214</v>
      </c>
      <c r="BK15" s="10" t="s">
        <v>3948</v>
      </c>
      <c r="BL15" s="11" t="s">
        <v>59</v>
      </c>
      <c r="BM15" s="50"/>
      <c r="BN15" s="9">
        <v>14</v>
      </c>
      <c r="BO15" s="26">
        <v>115114</v>
      </c>
      <c r="BP15" s="10" t="s">
        <v>3968</v>
      </c>
      <c r="BQ15" s="11" t="s">
        <v>59</v>
      </c>
      <c r="BR15" s="135"/>
      <c r="BS15" s="9">
        <v>14</v>
      </c>
      <c r="BT15" s="26">
        <v>115214</v>
      </c>
      <c r="BU15" s="10" t="s">
        <v>3986</v>
      </c>
      <c r="BV15" s="11" t="s">
        <v>59</v>
      </c>
      <c r="BW15" s="135"/>
      <c r="BX15" s="9">
        <v>14</v>
      </c>
      <c r="BY15" s="26">
        <v>118114</v>
      </c>
      <c r="BZ15" s="10" t="s">
        <v>3915</v>
      </c>
      <c r="CA15" s="11" t="s">
        <v>60</v>
      </c>
      <c r="CB15" s="135"/>
      <c r="CC15" s="9">
        <v>14</v>
      </c>
      <c r="CD15" s="26">
        <v>118214</v>
      </c>
      <c r="CE15" s="10" t="s">
        <v>3987</v>
      </c>
      <c r="CF15" s="11" t="s">
        <v>60</v>
      </c>
      <c r="CG15" s="135"/>
      <c r="CH15" s="9"/>
      <c r="CI15" s="26"/>
      <c r="CJ15" s="10"/>
      <c r="CK15" s="11"/>
      <c r="CL15" s="7"/>
      <c r="CM15" s="9">
        <v>14</v>
      </c>
      <c r="CN15" s="26">
        <v>117114</v>
      </c>
      <c r="CO15" s="10" t="s">
        <v>3953</v>
      </c>
      <c r="CP15" s="11" t="s">
        <v>59</v>
      </c>
      <c r="CQ15" s="7"/>
    </row>
    <row r="16" spans="1:95" s="8" customFormat="1" ht="15" customHeight="1" thickBot="1">
      <c r="A16" s="16">
        <v>15</v>
      </c>
      <c r="B16" s="28">
        <v>111115</v>
      </c>
      <c r="C16" s="17" t="s">
        <v>3954</v>
      </c>
      <c r="D16" s="14" t="s">
        <v>59</v>
      </c>
      <c r="E16" s="50"/>
      <c r="F16" s="16">
        <v>15</v>
      </c>
      <c r="G16" s="28">
        <v>111215</v>
      </c>
      <c r="H16" s="17" t="s">
        <v>3973</v>
      </c>
      <c r="I16" s="14" t="s">
        <v>59</v>
      </c>
      <c r="J16" s="138"/>
      <c r="K16" s="16">
        <v>15</v>
      </c>
      <c r="L16" s="28">
        <v>111315</v>
      </c>
      <c r="M16" s="17" t="s">
        <v>3956</v>
      </c>
      <c r="N16" s="14" t="s">
        <v>59</v>
      </c>
      <c r="O16" s="138"/>
      <c r="P16" s="16">
        <v>15</v>
      </c>
      <c r="Q16" s="28">
        <v>111415</v>
      </c>
      <c r="R16" s="17" t="s">
        <v>3939</v>
      </c>
      <c r="S16" s="14" t="s">
        <v>59</v>
      </c>
      <c r="T16" s="138"/>
      <c r="U16" s="16">
        <v>15</v>
      </c>
      <c r="V16" s="28">
        <v>112115</v>
      </c>
      <c r="W16" s="17" t="s">
        <v>3958</v>
      </c>
      <c r="X16" s="14" t="s">
        <v>59</v>
      </c>
      <c r="Y16" s="138"/>
      <c r="Z16" s="16">
        <v>15</v>
      </c>
      <c r="AA16" s="28">
        <v>112215</v>
      </c>
      <c r="AB16" s="17" t="s">
        <v>3959</v>
      </c>
      <c r="AC16" s="14" t="s">
        <v>59</v>
      </c>
      <c r="AD16" s="138"/>
      <c r="AE16" s="16">
        <v>15</v>
      </c>
      <c r="AF16" s="28">
        <v>112315</v>
      </c>
      <c r="AG16" s="17" t="s">
        <v>3960</v>
      </c>
      <c r="AH16" s="18" t="s">
        <v>59</v>
      </c>
      <c r="AI16" s="50"/>
      <c r="AJ16" s="16">
        <v>15</v>
      </c>
      <c r="AK16" s="28">
        <v>112415</v>
      </c>
      <c r="AL16" s="17" t="s">
        <v>3961</v>
      </c>
      <c r="AM16" s="14" t="s">
        <v>59</v>
      </c>
      <c r="AN16" s="57"/>
      <c r="AO16" s="16">
        <v>15</v>
      </c>
      <c r="AP16" s="28">
        <v>113115</v>
      </c>
      <c r="AQ16" s="17" t="s">
        <v>3962</v>
      </c>
      <c r="AR16" s="14" t="s">
        <v>59</v>
      </c>
      <c r="AS16" s="135"/>
      <c r="AT16" s="16">
        <v>15</v>
      </c>
      <c r="AU16" s="28">
        <v>113215</v>
      </c>
      <c r="AV16" s="17" t="s">
        <v>3963</v>
      </c>
      <c r="AW16" s="14" t="s">
        <v>59</v>
      </c>
      <c r="AX16" s="135"/>
      <c r="AY16" s="16">
        <v>15</v>
      </c>
      <c r="AZ16" s="28">
        <v>113315</v>
      </c>
      <c r="BA16" s="17" t="s">
        <v>3964</v>
      </c>
      <c r="BB16" s="14" t="s">
        <v>59</v>
      </c>
      <c r="BC16" s="50"/>
      <c r="BD16" s="16">
        <v>15</v>
      </c>
      <c r="BE16" s="28">
        <v>114115</v>
      </c>
      <c r="BF16" s="17" t="s">
        <v>3965</v>
      </c>
      <c r="BG16" s="14" t="s">
        <v>59</v>
      </c>
      <c r="BH16" s="50"/>
      <c r="BI16" s="16">
        <v>15</v>
      </c>
      <c r="BJ16" s="28">
        <v>114215</v>
      </c>
      <c r="BK16" s="17" t="s">
        <v>3966</v>
      </c>
      <c r="BL16" s="14" t="s">
        <v>59</v>
      </c>
      <c r="BM16" s="50"/>
      <c r="BN16" s="16">
        <v>15</v>
      </c>
      <c r="BO16" s="28">
        <v>115115</v>
      </c>
      <c r="BP16" s="17" t="s">
        <v>3931</v>
      </c>
      <c r="BQ16" s="14" t="s">
        <v>59</v>
      </c>
      <c r="BR16" s="135"/>
      <c r="BS16" s="16">
        <v>15</v>
      </c>
      <c r="BT16" s="28">
        <v>115215</v>
      </c>
      <c r="BU16" s="17" t="s">
        <v>4003</v>
      </c>
      <c r="BV16" s="14" t="s">
        <v>59</v>
      </c>
      <c r="BW16" s="138"/>
      <c r="BX16" s="16">
        <v>15</v>
      </c>
      <c r="BY16" s="28">
        <v>118115</v>
      </c>
      <c r="BZ16" s="17" t="s">
        <v>3933</v>
      </c>
      <c r="CA16" s="14" t="s">
        <v>60</v>
      </c>
      <c r="CB16" s="135"/>
      <c r="CC16" s="16">
        <v>15</v>
      </c>
      <c r="CD16" s="28">
        <v>118215</v>
      </c>
      <c r="CE16" s="17" t="s">
        <v>3988</v>
      </c>
      <c r="CF16" s="14" t="s">
        <v>60</v>
      </c>
      <c r="CG16" s="135"/>
      <c r="CH16" s="16"/>
      <c r="CI16" s="28"/>
      <c r="CJ16" s="17"/>
      <c r="CK16" s="14"/>
      <c r="CL16" s="7"/>
      <c r="CM16" s="16">
        <v>15</v>
      </c>
      <c r="CN16" s="28">
        <v>117115</v>
      </c>
      <c r="CO16" s="17" t="s">
        <v>4373</v>
      </c>
      <c r="CP16" s="14" t="s">
        <v>60</v>
      </c>
      <c r="CQ16" s="7"/>
    </row>
    <row r="17" spans="1:95" s="8" customFormat="1" ht="15" customHeight="1" thickTop="1">
      <c r="A17" s="4">
        <v>16</v>
      </c>
      <c r="B17" s="25">
        <v>111116</v>
      </c>
      <c r="C17" s="5" t="s">
        <v>3972</v>
      </c>
      <c r="D17" s="6" t="s">
        <v>59</v>
      </c>
      <c r="E17" s="138"/>
      <c r="F17" s="4">
        <v>16</v>
      </c>
      <c r="G17" s="25">
        <v>111216</v>
      </c>
      <c r="H17" s="5" t="s">
        <v>3990</v>
      </c>
      <c r="I17" s="6" t="s">
        <v>59</v>
      </c>
      <c r="J17" s="138"/>
      <c r="K17" s="4">
        <v>16</v>
      </c>
      <c r="L17" s="25">
        <v>111316</v>
      </c>
      <c r="M17" s="5" t="s">
        <v>3974</v>
      </c>
      <c r="N17" s="6" t="s">
        <v>59</v>
      </c>
      <c r="O17" s="138"/>
      <c r="P17" s="4">
        <v>16</v>
      </c>
      <c r="Q17" s="25">
        <v>111416</v>
      </c>
      <c r="R17" s="5" t="s">
        <v>3957</v>
      </c>
      <c r="S17" s="6" t="s">
        <v>60</v>
      </c>
      <c r="T17" s="138"/>
      <c r="U17" s="4">
        <v>16</v>
      </c>
      <c r="V17" s="25">
        <v>112116</v>
      </c>
      <c r="W17" s="5" t="s">
        <v>3976</v>
      </c>
      <c r="X17" s="6" t="s">
        <v>59</v>
      </c>
      <c r="Y17" s="138"/>
      <c r="Z17" s="4">
        <v>16</v>
      </c>
      <c r="AA17" s="25">
        <v>112216</v>
      </c>
      <c r="AB17" s="5" t="s">
        <v>3977</v>
      </c>
      <c r="AC17" s="6" t="s">
        <v>59</v>
      </c>
      <c r="AD17" s="138"/>
      <c r="AE17" s="4">
        <v>16</v>
      </c>
      <c r="AF17" s="25">
        <v>112316</v>
      </c>
      <c r="AG17" s="5" t="s">
        <v>3978</v>
      </c>
      <c r="AH17" s="6" t="s">
        <v>59</v>
      </c>
      <c r="AI17" s="135"/>
      <c r="AJ17" s="4">
        <v>16</v>
      </c>
      <c r="AK17" s="25">
        <v>112416</v>
      </c>
      <c r="AL17" s="5" t="s">
        <v>3979</v>
      </c>
      <c r="AM17" s="6" t="s">
        <v>59</v>
      </c>
      <c r="AN17" s="135"/>
      <c r="AO17" s="4">
        <v>16</v>
      </c>
      <c r="AP17" s="25">
        <v>113116</v>
      </c>
      <c r="AQ17" s="5" t="s">
        <v>3980</v>
      </c>
      <c r="AR17" s="6" t="s">
        <v>59</v>
      </c>
      <c r="AS17" s="50"/>
      <c r="AT17" s="4">
        <v>16</v>
      </c>
      <c r="AU17" s="25">
        <v>113216</v>
      </c>
      <c r="AV17" s="5" t="s">
        <v>3981</v>
      </c>
      <c r="AW17" s="6" t="s">
        <v>59</v>
      </c>
      <c r="AX17" s="135"/>
      <c r="AY17" s="4">
        <v>16</v>
      </c>
      <c r="AZ17" s="25">
        <v>113316</v>
      </c>
      <c r="BA17" s="5" t="s">
        <v>3982</v>
      </c>
      <c r="BB17" s="6" t="s">
        <v>59</v>
      </c>
      <c r="BC17" s="50"/>
      <c r="BD17" s="4">
        <v>16</v>
      </c>
      <c r="BE17" s="25">
        <v>114116</v>
      </c>
      <c r="BF17" s="5" t="s">
        <v>3983</v>
      </c>
      <c r="BG17" s="6" t="s">
        <v>60</v>
      </c>
      <c r="BH17" s="50"/>
      <c r="BI17" s="4">
        <v>16</v>
      </c>
      <c r="BJ17" s="25">
        <v>114216</v>
      </c>
      <c r="BK17" s="5" t="s">
        <v>3984</v>
      </c>
      <c r="BL17" s="6" t="s">
        <v>59</v>
      </c>
      <c r="BM17" s="50"/>
      <c r="BN17" s="4">
        <v>16</v>
      </c>
      <c r="BO17" s="25">
        <v>115116</v>
      </c>
      <c r="BP17" s="5" t="s">
        <v>3949</v>
      </c>
      <c r="BQ17" s="6" t="s">
        <v>59</v>
      </c>
      <c r="BR17" s="138"/>
      <c r="BS17" s="4">
        <v>16</v>
      </c>
      <c r="BT17" s="25">
        <v>115216</v>
      </c>
      <c r="BU17" s="5" t="s">
        <v>4002</v>
      </c>
      <c r="BV17" s="6" t="s">
        <v>59</v>
      </c>
      <c r="BW17" s="138"/>
      <c r="BX17" s="4">
        <v>16</v>
      </c>
      <c r="BY17" s="25">
        <v>118116</v>
      </c>
      <c r="BZ17" s="5" t="s">
        <v>3952</v>
      </c>
      <c r="CA17" s="6" t="s">
        <v>59</v>
      </c>
      <c r="CB17" s="138"/>
      <c r="CC17" s="4">
        <v>16</v>
      </c>
      <c r="CD17" s="25">
        <v>118216</v>
      </c>
      <c r="CE17" s="5" t="s">
        <v>4019</v>
      </c>
      <c r="CF17" s="6" t="s">
        <v>60</v>
      </c>
      <c r="CG17" s="15"/>
      <c r="CH17" s="4"/>
      <c r="CI17" s="25"/>
      <c r="CJ17" s="5"/>
      <c r="CK17" s="6"/>
      <c r="CL17" s="7"/>
      <c r="CM17" s="4">
        <v>16</v>
      </c>
      <c r="CN17" s="25">
        <v>117116</v>
      </c>
      <c r="CO17" s="5" t="s">
        <v>3971</v>
      </c>
      <c r="CP17" s="6" t="s">
        <v>59</v>
      </c>
      <c r="CQ17" s="7"/>
    </row>
    <row r="18" spans="1:95" s="8" customFormat="1" ht="15" customHeight="1">
      <c r="A18" s="9">
        <v>17</v>
      </c>
      <c r="B18" s="21">
        <v>111117</v>
      </c>
      <c r="C18" s="10" t="s">
        <v>3989</v>
      </c>
      <c r="D18" s="11" t="s">
        <v>60</v>
      </c>
      <c r="E18" s="138"/>
      <c r="F18" s="9">
        <v>17</v>
      </c>
      <c r="G18" s="21">
        <v>111217</v>
      </c>
      <c r="H18" s="10" t="s">
        <v>3094</v>
      </c>
      <c r="I18" s="11" t="s">
        <v>59</v>
      </c>
      <c r="J18" s="50"/>
      <c r="K18" s="9">
        <v>17</v>
      </c>
      <c r="L18" s="21">
        <v>111317</v>
      </c>
      <c r="M18" s="10" t="s">
        <v>3991</v>
      </c>
      <c r="N18" s="11" t="s">
        <v>59</v>
      </c>
      <c r="O18" s="138"/>
      <c r="P18" s="9">
        <v>17</v>
      </c>
      <c r="Q18" s="21">
        <v>111417</v>
      </c>
      <c r="R18" s="10" t="s">
        <v>3975</v>
      </c>
      <c r="S18" s="11" t="s">
        <v>59</v>
      </c>
      <c r="T18" s="135"/>
      <c r="U18" s="9">
        <v>17</v>
      </c>
      <c r="V18" s="21">
        <v>112117</v>
      </c>
      <c r="W18" s="10" t="s">
        <v>3993</v>
      </c>
      <c r="X18" s="11" t="s">
        <v>59</v>
      </c>
      <c r="Y18" s="138"/>
      <c r="Z18" s="9">
        <v>17</v>
      </c>
      <c r="AA18" s="21">
        <v>112217</v>
      </c>
      <c r="AB18" s="10" t="s">
        <v>3994</v>
      </c>
      <c r="AC18" s="11" t="s">
        <v>59</v>
      </c>
      <c r="AD18" s="138"/>
      <c r="AE18" s="9">
        <v>17</v>
      </c>
      <c r="AF18" s="26">
        <v>112317</v>
      </c>
      <c r="AG18" s="10" t="s">
        <v>3995</v>
      </c>
      <c r="AH18" s="11" t="s">
        <v>59</v>
      </c>
      <c r="AI18" s="135"/>
      <c r="AJ18" s="9">
        <v>17</v>
      </c>
      <c r="AK18" s="21">
        <v>112417</v>
      </c>
      <c r="AL18" s="10" t="s">
        <v>3996</v>
      </c>
      <c r="AM18" s="11" t="s">
        <v>59</v>
      </c>
      <c r="AN18" s="50"/>
      <c r="AO18" s="9">
        <v>17</v>
      </c>
      <c r="AP18" s="21">
        <v>113117</v>
      </c>
      <c r="AQ18" s="10" t="s">
        <v>3997</v>
      </c>
      <c r="AR18" s="11" t="s">
        <v>60</v>
      </c>
      <c r="AS18" s="50"/>
      <c r="AT18" s="9">
        <v>17</v>
      </c>
      <c r="AU18" s="21">
        <v>113217</v>
      </c>
      <c r="AV18" s="10" t="s">
        <v>3998</v>
      </c>
      <c r="AW18" s="11" t="s">
        <v>59</v>
      </c>
      <c r="AX18" s="135"/>
      <c r="AY18" s="9">
        <v>17</v>
      </c>
      <c r="AZ18" s="21">
        <v>113317</v>
      </c>
      <c r="BA18" s="10" t="s">
        <v>3999</v>
      </c>
      <c r="BB18" s="11" t="s">
        <v>59</v>
      </c>
      <c r="BC18" s="50"/>
      <c r="BD18" s="9">
        <v>17</v>
      </c>
      <c r="BE18" s="21">
        <v>114117</v>
      </c>
      <c r="BF18" s="10" t="s">
        <v>4000</v>
      </c>
      <c r="BG18" s="11" t="s">
        <v>59</v>
      </c>
      <c r="BH18" s="50"/>
      <c r="BI18" s="9">
        <v>17</v>
      </c>
      <c r="BJ18" s="21">
        <v>114217</v>
      </c>
      <c r="BK18" s="10" t="s">
        <v>4001</v>
      </c>
      <c r="BL18" s="11" t="s">
        <v>59</v>
      </c>
      <c r="BM18" s="50"/>
      <c r="BN18" s="9">
        <v>17</v>
      </c>
      <c r="BO18" s="21">
        <v>115117</v>
      </c>
      <c r="BP18" s="10" t="s">
        <v>3967</v>
      </c>
      <c r="BQ18" s="11" t="s">
        <v>59</v>
      </c>
      <c r="BR18" s="135"/>
      <c r="BS18" s="9">
        <v>17</v>
      </c>
      <c r="BT18" s="21">
        <v>115217</v>
      </c>
      <c r="BU18" s="10" t="s">
        <v>4018</v>
      </c>
      <c r="BV18" s="11" t="s">
        <v>59</v>
      </c>
      <c r="BW18" s="138"/>
      <c r="BX18" s="9">
        <v>17</v>
      </c>
      <c r="BY18" s="21">
        <v>118117</v>
      </c>
      <c r="BZ18" s="10" t="s">
        <v>3970</v>
      </c>
      <c r="CA18" s="11" t="s">
        <v>60</v>
      </c>
      <c r="CB18" s="138"/>
      <c r="CC18" s="9">
        <v>17</v>
      </c>
      <c r="CD18" s="21">
        <v>118217</v>
      </c>
      <c r="CE18" s="10" t="s">
        <v>4036</v>
      </c>
      <c r="CF18" s="11" t="s">
        <v>59</v>
      </c>
      <c r="CG18" s="135"/>
      <c r="CH18" s="9"/>
      <c r="CI18" s="21"/>
      <c r="CJ18" s="10"/>
      <c r="CK18" s="11"/>
      <c r="CL18" s="7"/>
      <c r="CM18" s="9">
        <v>17</v>
      </c>
      <c r="CN18" s="21">
        <v>117117</v>
      </c>
      <c r="CO18" s="10" t="s">
        <v>2480</v>
      </c>
      <c r="CP18" s="11" t="s">
        <v>59</v>
      </c>
      <c r="CQ18" s="7"/>
    </row>
    <row r="19" spans="1:95" s="8" customFormat="1" ht="15" customHeight="1">
      <c r="A19" s="9">
        <v>18</v>
      </c>
      <c r="B19" s="21">
        <v>111118</v>
      </c>
      <c r="C19" s="10" t="s">
        <v>4005</v>
      </c>
      <c r="D19" s="11" t="s">
        <v>59</v>
      </c>
      <c r="E19" s="138"/>
      <c r="F19" s="9">
        <v>18</v>
      </c>
      <c r="G19" s="21">
        <v>111218</v>
      </c>
      <c r="H19" s="10" t="s">
        <v>4022</v>
      </c>
      <c r="I19" s="11" t="s">
        <v>59</v>
      </c>
      <c r="J19" s="50"/>
      <c r="K19" s="9">
        <v>18</v>
      </c>
      <c r="L19" s="21">
        <v>111318</v>
      </c>
      <c r="M19" s="10" t="s">
        <v>4071</v>
      </c>
      <c r="N19" s="11" t="s">
        <v>59</v>
      </c>
      <c r="O19" s="138"/>
      <c r="P19" s="9">
        <v>18</v>
      </c>
      <c r="Q19" s="21">
        <v>111418</v>
      </c>
      <c r="R19" s="10" t="s">
        <v>3992</v>
      </c>
      <c r="S19" s="11" t="s">
        <v>60</v>
      </c>
      <c r="T19" s="138"/>
      <c r="U19" s="9">
        <v>18</v>
      </c>
      <c r="V19" s="21">
        <v>112118</v>
      </c>
      <c r="W19" s="10" t="s">
        <v>4008</v>
      </c>
      <c r="X19" s="11" t="s">
        <v>60</v>
      </c>
      <c r="Y19" s="138"/>
      <c r="Z19" s="9">
        <v>18</v>
      </c>
      <c r="AA19" s="21">
        <v>112218</v>
      </c>
      <c r="AB19" s="10" t="s">
        <v>4009</v>
      </c>
      <c r="AC19" s="11" t="s">
        <v>59</v>
      </c>
      <c r="AD19" s="138"/>
      <c r="AE19" s="9">
        <v>18</v>
      </c>
      <c r="AF19" s="21">
        <v>112318</v>
      </c>
      <c r="AG19" s="10" t="s">
        <v>4010</v>
      </c>
      <c r="AH19" s="11" t="s">
        <v>59</v>
      </c>
      <c r="AI19" s="135"/>
      <c r="AJ19" s="9">
        <v>18</v>
      </c>
      <c r="AK19" s="21">
        <v>112418</v>
      </c>
      <c r="AL19" s="10" t="s">
        <v>4011</v>
      </c>
      <c r="AM19" s="11" t="s">
        <v>59</v>
      </c>
      <c r="AN19" s="50"/>
      <c r="AO19" s="9">
        <v>18</v>
      </c>
      <c r="AP19" s="21">
        <v>113118</v>
      </c>
      <c r="AQ19" s="10" t="s">
        <v>4012</v>
      </c>
      <c r="AR19" s="11" t="s">
        <v>60</v>
      </c>
      <c r="AS19" s="135"/>
      <c r="AT19" s="9">
        <v>18</v>
      </c>
      <c r="AU19" s="21">
        <v>113218</v>
      </c>
      <c r="AV19" s="10" t="s">
        <v>4013</v>
      </c>
      <c r="AW19" s="11" t="s">
        <v>59</v>
      </c>
      <c r="AX19" s="135"/>
      <c r="AY19" s="9">
        <v>18</v>
      </c>
      <c r="AZ19" s="21">
        <v>113318</v>
      </c>
      <c r="BA19" s="10" t="s">
        <v>4014</v>
      </c>
      <c r="BB19" s="11" t="s">
        <v>59</v>
      </c>
      <c r="BC19" s="50"/>
      <c r="BD19" s="9">
        <v>18</v>
      </c>
      <c r="BE19" s="21">
        <v>114118</v>
      </c>
      <c r="BF19" s="10" t="s">
        <v>4015</v>
      </c>
      <c r="BG19" s="11" t="s">
        <v>59</v>
      </c>
      <c r="BH19" s="50"/>
      <c r="BI19" s="9">
        <v>18</v>
      </c>
      <c r="BJ19" s="21">
        <v>114218</v>
      </c>
      <c r="BK19" s="10" t="s">
        <v>4016</v>
      </c>
      <c r="BL19" s="11" t="s">
        <v>59</v>
      </c>
      <c r="BM19" s="50"/>
      <c r="BN19" s="9">
        <v>18</v>
      </c>
      <c r="BO19" s="21">
        <v>115118</v>
      </c>
      <c r="BP19" s="10" t="s">
        <v>3985</v>
      </c>
      <c r="BQ19" s="11" t="s">
        <v>59</v>
      </c>
      <c r="BR19" s="135"/>
      <c r="BS19" s="9">
        <v>18</v>
      </c>
      <c r="BT19" s="21">
        <v>115218</v>
      </c>
      <c r="BU19" s="10" t="s">
        <v>4035</v>
      </c>
      <c r="BV19" s="11" t="s">
        <v>59</v>
      </c>
      <c r="BW19" s="138"/>
      <c r="BX19" s="9">
        <v>18</v>
      </c>
      <c r="BY19" s="21">
        <v>118118</v>
      </c>
      <c r="BZ19" s="10" t="s">
        <v>4004</v>
      </c>
      <c r="CA19" s="11" t="s">
        <v>59</v>
      </c>
      <c r="CB19" s="135"/>
      <c r="CC19" s="9">
        <v>18</v>
      </c>
      <c r="CD19" s="21">
        <v>118218</v>
      </c>
      <c r="CE19" s="10" t="s">
        <v>4037</v>
      </c>
      <c r="CF19" s="11" t="s">
        <v>59</v>
      </c>
      <c r="CG19" s="135"/>
      <c r="CH19" s="9"/>
      <c r="CI19" s="21"/>
      <c r="CJ19" s="10"/>
      <c r="CK19" s="11"/>
      <c r="CL19" s="7"/>
      <c r="CM19" s="9"/>
      <c r="CN19" s="21"/>
      <c r="CO19" s="10"/>
      <c r="CP19" s="11"/>
      <c r="CQ19" s="7"/>
    </row>
    <row r="20" spans="1:95" s="8" customFormat="1" ht="15" customHeight="1">
      <c r="A20" s="9">
        <v>19</v>
      </c>
      <c r="B20" s="26">
        <v>111119</v>
      </c>
      <c r="C20" s="10" t="s">
        <v>4021</v>
      </c>
      <c r="D20" s="11" t="s">
        <v>59</v>
      </c>
      <c r="E20" s="138"/>
      <c r="F20" s="9">
        <v>19</v>
      </c>
      <c r="G20" s="26">
        <v>111219</v>
      </c>
      <c r="H20" s="10" t="s">
        <v>4039</v>
      </c>
      <c r="I20" s="11" t="s">
        <v>60</v>
      </c>
      <c r="J20" s="50"/>
      <c r="K20" s="9">
        <v>19</v>
      </c>
      <c r="L20" s="26">
        <v>111319</v>
      </c>
      <c r="M20" s="10" t="s">
        <v>4023</v>
      </c>
      <c r="N20" s="11" t="s">
        <v>59</v>
      </c>
      <c r="O20" s="138"/>
      <c r="P20" s="9">
        <v>19</v>
      </c>
      <c r="Q20" s="26">
        <v>111419</v>
      </c>
      <c r="R20" s="10" t="s">
        <v>4007</v>
      </c>
      <c r="S20" s="11" t="s">
        <v>59</v>
      </c>
      <c r="T20" s="135"/>
      <c r="U20" s="9">
        <v>19</v>
      </c>
      <c r="V20" s="26">
        <v>112119</v>
      </c>
      <c r="W20" s="10" t="s">
        <v>4025</v>
      </c>
      <c r="X20" s="11" t="s">
        <v>59</v>
      </c>
      <c r="Y20" s="138"/>
      <c r="Z20" s="9">
        <v>19</v>
      </c>
      <c r="AA20" s="26">
        <v>112219</v>
      </c>
      <c r="AB20" s="10" t="s">
        <v>4026</v>
      </c>
      <c r="AC20" s="11" t="s">
        <v>59</v>
      </c>
      <c r="AD20" s="135"/>
      <c r="AE20" s="9">
        <v>19</v>
      </c>
      <c r="AF20" s="21">
        <v>112319</v>
      </c>
      <c r="AG20" s="10" t="s">
        <v>4027</v>
      </c>
      <c r="AH20" s="11" t="s">
        <v>59</v>
      </c>
      <c r="AI20" s="135"/>
      <c r="AJ20" s="9">
        <v>19</v>
      </c>
      <c r="AK20" s="26">
        <v>112419</v>
      </c>
      <c r="AL20" s="10" t="s">
        <v>4028</v>
      </c>
      <c r="AM20" s="11" t="s">
        <v>59</v>
      </c>
      <c r="AN20" s="135"/>
      <c r="AO20" s="9">
        <v>19</v>
      </c>
      <c r="AP20" s="26">
        <v>113119</v>
      </c>
      <c r="AQ20" s="10" t="s">
        <v>4029</v>
      </c>
      <c r="AR20" s="11" t="s">
        <v>59</v>
      </c>
      <c r="AS20" s="135"/>
      <c r="AT20" s="9">
        <v>19</v>
      </c>
      <c r="AU20" s="26">
        <v>113219</v>
      </c>
      <c r="AV20" s="10" t="s">
        <v>4030</v>
      </c>
      <c r="AW20" s="11" t="s">
        <v>59</v>
      </c>
      <c r="AX20" s="135"/>
      <c r="AY20" s="9">
        <v>19</v>
      </c>
      <c r="AZ20" s="26">
        <v>113319</v>
      </c>
      <c r="BA20" s="10" t="s">
        <v>4031</v>
      </c>
      <c r="BB20" s="11" t="s">
        <v>59</v>
      </c>
      <c r="BC20" s="50"/>
      <c r="BD20" s="9">
        <v>19</v>
      </c>
      <c r="BE20" s="26">
        <v>114119</v>
      </c>
      <c r="BF20" s="10" t="s">
        <v>4032</v>
      </c>
      <c r="BG20" s="11" t="s">
        <v>59</v>
      </c>
      <c r="BH20" s="50"/>
      <c r="BI20" s="9">
        <v>19</v>
      </c>
      <c r="BJ20" s="26">
        <v>114219</v>
      </c>
      <c r="BK20" s="10" t="s">
        <v>4033</v>
      </c>
      <c r="BL20" s="11" t="s">
        <v>59</v>
      </c>
      <c r="BM20" s="50"/>
      <c r="BN20" s="9">
        <v>19</v>
      </c>
      <c r="BO20" s="26">
        <v>115119</v>
      </c>
      <c r="BP20" s="10" t="s">
        <v>4017</v>
      </c>
      <c r="BQ20" s="11" t="s">
        <v>59</v>
      </c>
      <c r="BR20" s="135"/>
      <c r="BS20" s="9">
        <v>19</v>
      </c>
      <c r="BT20" s="26">
        <v>115219</v>
      </c>
      <c r="BU20" s="10" t="s">
        <v>4051</v>
      </c>
      <c r="BV20" s="11" t="s">
        <v>59</v>
      </c>
      <c r="BW20" s="135"/>
      <c r="BX20" s="9">
        <v>19</v>
      </c>
      <c r="BY20" s="26">
        <v>118119</v>
      </c>
      <c r="BZ20" s="10" t="s">
        <v>4052</v>
      </c>
      <c r="CA20" s="11" t="s">
        <v>60</v>
      </c>
      <c r="CB20" s="135"/>
      <c r="CC20" s="9">
        <v>19</v>
      </c>
      <c r="CD20" s="26">
        <v>118219</v>
      </c>
      <c r="CE20" s="10" t="s">
        <v>150</v>
      </c>
      <c r="CF20" s="11" t="s">
        <v>59</v>
      </c>
      <c r="CG20" s="135"/>
      <c r="CH20" s="9"/>
      <c r="CI20" s="26"/>
      <c r="CJ20" s="10"/>
      <c r="CK20" s="11"/>
      <c r="CL20" s="7"/>
      <c r="CM20" s="9"/>
      <c r="CN20" s="26"/>
      <c r="CO20" s="10"/>
      <c r="CP20" s="11"/>
      <c r="CQ20" s="7"/>
    </row>
    <row r="21" spans="1:95" s="8" customFormat="1" ht="15" customHeight="1" thickBot="1">
      <c r="A21" s="16">
        <v>20</v>
      </c>
      <c r="B21" s="28">
        <v>111120</v>
      </c>
      <c r="C21" s="17" t="s">
        <v>4038</v>
      </c>
      <c r="D21" s="14" t="s">
        <v>59</v>
      </c>
      <c r="E21" s="138"/>
      <c r="F21" s="16">
        <v>20</v>
      </c>
      <c r="G21" s="28">
        <v>111220</v>
      </c>
      <c r="H21" s="17" t="s">
        <v>4055</v>
      </c>
      <c r="I21" s="14" t="s">
        <v>59</v>
      </c>
      <c r="J21" s="50"/>
      <c r="K21" s="16">
        <v>20</v>
      </c>
      <c r="L21" s="28">
        <v>111320</v>
      </c>
      <c r="M21" s="17" t="s">
        <v>4040</v>
      </c>
      <c r="N21" s="14" t="s">
        <v>60</v>
      </c>
      <c r="O21" s="138"/>
      <c r="P21" s="16">
        <v>20</v>
      </c>
      <c r="Q21" s="28">
        <v>111420</v>
      </c>
      <c r="R21" s="17" t="s">
        <v>4024</v>
      </c>
      <c r="S21" s="14" t="s">
        <v>59</v>
      </c>
      <c r="T21" s="138"/>
      <c r="U21" s="16">
        <v>20</v>
      </c>
      <c r="V21" s="28">
        <v>112120</v>
      </c>
      <c r="W21" s="17" t="s">
        <v>4042</v>
      </c>
      <c r="X21" s="14" t="s">
        <v>59</v>
      </c>
      <c r="Y21" s="138"/>
      <c r="Z21" s="16">
        <v>20</v>
      </c>
      <c r="AA21" s="28">
        <v>112220</v>
      </c>
      <c r="AB21" s="17" t="s">
        <v>4043</v>
      </c>
      <c r="AC21" s="14" t="s">
        <v>59</v>
      </c>
      <c r="AD21" s="138"/>
      <c r="AE21" s="16">
        <v>20</v>
      </c>
      <c r="AF21" s="28">
        <v>112320</v>
      </c>
      <c r="AG21" s="17" t="s">
        <v>4044</v>
      </c>
      <c r="AH21" s="18" t="s">
        <v>59</v>
      </c>
      <c r="AI21" s="50"/>
      <c r="AJ21" s="16">
        <v>20</v>
      </c>
      <c r="AK21" s="28">
        <v>112420</v>
      </c>
      <c r="AL21" s="17" t="s">
        <v>3122</v>
      </c>
      <c r="AM21" s="14" t="s">
        <v>59</v>
      </c>
      <c r="AN21" s="135"/>
      <c r="AO21" s="16">
        <v>20</v>
      </c>
      <c r="AP21" s="28">
        <v>113120</v>
      </c>
      <c r="AQ21" s="17" t="s">
        <v>4045</v>
      </c>
      <c r="AR21" s="14" t="s">
        <v>59</v>
      </c>
      <c r="AS21" s="50"/>
      <c r="AT21" s="16">
        <v>20</v>
      </c>
      <c r="AU21" s="28">
        <v>113220</v>
      </c>
      <c r="AV21" s="17" t="s">
        <v>4046</v>
      </c>
      <c r="AW21" s="14" t="s">
        <v>59</v>
      </c>
      <c r="AX21" s="135"/>
      <c r="AY21" s="16">
        <v>20</v>
      </c>
      <c r="AZ21" s="28">
        <v>113320</v>
      </c>
      <c r="BA21" s="17" t="s">
        <v>4047</v>
      </c>
      <c r="BB21" s="14" t="s">
        <v>59</v>
      </c>
      <c r="BC21" s="50"/>
      <c r="BD21" s="16">
        <v>20</v>
      </c>
      <c r="BE21" s="28">
        <v>114120</v>
      </c>
      <c r="BF21" s="17" t="s">
        <v>4048</v>
      </c>
      <c r="BG21" s="14" t="s">
        <v>59</v>
      </c>
      <c r="BH21" s="50"/>
      <c r="BI21" s="16">
        <v>20</v>
      </c>
      <c r="BJ21" s="28">
        <v>114220</v>
      </c>
      <c r="BK21" s="17" t="s">
        <v>4079</v>
      </c>
      <c r="BL21" s="14" t="s">
        <v>60</v>
      </c>
      <c r="BM21" s="50"/>
      <c r="BN21" s="16">
        <v>20</v>
      </c>
      <c r="BO21" s="28">
        <v>115120</v>
      </c>
      <c r="BP21" s="17" t="s">
        <v>4034</v>
      </c>
      <c r="BQ21" s="14" t="s">
        <v>59</v>
      </c>
      <c r="BR21" s="138"/>
      <c r="BS21" s="16">
        <v>20</v>
      </c>
      <c r="BT21" s="28">
        <v>115220</v>
      </c>
      <c r="BU21" s="17" t="s">
        <v>4067</v>
      </c>
      <c r="BV21" s="14" t="s">
        <v>59</v>
      </c>
      <c r="BW21" s="135"/>
      <c r="BX21" s="16">
        <v>20</v>
      </c>
      <c r="BY21" s="28">
        <v>118120</v>
      </c>
      <c r="BZ21" s="17" t="s">
        <v>4020</v>
      </c>
      <c r="CA21" s="14" t="s">
        <v>60</v>
      </c>
      <c r="CB21" s="138"/>
      <c r="CC21" s="16">
        <v>20</v>
      </c>
      <c r="CD21" s="28">
        <v>118220</v>
      </c>
      <c r="CE21" s="17" t="s">
        <v>4098</v>
      </c>
      <c r="CF21" s="14" t="s">
        <v>59</v>
      </c>
      <c r="CG21" s="135"/>
      <c r="CH21" s="16"/>
      <c r="CI21" s="28"/>
      <c r="CJ21" s="17"/>
      <c r="CK21" s="14"/>
      <c r="CL21" s="7"/>
      <c r="CM21" s="16"/>
      <c r="CN21" s="28"/>
      <c r="CO21" s="17"/>
      <c r="CP21" s="14"/>
      <c r="CQ21" s="7"/>
    </row>
    <row r="22" spans="1:95" s="8" customFormat="1" ht="15" customHeight="1" thickTop="1">
      <c r="A22" s="4">
        <v>21</v>
      </c>
      <c r="B22" s="29">
        <v>111121</v>
      </c>
      <c r="C22" s="5" t="s">
        <v>4054</v>
      </c>
      <c r="D22" s="6" t="s">
        <v>59</v>
      </c>
      <c r="E22" s="138"/>
      <c r="F22" s="4">
        <v>21</v>
      </c>
      <c r="G22" s="29">
        <v>111221</v>
      </c>
      <c r="H22" s="5" t="s">
        <v>4069</v>
      </c>
      <c r="I22" s="6" t="s">
        <v>60</v>
      </c>
      <c r="J22" s="50"/>
      <c r="K22" s="4">
        <v>21</v>
      </c>
      <c r="L22" s="29">
        <v>111321</v>
      </c>
      <c r="M22" s="5" t="s">
        <v>4056</v>
      </c>
      <c r="N22" s="6" t="s">
        <v>60</v>
      </c>
      <c r="O22" s="138"/>
      <c r="P22" s="4">
        <v>21</v>
      </c>
      <c r="Q22" s="29">
        <v>111421</v>
      </c>
      <c r="R22" s="5" t="s">
        <v>4041</v>
      </c>
      <c r="S22" s="6" t="s">
        <v>59</v>
      </c>
      <c r="T22" s="50"/>
      <c r="U22" s="4">
        <v>21</v>
      </c>
      <c r="V22" s="29">
        <v>112121</v>
      </c>
      <c r="W22" s="5" t="s">
        <v>4058</v>
      </c>
      <c r="X22" s="6" t="s">
        <v>60</v>
      </c>
      <c r="Y22" s="138"/>
      <c r="Z22" s="4">
        <v>21</v>
      </c>
      <c r="AA22" s="29">
        <v>112221</v>
      </c>
      <c r="AB22" s="5" t="s">
        <v>4059</v>
      </c>
      <c r="AC22" s="6" t="s">
        <v>59</v>
      </c>
      <c r="AD22" s="138"/>
      <c r="AE22" s="4">
        <v>21</v>
      </c>
      <c r="AF22" s="25">
        <v>112321</v>
      </c>
      <c r="AG22" s="5" t="s">
        <v>4060</v>
      </c>
      <c r="AH22" s="6" t="s">
        <v>59</v>
      </c>
      <c r="AI22" s="135"/>
      <c r="AJ22" s="4">
        <v>21</v>
      </c>
      <c r="AK22" s="29">
        <v>112421</v>
      </c>
      <c r="AL22" s="5" t="s">
        <v>4061</v>
      </c>
      <c r="AM22" s="6" t="s">
        <v>59</v>
      </c>
      <c r="AN22" s="202"/>
      <c r="AO22" s="4">
        <v>21</v>
      </c>
      <c r="AP22" s="29">
        <v>113121</v>
      </c>
      <c r="AQ22" s="5" t="s">
        <v>4062</v>
      </c>
      <c r="AR22" s="6" t="s">
        <v>59</v>
      </c>
      <c r="AS22" s="135"/>
      <c r="AT22" s="4">
        <v>21</v>
      </c>
      <c r="AU22" s="29">
        <v>113221</v>
      </c>
      <c r="AV22" s="5" t="s">
        <v>4063</v>
      </c>
      <c r="AW22" s="6" t="s">
        <v>59</v>
      </c>
      <c r="AX22" s="135"/>
      <c r="AY22" s="4">
        <v>21</v>
      </c>
      <c r="AZ22" s="29">
        <v>113321</v>
      </c>
      <c r="BA22" s="5" t="s">
        <v>4064</v>
      </c>
      <c r="BB22" s="6" t="s">
        <v>59</v>
      </c>
      <c r="BC22" s="50"/>
      <c r="BD22" s="4">
        <v>21</v>
      </c>
      <c r="BE22" s="29">
        <v>114121</v>
      </c>
      <c r="BF22" s="5" t="s">
        <v>4065</v>
      </c>
      <c r="BG22" s="6" t="s">
        <v>59</v>
      </c>
      <c r="BH22" s="50"/>
      <c r="BI22" s="4">
        <v>21</v>
      </c>
      <c r="BJ22" s="29">
        <v>114221</v>
      </c>
      <c r="BK22" s="5" t="s">
        <v>4049</v>
      </c>
      <c r="BL22" s="6" t="s">
        <v>59</v>
      </c>
      <c r="BM22" s="50"/>
      <c r="BN22" s="4">
        <v>21</v>
      </c>
      <c r="BO22" s="29">
        <v>115121</v>
      </c>
      <c r="BP22" s="5" t="s">
        <v>4050</v>
      </c>
      <c r="BQ22" s="6" t="s">
        <v>59</v>
      </c>
      <c r="BR22" s="135"/>
      <c r="BS22" s="4">
        <v>21</v>
      </c>
      <c r="BT22" s="29">
        <v>115221</v>
      </c>
      <c r="BU22" s="5" t="s">
        <v>4082</v>
      </c>
      <c r="BV22" s="6" t="s">
        <v>59</v>
      </c>
      <c r="BW22" s="138"/>
      <c r="BX22" s="4">
        <v>21</v>
      </c>
      <c r="BY22" s="29">
        <v>118121</v>
      </c>
      <c r="BZ22" s="5" t="s">
        <v>4053</v>
      </c>
      <c r="CA22" s="6" t="s">
        <v>59</v>
      </c>
      <c r="CB22" s="138"/>
      <c r="CC22" s="4">
        <v>21</v>
      </c>
      <c r="CD22" s="29">
        <v>118221</v>
      </c>
      <c r="CE22" s="5" t="s">
        <v>4083</v>
      </c>
      <c r="CF22" s="6" t="s">
        <v>60</v>
      </c>
      <c r="CG22" s="139"/>
      <c r="CH22" s="4"/>
      <c r="CI22" s="29"/>
      <c r="CJ22" s="5"/>
      <c r="CK22" s="6"/>
      <c r="CL22" s="7"/>
      <c r="CM22" s="4"/>
      <c r="CN22" s="29"/>
      <c r="CO22" s="5"/>
      <c r="CP22" s="6"/>
      <c r="CQ22" s="7"/>
    </row>
    <row r="23" spans="1:95" s="8" customFormat="1" ht="15" customHeight="1">
      <c r="A23" s="9">
        <v>22</v>
      </c>
      <c r="B23" s="21">
        <v>111122</v>
      </c>
      <c r="C23" s="10" t="s">
        <v>995</v>
      </c>
      <c r="D23" s="11" t="s">
        <v>59</v>
      </c>
      <c r="E23" s="138"/>
      <c r="F23" s="9">
        <v>22</v>
      </c>
      <c r="G23" s="21">
        <v>111222</v>
      </c>
      <c r="H23" s="10" t="s">
        <v>4085</v>
      </c>
      <c r="I23" s="11" t="s">
        <v>59</v>
      </c>
      <c r="J23" s="50"/>
      <c r="K23" s="9">
        <v>22</v>
      </c>
      <c r="L23" s="21">
        <v>111322</v>
      </c>
      <c r="M23" s="10" t="s">
        <v>4070</v>
      </c>
      <c r="N23" s="11" t="s">
        <v>59</v>
      </c>
      <c r="O23" s="138"/>
      <c r="P23" s="9">
        <v>22</v>
      </c>
      <c r="Q23" s="21">
        <v>111422</v>
      </c>
      <c r="R23" s="10" t="s">
        <v>4057</v>
      </c>
      <c r="S23" s="11" t="s">
        <v>59</v>
      </c>
      <c r="T23" s="138"/>
      <c r="U23" s="9">
        <v>22</v>
      </c>
      <c r="V23" s="21">
        <v>112122</v>
      </c>
      <c r="W23" s="10" t="s">
        <v>4072</v>
      </c>
      <c r="X23" s="11" t="s">
        <v>59</v>
      </c>
      <c r="Y23" s="138"/>
      <c r="Z23" s="9">
        <v>22</v>
      </c>
      <c r="AA23" s="21">
        <v>112222</v>
      </c>
      <c r="AB23" s="10" t="s">
        <v>4073</v>
      </c>
      <c r="AC23" s="11" t="s">
        <v>59</v>
      </c>
      <c r="AD23" s="15"/>
      <c r="AE23" s="9">
        <v>22</v>
      </c>
      <c r="AF23" s="21">
        <v>112322</v>
      </c>
      <c r="AG23" s="10" t="s">
        <v>4074</v>
      </c>
      <c r="AH23" s="11" t="s">
        <v>59</v>
      </c>
      <c r="AI23" s="135"/>
      <c r="AJ23" s="9">
        <v>22</v>
      </c>
      <c r="AK23" s="21">
        <v>112422</v>
      </c>
      <c r="AL23" s="10" t="s">
        <v>4075</v>
      </c>
      <c r="AM23" s="11" t="s">
        <v>59</v>
      </c>
      <c r="AN23" s="135"/>
      <c r="AO23" s="9">
        <v>22</v>
      </c>
      <c r="AP23" s="21">
        <v>113122</v>
      </c>
      <c r="AQ23" s="10" t="s">
        <v>4076</v>
      </c>
      <c r="AR23" s="11" t="s">
        <v>59</v>
      </c>
      <c r="AS23" s="135"/>
      <c r="AT23" s="9">
        <v>22</v>
      </c>
      <c r="AU23" s="21">
        <v>113222</v>
      </c>
      <c r="AV23" s="10" t="s">
        <v>4077</v>
      </c>
      <c r="AW23" s="11" t="s">
        <v>59</v>
      </c>
      <c r="AX23" s="135"/>
      <c r="AY23" s="9">
        <v>22</v>
      </c>
      <c r="AZ23" s="21">
        <v>113322</v>
      </c>
      <c r="BA23" s="10" t="s">
        <v>4078</v>
      </c>
      <c r="BB23" s="11" t="s">
        <v>59</v>
      </c>
      <c r="BC23" s="50"/>
      <c r="BD23" s="9">
        <v>22</v>
      </c>
      <c r="BE23" s="21">
        <v>114122</v>
      </c>
      <c r="BF23" s="10" t="s">
        <v>4094</v>
      </c>
      <c r="BG23" s="11" t="s">
        <v>59</v>
      </c>
      <c r="BH23" s="50"/>
      <c r="BI23" s="9">
        <v>22</v>
      </c>
      <c r="BJ23" s="21">
        <v>114222</v>
      </c>
      <c r="BK23" s="10" t="s">
        <v>150</v>
      </c>
      <c r="BL23" s="11" t="s">
        <v>59</v>
      </c>
      <c r="BM23" s="50"/>
      <c r="BN23" s="9">
        <v>22</v>
      </c>
      <c r="BO23" s="21">
        <v>115122</v>
      </c>
      <c r="BP23" s="10" t="s">
        <v>4066</v>
      </c>
      <c r="BQ23" s="11" t="s">
        <v>59</v>
      </c>
      <c r="BR23" s="135"/>
      <c r="BS23" s="9">
        <v>22</v>
      </c>
      <c r="BT23" s="21">
        <v>115222</v>
      </c>
      <c r="BU23" s="10" t="s">
        <v>4096</v>
      </c>
      <c r="BV23" s="11" t="s">
        <v>59</v>
      </c>
      <c r="BW23" s="135"/>
      <c r="BX23" s="9">
        <v>22</v>
      </c>
      <c r="BY23" s="21">
        <v>118122</v>
      </c>
      <c r="BZ23" s="10" t="s">
        <v>4084</v>
      </c>
      <c r="CA23" s="11" t="s">
        <v>59</v>
      </c>
      <c r="CB23" s="138"/>
      <c r="CC23" s="9">
        <v>22</v>
      </c>
      <c r="CD23" s="21">
        <v>118222</v>
      </c>
      <c r="CE23" s="10" t="s">
        <v>4130</v>
      </c>
      <c r="CF23" s="11" t="s">
        <v>60</v>
      </c>
      <c r="CG23" s="135"/>
      <c r="CH23" s="9"/>
      <c r="CI23" s="21"/>
      <c r="CJ23" s="10"/>
      <c r="CK23" s="11"/>
      <c r="CL23" s="7"/>
      <c r="CM23" s="9"/>
      <c r="CN23" s="21"/>
      <c r="CO23" s="10"/>
      <c r="CP23" s="11"/>
      <c r="CQ23" s="7"/>
    </row>
    <row r="24" spans="1:95" s="8" customFormat="1" ht="15" customHeight="1">
      <c r="A24" s="9">
        <v>23</v>
      </c>
      <c r="B24" s="26">
        <v>111123</v>
      </c>
      <c r="C24" s="10" t="s">
        <v>4011</v>
      </c>
      <c r="D24" s="11" t="s">
        <v>59</v>
      </c>
      <c r="E24" s="138"/>
      <c r="F24" s="9">
        <v>23</v>
      </c>
      <c r="G24" s="26">
        <v>111223</v>
      </c>
      <c r="H24" s="10" t="s">
        <v>4100</v>
      </c>
      <c r="I24" s="11" t="s">
        <v>59</v>
      </c>
      <c r="J24" s="50"/>
      <c r="K24" s="9">
        <v>23</v>
      </c>
      <c r="L24" s="26">
        <v>111323</v>
      </c>
      <c r="M24" s="10" t="s">
        <v>4086</v>
      </c>
      <c r="N24" s="11" t="s">
        <v>59</v>
      </c>
      <c r="O24" s="138"/>
      <c r="P24" s="9">
        <v>23</v>
      </c>
      <c r="Q24" s="26">
        <v>111423</v>
      </c>
      <c r="R24" s="10" t="s">
        <v>4006</v>
      </c>
      <c r="S24" s="11" t="s">
        <v>59</v>
      </c>
      <c r="T24" s="138"/>
      <c r="U24" s="9">
        <v>23</v>
      </c>
      <c r="V24" s="26">
        <v>112123</v>
      </c>
      <c r="W24" s="10" t="s">
        <v>4088</v>
      </c>
      <c r="X24" s="11" t="s">
        <v>59</v>
      </c>
      <c r="Y24" s="138"/>
      <c r="Z24" s="9">
        <v>23</v>
      </c>
      <c r="AA24" s="26">
        <v>112223</v>
      </c>
      <c r="AB24" s="10" t="s">
        <v>4089</v>
      </c>
      <c r="AC24" s="11" t="s">
        <v>59</v>
      </c>
      <c r="AD24" s="140"/>
      <c r="AE24" s="9">
        <v>23</v>
      </c>
      <c r="AF24" s="21">
        <v>112323</v>
      </c>
      <c r="AG24" s="10" t="s">
        <v>4090</v>
      </c>
      <c r="AH24" s="11" t="s">
        <v>59</v>
      </c>
      <c r="AI24" s="135"/>
      <c r="AJ24" s="9">
        <v>23</v>
      </c>
      <c r="AK24" s="26">
        <v>112423</v>
      </c>
      <c r="AL24" s="10" t="s">
        <v>2056</v>
      </c>
      <c r="AM24" s="11" t="s">
        <v>59</v>
      </c>
      <c r="AN24" s="135"/>
      <c r="AO24" s="9">
        <v>23</v>
      </c>
      <c r="AP24" s="26">
        <v>113123</v>
      </c>
      <c r="AQ24" s="10" t="s">
        <v>4091</v>
      </c>
      <c r="AR24" s="11" t="s">
        <v>59</v>
      </c>
      <c r="AS24" s="135"/>
      <c r="AT24" s="9">
        <v>23</v>
      </c>
      <c r="AU24" s="26">
        <v>113223</v>
      </c>
      <c r="AV24" s="10" t="s">
        <v>4092</v>
      </c>
      <c r="AW24" s="11" t="s">
        <v>60</v>
      </c>
      <c r="AX24" s="135"/>
      <c r="AY24" s="9">
        <v>23</v>
      </c>
      <c r="AZ24" s="26">
        <v>113323</v>
      </c>
      <c r="BA24" s="10" t="s">
        <v>4093</v>
      </c>
      <c r="BB24" s="11" t="s">
        <v>59</v>
      </c>
      <c r="BC24" s="50"/>
      <c r="BD24" s="9">
        <v>23</v>
      </c>
      <c r="BE24" s="26">
        <v>114123</v>
      </c>
      <c r="BF24" s="10" t="s">
        <v>4108</v>
      </c>
      <c r="BG24" s="11" t="s">
        <v>59</v>
      </c>
      <c r="BH24" s="50"/>
      <c r="BI24" s="9">
        <v>23</v>
      </c>
      <c r="BJ24" s="26">
        <v>114223</v>
      </c>
      <c r="BK24" s="10" t="s">
        <v>4080</v>
      </c>
      <c r="BL24" s="11" t="s">
        <v>59</v>
      </c>
      <c r="BM24" s="50"/>
      <c r="BN24" s="9">
        <v>23</v>
      </c>
      <c r="BO24" s="26">
        <v>115123</v>
      </c>
      <c r="BP24" s="10" t="s">
        <v>4081</v>
      </c>
      <c r="BQ24" s="11" t="s">
        <v>60</v>
      </c>
      <c r="BR24" s="138"/>
      <c r="BS24" s="9">
        <v>23</v>
      </c>
      <c r="BT24" s="26">
        <v>115223</v>
      </c>
      <c r="BU24" s="10" t="s">
        <v>4111</v>
      </c>
      <c r="BV24" s="11" t="s">
        <v>59</v>
      </c>
      <c r="BW24" s="135"/>
      <c r="BX24" s="9">
        <v>23</v>
      </c>
      <c r="BY24" s="26">
        <v>118123</v>
      </c>
      <c r="BZ24" s="10" t="s">
        <v>4068</v>
      </c>
      <c r="CA24" s="11" t="s">
        <v>60</v>
      </c>
      <c r="CB24" s="135"/>
      <c r="CC24" s="9">
        <v>23</v>
      </c>
      <c r="CD24" s="26">
        <v>118223</v>
      </c>
      <c r="CE24" s="10" t="s">
        <v>4146</v>
      </c>
      <c r="CF24" s="11" t="s">
        <v>60</v>
      </c>
      <c r="CG24" s="135"/>
      <c r="CH24" s="9"/>
      <c r="CI24" s="26"/>
      <c r="CJ24" s="10"/>
      <c r="CK24" s="11"/>
      <c r="CL24" s="7"/>
      <c r="CM24" s="9"/>
      <c r="CN24" s="26"/>
      <c r="CO24" s="10"/>
      <c r="CP24" s="11"/>
      <c r="CQ24" s="7"/>
    </row>
    <row r="25" spans="1:95" s="8" customFormat="1" ht="15" customHeight="1">
      <c r="A25" s="9">
        <v>24</v>
      </c>
      <c r="B25" s="26">
        <v>111124</v>
      </c>
      <c r="C25" s="10" t="s">
        <v>4099</v>
      </c>
      <c r="D25" s="11" t="s">
        <v>59</v>
      </c>
      <c r="E25" s="138"/>
      <c r="F25" s="9">
        <v>24</v>
      </c>
      <c r="G25" s="26">
        <v>111224</v>
      </c>
      <c r="H25" s="10" t="s">
        <v>4115</v>
      </c>
      <c r="I25" s="11" t="s">
        <v>59</v>
      </c>
      <c r="J25" s="50"/>
      <c r="K25" s="9">
        <v>24</v>
      </c>
      <c r="L25" s="26">
        <v>111324</v>
      </c>
      <c r="M25" s="10" t="s">
        <v>4101</v>
      </c>
      <c r="N25" s="11" t="s">
        <v>59</v>
      </c>
      <c r="O25" s="138"/>
      <c r="P25" s="9">
        <v>24</v>
      </c>
      <c r="Q25" s="26">
        <v>111424</v>
      </c>
      <c r="R25" s="10" t="s">
        <v>4087</v>
      </c>
      <c r="S25" s="11" t="s">
        <v>59</v>
      </c>
      <c r="T25" s="138"/>
      <c r="U25" s="9">
        <v>24</v>
      </c>
      <c r="V25" s="26">
        <v>112124</v>
      </c>
      <c r="W25" s="10" t="s">
        <v>4103</v>
      </c>
      <c r="X25" s="11" t="s">
        <v>59</v>
      </c>
      <c r="Y25" s="138"/>
      <c r="Z25" s="9">
        <v>24</v>
      </c>
      <c r="AA25" s="26">
        <v>112224</v>
      </c>
      <c r="AB25" s="10" t="s">
        <v>4011</v>
      </c>
      <c r="AC25" s="11" t="s">
        <v>59</v>
      </c>
      <c r="AD25" s="138"/>
      <c r="AE25" s="9">
        <v>24</v>
      </c>
      <c r="AF25" s="26">
        <v>112324</v>
      </c>
      <c r="AG25" s="10" t="s">
        <v>4104</v>
      </c>
      <c r="AH25" s="11" t="s">
        <v>59</v>
      </c>
      <c r="AI25" s="135"/>
      <c r="AJ25" s="9">
        <v>24</v>
      </c>
      <c r="AK25" s="26">
        <v>112424</v>
      </c>
      <c r="AL25" s="10" t="s">
        <v>4105</v>
      </c>
      <c r="AM25" s="11" t="s">
        <v>59</v>
      </c>
      <c r="AN25" s="135"/>
      <c r="AO25" s="9">
        <v>24</v>
      </c>
      <c r="AP25" s="26">
        <v>113124</v>
      </c>
      <c r="AQ25" s="10" t="s">
        <v>196</v>
      </c>
      <c r="AR25" s="11" t="s">
        <v>59</v>
      </c>
      <c r="AS25" s="135"/>
      <c r="AT25" s="9">
        <v>24</v>
      </c>
      <c r="AU25" s="26">
        <v>113224</v>
      </c>
      <c r="AV25" s="10" t="s">
        <v>4106</v>
      </c>
      <c r="AW25" s="11" t="s">
        <v>59</v>
      </c>
      <c r="AX25" s="135"/>
      <c r="AY25" s="9">
        <v>24</v>
      </c>
      <c r="AZ25" s="26">
        <v>113324</v>
      </c>
      <c r="BA25" s="10" t="s">
        <v>4107</v>
      </c>
      <c r="BB25" s="11" t="s">
        <v>59</v>
      </c>
      <c r="BC25" s="50"/>
      <c r="BD25" s="9">
        <v>24</v>
      </c>
      <c r="BE25" s="26">
        <v>114124</v>
      </c>
      <c r="BF25" s="10" t="s">
        <v>4125</v>
      </c>
      <c r="BG25" s="11" t="s">
        <v>59</v>
      </c>
      <c r="BH25" s="50"/>
      <c r="BI25" s="9">
        <v>24</v>
      </c>
      <c r="BJ25" s="26">
        <v>114224</v>
      </c>
      <c r="BK25" s="10" t="s">
        <v>4095</v>
      </c>
      <c r="BL25" s="11" t="s">
        <v>59</v>
      </c>
      <c r="BM25" s="50"/>
      <c r="BN25" s="9">
        <v>24</v>
      </c>
      <c r="BO25" s="26">
        <v>115124</v>
      </c>
      <c r="BP25" s="10" t="s">
        <v>4384</v>
      </c>
      <c r="BQ25" s="11" t="s">
        <v>60</v>
      </c>
      <c r="BR25" s="138"/>
      <c r="BS25" s="9">
        <v>24</v>
      </c>
      <c r="BT25" s="26">
        <v>115224</v>
      </c>
      <c r="BU25" s="10" t="s">
        <v>4128</v>
      </c>
      <c r="BV25" s="11" t="s">
        <v>59</v>
      </c>
      <c r="BW25" s="135"/>
      <c r="BX25" s="9">
        <v>24</v>
      </c>
      <c r="BY25" s="26">
        <v>118124</v>
      </c>
      <c r="BZ25" s="10" t="s">
        <v>4113</v>
      </c>
      <c r="CA25" s="11" t="s">
        <v>60</v>
      </c>
      <c r="CB25" s="138"/>
      <c r="CC25" s="9">
        <v>24</v>
      </c>
      <c r="CD25" s="26">
        <v>118224</v>
      </c>
      <c r="CE25" s="10" t="s">
        <v>4129</v>
      </c>
      <c r="CF25" s="11" t="s">
        <v>59</v>
      </c>
      <c r="CG25" s="135"/>
      <c r="CH25" s="9"/>
      <c r="CI25" s="26"/>
      <c r="CJ25" s="10"/>
      <c r="CK25" s="11"/>
      <c r="CL25" s="7"/>
      <c r="CM25" s="9"/>
      <c r="CN25" s="26"/>
      <c r="CO25" s="10"/>
      <c r="CP25" s="11"/>
      <c r="CQ25" s="7"/>
    </row>
    <row r="26" spans="1:95" s="8" customFormat="1" ht="15" customHeight="1" thickBot="1">
      <c r="A26" s="16">
        <v>25</v>
      </c>
      <c r="B26" s="28">
        <v>111125</v>
      </c>
      <c r="C26" s="17" t="s">
        <v>4114</v>
      </c>
      <c r="D26" s="14" t="s">
        <v>59</v>
      </c>
      <c r="E26" s="138"/>
      <c r="F26" s="16">
        <v>25</v>
      </c>
      <c r="G26" s="28">
        <v>111225</v>
      </c>
      <c r="H26" s="17" t="s">
        <v>4132</v>
      </c>
      <c r="I26" s="14" t="s">
        <v>59</v>
      </c>
      <c r="J26" s="50"/>
      <c r="K26" s="16">
        <v>25</v>
      </c>
      <c r="L26" s="28">
        <v>111325</v>
      </c>
      <c r="M26" s="17" t="s">
        <v>4116</v>
      </c>
      <c r="N26" s="14" t="s">
        <v>60</v>
      </c>
      <c r="O26" s="138"/>
      <c r="P26" s="16">
        <v>25</v>
      </c>
      <c r="Q26" s="28">
        <v>111425</v>
      </c>
      <c r="R26" s="17" t="s">
        <v>4102</v>
      </c>
      <c r="S26" s="14" t="s">
        <v>59</v>
      </c>
      <c r="T26" s="138"/>
      <c r="U26" s="16">
        <v>25</v>
      </c>
      <c r="V26" s="28">
        <v>112125</v>
      </c>
      <c r="W26" s="17" t="s">
        <v>4118</v>
      </c>
      <c r="X26" s="14" t="s">
        <v>59</v>
      </c>
      <c r="Y26" s="138"/>
      <c r="Z26" s="16">
        <v>25</v>
      </c>
      <c r="AA26" s="28">
        <v>112225</v>
      </c>
      <c r="AB26" s="17" t="s">
        <v>4119</v>
      </c>
      <c r="AC26" s="14" t="s">
        <v>59</v>
      </c>
      <c r="AD26" s="138"/>
      <c r="AE26" s="16">
        <v>25</v>
      </c>
      <c r="AF26" s="28">
        <v>112325</v>
      </c>
      <c r="AG26" s="17" t="s">
        <v>4120</v>
      </c>
      <c r="AH26" s="18" t="s">
        <v>59</v>
      </c>
      <c r="AI26" s="135"/>
      <c r="AJ26" s="16">
        <v>25</v>
      </c>
      <c r="AK26" s="28">
        <v>112425</v>
      </c>
      <c r="AL26" s="17" t="s">
        <v>4121</v>
      </c>
      <c r="AM26" s="14" t="s">
        <v>59</v>
      </c>
      <c r="AN26" s="135"/>
      <c r="AO26" s="16">
        <v>25</v>
      </c>
      <c r="AP26" s="28">
        <v>113125</v>
      </c>
      <c r="AQ26" s="17" t="s">
        <v>4122</v>
      </c>
      <c r="AR26" s="14" t="s">
        <v>59</v>
      </c>
      <c r="AS26" s="135"/>
      <c r="AT26" s="16">
        <v>25</v>
      </c>
      <c r="AU26" s="28">
        <v>113225</v>
      </c>
      <c r="AV26" s="17" t="s">
        <v>4123</v>
      </c>
      <c r="AW26" s="14" t="s">
        <v>59</v>
      </c>
      <c r="AX26" s="135"/>
      <c r="AY26" s="16">
        <v>25</v>
      </c>
      <c r="AZ26" s="28">
        <v>113325</v>
      </c>
      <c r="BA26" s="17" t="s">
        <v>4124</v>
      </c>
      <c r="BB26" s="14" t="s">
        <v>59</v>
      </c>
      <c r="BC26" s="50"/>
      <c r="BD26" s="16">
        <v>25</v>
      </c>
      <c r="BE26" s="28">
        <v>114125</v>
      </c>
      <c r="BF26" s="17" t="s">
        <v>4142</v>
      </c>
      <c r="BG26" s="14" t="s">
        <v>59</v>
      </c>
      <c r="BH26" s="50"/>
      <c r="BI26" s="16">
        <v>25</v>
      </c>
      <c r="BJ26" s="28">
        <v>114225</v>
      </c>
      <c r="BK26" s="17" t="s">
        <v>4109</v>
      </c>
      <c r="BL26" s="14" t="s">
        <v>59</v>
      </c>
      <c r="BM26" s="50"/>
      <c r="BN26" s="16">
        <v>25</v>
      </c>
      <c r="BO26" s="28">
        <v>115125</v>
      </c>
      <c r="BP26" s="17" t="s">
        <v>4110</v>
      </c>
      <c r="BQ26" s="14" t="s">
        <v>59</v>
      </c>
      <c r="BR26" s="135"/>
      <c r="BS26" s="16">
        <v>25</v>
      </c>
      <c r="BT26" s="28">
        <v>115225</v>
      </c>
      <c r="BU26" s="17" t="s">
        <v>4144</v>
      </c>
      <c r="BV26" s="14" t="s">
        <v>59</v>
      </c>
      <c r="BW26" s="138"/>
      <c r="BX26" s="16">
        <v>25</v>
      </c>
      <c r="BY26" s="28">
        <v>118125</v>
      </c>
      <c r="BZ26" s="17" t="s">
        <v>4097</v>
      </c>
      <c r="CA26" s="14" t="s">
        <v>60</v>
      </c>
      <c r="CB26" s="135"/>
      <c r="CC26" s="16">
        <v>25</v>
      </c>
      <c r="CD26" s="28">
        <v>118225</v>
      </c>
      <c r="CE26" s="17" t="s">
        <v>4162</v>
      </c>
      <c r="CF26" s="14" t="s">
        <v>59</v>
      </c>
      <c r="CG26" s="135"/>
      <c r="CH26" s="16"/>
      <c r="CI26" s="28"/>
      <c r="CJ26" s="17"/>
      <c r="CK26" s="14"/>
      <c r="CL26" s="7"/>
      <c r="CM26" s="16"/>
      <c r="CN26" s="28"/>
      <c r="CO26" s="17"/>
      <c r="CP26" s="14"/>
      <c r="CQ26" s="7"/>
    </row>
    <row r="27" spans="1:95" s="8" customFormat="1" ht="15" customHeight="1" thickTop="1">
      <c r="A27" s="4">
        <v>26</v>
      </c>
      <c r="B27" s="29">
        <v>111126</v>
      </c>
      <c r="C27" s="5" t="s">
        <v>4131</v>
      </c>
      <c r="D27" s="6" t="s">
        <v>59</v>
      </c>
      <c r="E27" s="138"/>
      <c r="F27" s="4">
        <v>26</v>
      </c>
      <c r="G27" s="29">
        <v>111226</v>
      </c>
      <c r="H27" s="5" t="s">
        <v>4148</v>
      </c>
      <c r="I27" s="6" t="s">
        <v>59</v>
      </c>
      <c r="J27" s="138"/>
      <c r="K27" s="4">
        <v>26</v>
      </c>
      <c r="L27" s="29">
        <v>111326</v>
      </c>
      <c r="M27" s="5" t="s">
        <v>4133</v>
      </c>
      <c r="N27" s="6" t="s">
        <v>59</v>
      </c>
      <c r="O27" s="138"/>
      <c r="P27" s="4">
        <v>26</v>
      </c>
      <c r="Q27" s="29">
        <v>111426</v>
      </c>
      <c r="R27" s="5" t="s">
        <v>4117</v>
      </c>
      <c r="S27" s="6" t="s">
        <v>59</v>
      </c>
      <c r="T27" s="138"/>
      <c r="U27" s="4">
        <v>26</v>
      </c>
      <c r="V27" s="29">
        <v>112126</v>
      </c>
      <c r="W27" s="5" t="s">
        <v>4135</v>
      </c>
      <c r="X27" s="6" t="s">
        <v>59</v>
      </c>
      <c r="Y27" s="138"/>
      <c r="Z27" s="4">
        <v>26</v>
      </c>
      <c r="AA27" s="29">
        <v>112226</v>
      </c>
      <c r="AB27" s="5" t="s">
        <v>4136</v>
      </c>
      <c r="AC27" s="6" t="s">
        <v>59</v>
      </c>
      <c r="AD27" s="138"/>
      <c r="AE27" s="4">
        <v>26</v>
      </c>
      <c r="AF27" s="25">
        <v>112326</v>
      </c>
      <c r="AG27" s="5" t="s">
        <v>4137</v>
      </c>
      <c r="AH27" s="6" t="s">
        <v>59</v>
      </c>
      <c r="AI27" s="50"/>
      <c r="AJ27" s="4">
        <v>26</v>
      </c>
      <c r="AK27" s="29">
        <v>112426</v>
      </c>
      <c r="AL27" s="5" t="s">
        <v>4138</v>
      </c>
      <c r="AM27" s="6" t="s">
        <v>59</v>
      </c>
      <c r="AN27" s="135"/>
      <c r="AO27" s="4">
        <v>26</v>
      </c>
      <c r="AP27" s="29">
        <v>113126</v>
      </c>
      <c r="AQ27" s="5" t="s">
        <v>4139</v>
      </c>
      <c r="AR27" s="6" t="s">
        <v>59</v>
      </c>
      <c r="AS27" s="50"/>
      <c r="AT27" s="4">
        <v>26</v>
      </c>
      <c r="AU27" s="29" t="s">
        <v>4417</v>
      </c>
      <c r="AV27" s="5" t="s">
        <v>4140</v>
      </c>
      <c r="AW27" s="6" t="s">
        <v>59</v>
      </c>
      <c r="AX27" s="135"/>
      <c r="AY27" s="4">
        <v>26</v>
      </c>
      <c r="AZ27" s="29">
        <v>113326</v>
      </c>
      <c r="BA27" s="5" t="s">
        <v>4141</v>
      </c>
      <c r="BB27" s="6" t="s">
        <v>59</v>
      </c>
      <c r="BC27" s="50"/>
      <c r="BD27" s="4">
        <v>26</v>
      </c>
      <c r="BE27" s="29">
        <v>114126</v>
      </c>
      <c r="BF27" s="5" t="s">
        <v>4158</v>
      </c>
      <c r="BG27" s="6" t="s">
        <v>59</v>
      </c>
      <c r="BH27" s="135"/>
      <c r="BI27" s="4">
        <v>26</v>
      </c>
      <c r="BJ27" s="29">
        <v>114226</v>
      </c>
      <c r="BK27" s="5" t="s">
        <v>4395</v>
      </c>
      <c r="BL27" s="6" t="s">
        <v>59</v>
      </c>
      <c r="BM27" s="50"/>
      <c r="BN27" s="4">
        <v>26</v>
      </c>
      <c r="BO27" s="29">
        <v>115126</v>
      </c>
      <c r="BP27" s="5" t="s">
        <v>4127</v>
      </c>
      <c r="BQ27" s="6" t="s">
        <v>60</v>
      </c>
      <c r="BR27" s="135"/>
      <c r="BS27" s="4">
        <v>26</v>
      </c>
      <c r="BT27" s="29">
        <v>115226</v>
      </c>
      <c r="BU27" s="5" t="s">
        <v>4161</v>
      </c>
      <c r="BV27" s="6" t="s">
        <v>59</v>
      </c>
      <c r="BW27" s="138"/>
      <c r="BX27" s="4">
        <v>26</v>
      </c>
      <c r="BY27" s="29">
        <v>118126</v>
      </c>
      <c r="BZ27" s="5" t="s">
        <v>4163</v>
      </c>
      <c r="CA27" s="6" t="s">
        <v>60</v>
      </c>
      <c r="CB27" s="57"/>
      <c r="CC27" s="4">
        <v>26</v>
      </c>
      <c r="CD27" s="29">
        <v>118226</v>
      </c>
      <c r="CE27" s="5" t="s">
        <v>4197</v>
      </c>
      <c r="CF27" s="6" t="s">
        <v>60</v>
      </c>
      <c r="CG27" s="57"/>
      <c r="CH27" s="4"/>
      <c r="CI27" s="29"/>
      <c r="CJ27" s="5"/>
      <c r="CK27" s="6"/>
      <c r="CL27" s="7"/>
      <c r="CM27" s="4"/>
      <c r="CN27" s="29"/>
      <c r="CO27" s="5"/>
      <c r="CP27" s="6"/>
      <c r="CQ27" s="136"/>
    </row>
    <row r="28" spans="1:95" s="8" customFormat="1" ht="15" customHeight="1">
      <c r="A28" s="9">
        <v>27</v>
      </c>
      <c r="B28" s="21">
        <v>111127</v>
      </c>
      <c r="C28" s="10" t="s">
        <v>4147</v>
      </c>
      <c r="D28" s="11" t="s">
        <v>59</v>
      </c>
      <c r="E28" s="138"/>
      <c r="F28" s="9">
        <v>27</v>
      </c>
      <c r="G28" s="21">
        <v>111227</v>
      </c>
      <c r="H28" s="10" t="s">
        <v>4165</v>
      </c>
      <c r="I28" s="11" t="s">
        <v>60</v>
      </c>
      <c r="J28" s="138"/>
      <c r="K28" s="9">
        <v>27</v>
      </c>
      <c r="L28" s="21">
        <v>111327</v>
      </c>
      <c r="M28" s="10" t="s">
        <v>4149</v>
      </c>
      <c r="N28" s="11" t="s">
        <v>59</v>
      </c>
      <c r="O28" s="138"/>
      <c r="P28" s="9">
        <v>27</v>
      </c>
      <c r="Q28" s="21">
        <v>111427</v>
      </c>
      <c r="R28" s="10" t="s">
        <v>4134</v>
      </c>
      <c r="S28" s="11" t="s">
        <v>59</v>
      </c>
      <c r="T28" s="138"/>
      <c r="U28" s="9">
        <v>27</v>
      </c>
      <c r="V28" s="21">
        <v>112127</v>
      </c>
      <c r="W28" s="10" t="s">
        <v>4151</v>
      </c>
      <c r="X28" s="11" t="s">
        <v>59</v>
      </c>
      <c r="Y28" s="138"/>
      <c r="Z28" s="9">
        <v>27</v>
      </c>
      <c r="AA28" s="21">
        <v>112227</v>
      </c>
      <c r="AB28" s="10" t="s">
        <v>4152</v>
      </c>
      <c r="AC28" s="11" t="s">
        <v>59</v>
      </c>
      <c r="AD28" s="15"/>
      <c r="AE28" s="9">
        <v>27</v>
      </c>
      <c r="AF28" s="21">
        <v>112327</v>
      </c>
      <c r="AG28" s="10" t="s">
        <v>4153</v>
      </c>
      <c r="AH28" s="11" t="s">
        <v>59</v>
      </c>
      <c r="AI28" s="135"/>
      <c r="AJ28" s="9">
        <v>27</v>
      </c>
      <c r="AK28" s="21">
        <v>112427</v>
      </c>
      <c r="AL28" s="10" t="s">
        <v>4154</v>
      </c>
      <c r="AM28" s="11" t="s">
        <v>59</v>
      </c>
      <c r="AN28" s="135"/>
      <c r="AO28" s="9">
        <v>27</v>
      </c>
      <c r="AP28" s="21">
        <v>113127</v>
      </c>
      <c r="AQ28" s="10" t="s">
        <v>4155</v>
      </c>
      <c r="AR28" s="11" t="s">
        <v>59</v>
      </c>
      <c r="AS28" s="135"/>
      <c r="AT28" s="9">
        <v>27</v>
      </c>
      <c r="AU28" s="21">
        <v>113227</v>
      </c>
      <c r="AV28" s="10" t="s">
        <v>4156</v>
      </c>
      <c r="AW28" s="11" t="s">
        <v>60</v>
      </c>
      <c r="AX28" s="135"/>
      <c r="AY28" s="9">
        <v>27</v>
      </c>
      <c r="AZ28" s="21">
        <v>113327</v>
      </c>
      <c r="BA28" s="10" t="s">
        <v>4157</v>
      </c>
      <c r="BB28" s="11" t="s">
        <v>59</v>
      </c>
      <c r="BC28" s="50"/>
      <c r="BD28" s="9">
        <v>27</v>
      </c>
      <c r="BE28" s="21">
        <v>114127</v>
      </c>
      <c r="BF28" s="10" t="s">
        <v>4175</v>
      </c>
      <c r="BG28" s="11" t="s">
        <v>59</v>
      </c>
      <c r="BH28" s="50"/>
      <c r="BI28" s="9">
        <v>27</v>
      </c>
      <c r="BJ28" s="21">
        <v>114227</v>
      </c>
      <c r="BK28" s="10" t="s">
        <v>4159</v>
      </c>
      <c r="BL28" s="11" t="s">
        <v>59</v>
      </c>
      <c r="BM28" s="50"/>
      <c r="BN28" s="9">
        <v>27</v>
      </c>
      <c r="BO28" s="21">
        <v>115127</v>
      </c>
      <c r="BP28" s="10" t="s">
        <v>4143</v>
      </c>
      <c r="BQ28" s="11" t="s">
        <v>59</v>
      </c>
      <c r="BR28" s="138"/>
      <c r="BS28" s="9">
        <v>27</v>
      </c>
      <c r="BT28" s="21">
        <v>115227</v>
      </c>
      <c r="BU28" s="10" t="s">
        <v>4178</v>
      </c>
      <c r="BV28" s="11" t="s">
        <v>59</v>
      </c>
      <c r="BW28" s="135"/>
      <c r="BX28" s="9">
        <v>27</v>
      </c>
      <c r="BY28" s="21">
        <v>118127</v>
      </c>
      <c r="BZ28" s="10" t="s">
        <v>4112</v>
      </c>
      <c r="CA28" s="11" t="s">
        <v>59</v>
      </c>
      <c r="CB28" s="135"/>
      <c r="CC28" s="9">
        <v>27</v>
      </c>
      <c r="CD28" s="21">
        <v>118227</v>
      </c>
      <c r="CE28" s="10" t="s">
        <v>4213</v>
      </c>
      <c r="CF28" s="11" t="s">
        <v>60</v>
      </c>
      <c r="CG28" s="135"/>
      <c r="CH28" s="9"/>
      <c r="CI28" s="21"/>
      <c r="CJ28" s="10"/>
      <c r="CK28" s="11"/>
      <c r="CL28" s="7"/>
      <c r="CM28" s="9"/>
      <c r="CN28" s="21"/>
      <c r="CO28" s="10"/>
      <c r="CP28" s="11"/>
      <c r="CQ28" s="136"/>
    </row>
    <row r="29" spans="1:95" s="8" customFormat="1" ht="15" customHeight="1">
      <c r="A29" s="9">
        <v>28</v>
      </c>
      <c r="B29" s="26">
        <v>111128</v>
      </c>
      <c r="C29" s="10" t="s">
        <v>4164</v>
      </c>
      <c r="D29" s="11" t="s">
        <v>59</v>
      </c>
      <c r="E29" s="138"/>
      <c r="F29" s="9">
        <v>28</v>
      </c>
      <c r="G29" s="26">
        <v>111228</v>
      </c>
      <c r="H29" s="10" t="s">
        <v>4182</v>
      </c>
      <c r="I29" s="11" t="s">
        <v>59</v>
      </c>
      <c r="J29" s="138"/>
      <c r="K29" s="9">
        <v>28</v>
      </c>
      <c r="L29" s="26">
        <v>111328</v>
      </c>
      <c r="M29" s="10" t="s">
        <v>4166</v>
      </c>
      <c r="N29" s="11" t="s">
        <v>59</v>
      </c>
      <c r="O29" s="138"/>
      <c r="P29" s="9">
        <v>28</v>
      </c>
      <c r="Q29" s="26">
        <v>111428</v>
      </c>
      <c r="R29" s="10" t="s">
        <v>4150</v>
      </c>
      <c r="S29" s="11" t="s">
        <v>59</v>
      </c>
      <c r="T29" s="138"/>
      <c r="U29" s="9">
        <v>28</v>
      </c>
      <c r="V29" s="26">
        <v>112128</v>
      </c>
      <c r="W29" s="10" t="s">
        <v>4168</v>
      </c>
      <c r="X29" s="11" t="s">
        <v>59</v>
      </c>
      <c r="Y29" s="138"/>
      <c r="Z29" s="9">
        <v>28</v>
      </c>
      <c r="AA29" s="26">
        <v>112228</v>
      </c>
      <c r="AB29" s="10" t="s">
        <v>4169</v>
      </c>
      <c r="AC29" s="11" t="s">
        <v>59</v>
      </c>
      <c r="AD29" s="140"/>
      <c r="AE29" s="9">
        <v>28</v>
      </c>
      <c r="AF29" s="21">
        <v>112328</v>
      </c>
      <c r="AG29" s="10" t="s">
        <v>4170</v>
      </c>
      <c r="AH29" s="11" t="s">
        <v>59</v>
      </c>
      <c r="AI29" s="135"/>
      <c r="AJ29" s="9">
        <v>28</v>
      </c>
      <c r="AK29" s="26">
        <v>112428</v>
      </c>
      <c r="AL29" s="10" t="s">
        <v>4171</v>
      </c>
      <c r="AM29" s="11" t="s">
        <v>59</v>
      </c>
      <c r="AN29" s="135"/>
      <c r="AO29" s="9">
        <v>28</v>
      </c>
      <c r="AP29" s="26">
        <v>113128</v>
      </c>
      <c r="AQ29" s="10" t="s">
        <v>4172</v>
      </c>
      <c r="AR29" s="11" t="s">
        <v>59</v>
      </c>
      <c r="AS29" s="135"/>
      <c r="AT29" s="9">
        <v>28</v>
      </c>
      <c r="AU29" s="26">
        <v>113228</v>
      </c>
      <c r="AV29" s="10" t="s">
        <v>4173</v>
      </c>
      <c r="AW29" s="11" t="s">
        <v>59</v>
      </c>
      <c r="AX29" s="135"/>
      <c r="AY29" s="9">
        <v>28</v>
      </c>
      <c r="AZ29" s="26">
        <v>113328</v>
      </c>
      <c r="BA29" s="10" t="s">
        <v>4174</v>
      </c>
      <c r="BB29" s="11" t="s">
        <v>59</v>
      </c>
      <c r="BC29" s="50"/>
      <c r="BD29" s="9">
        <v>28</v>
      </c>
      <c r="BE29" s="26">
        <v>114128</v>
      </c>
      <c r="BF29" s="10" t="s">
        <v>4126</v>
      </c>
      <c r="BG29" s="11" t="s">
        <v>59</v>
      </c>
      <c r="BH29" s="50"/>
      <c r="BI29" s="9">
        <v>28</v>
      </c>
      <c r="BJ29" s="26">
        <v>114228</v>
      </c>
      <c r="BK29" s="10" t="s">
        <v>4176</v>
      </c>
      <c r="BL29" s="11" t="s">
        <v>59</v>
      </c>
      <c r="BM29" s="50"/>
      <c r="BN29" s="9">
        <v>28</v>
      </c>
      <c r="BO29" s="26">
        <v>115128</v>
      </c>
      <c r="BP29" s="10" t="s">
        <v>4160</v>
      </c>
      <c r="BQ29" s="11" t="s">
        <v>59</v>
      </c>
      <c r="BR29" s="135"/>
      <c r="BS29" s="9">
        <v>28</v>
      </c>
      <c r="BT29" s="26">
        <v>115228</v>
      </c>
      <c r="BU29" s="10" t="s">
        <v>4277</v>
      </c>
      <c r="BV29" s="11" t="s">
        <v>59</v>
      </c>
      <c r="BW29" s="138"/>
      <c r="BX29" s="9">
        <v>28</v>
      </c>
      <c r="BY29" s="26">
        <v>118128</v>
      </c>
      <c r="BZ29" s="10" t="s">
        <v>4145</v>
      </c>
      <c r="CA29" s="11" t="s">
        <v>59</v>
      </c>
      <c r="CB29" s="138"/>
      <c r="CC29" s="9">
        <v>28</v>
      </c>
      <c r="CD29" s="26">
        <v>118228</v>
      </c>
      <c r="CE29" s="10" t="s">
        <v>4214</v>
      </c>
      <c r="CF29" s="11" t="s">
        <v>59</v>
      </c>
      <c r="CG29" s="135"/>
      <c r="CH29" s="9"/>
      <c r="CI29" s="26"/>
      <c r="CJ29" s="10"/>
      <c r="CK29" s="11"/>
      <c r="CL29" s="7"/>
      <c r="CM29" s="9"/>
      <c r="CN29" s="26"/>
      <c r="CO29" s="10"/>
      <c r="CP29" s="11"/>
      <c r="CQ29" s="136"/>
    </row>
    <row r="30" spans="1:95" s="8" customFormat="1" ht="15" customHeight="1">
      <c r="A30" s="9">
        <v>29</v>
      </c>
      <c r="B30" s="26">
        <v>111129</v>
      </c>
      <c r="C30" s="10" t="s">
        <v>4181</v>
      </c>
      <c r="D30" s="11" t="s">
        <v>59</v>
      </c>
      <c r="E30" s="138"/>
      <c r="F30" s="9">
        <v>29</v>
      </c>
      <c r="G30" s="26">
        <v>111229</v>
      </c>
      <c r="H30" s="10" t="s">
        <v>4199</v>
      </c>
      <c r="I30" s="11" t="s">
        <v>59</v>
      </c>
      <c r="J30" s="138"/>
      <c r="K30" s="9">
        <v>29</v>
      </c>
      <c r="L30" s="26">
        <v>111329</v>
      </c>
      <c r="M30" s="10" t="s">
        <v>4183</v>
      </c>
      <c r="N30" s="11" t="s">
        <v>59</v>
      </c>
      <c r="O30" s="50"/>
      <c r="P30" s="9">
        <v>29</v>
      </c>
      <c r="Q30" s="26">
        <v>111429</v>
      </c>
      <c r="R30" s="10" t="s">
        <v>4167</v>
      </c>
      <c r="S30" s="11" t="s">
        <v>59</v>
      </c>
      <c r="T30" s="138"/>
      <c r="U30" s="9">
        <v>29</v>
      </c>
      <c r="V30" s="26">
        <v>112129</v>
      </c>
      <c r="W30" s="10" t="s">
        <v>4185</v>
      </c>
      <c r="X30" s="11" t="s">
        <v>60</v>
      </c>
      <c r="Y30" s="138"/>
      <c r="Z30" s="9">
        <v>29</v>
      </c>
      <c r="AA30" s="26">
        <v>112229</v>
      </c>
      <c r="AB30" s="10" t="s">
        <v>4186</v>
      </c>
      <c r="AC30" s="11" t="s">
        <v>59</v>
      </c>
      <c r="AD30" s="7"/>
      <c r="AE30" s="9">
        <v>29</v>
      </c>
      <c r="AF30" s="26">
        <v>112329</v>
      </c>
      <c r="AG30" s="10" t="s">
        <v>4187</v>
      </c>
      <c r="AH30" s="11" t="s">
        <v>59</v>
      </c>
      <c r="AI30" s="50"/>
      <c r="AJ30" s="9">
        <v>29</v>
      </c>
      <c r="AK30" s="26">
        <v>112429</v>
      </c>
      <c r="AL30" s="10" t="s">
        <v>4188</v>
      </c>
      <c r="AM30" s="11" t="s">
        <v>59</v>
      </c>
      <c r="AN30" s="135"/>
      <c r="AO30" s="9">
        <v>29</v>
      </c>
      <c r="AP30" s="26">
        <v>113129</v>
      </c>
      <c r="AQ30" s="10" t="s">
        <v>4189</v>
      </c>
      <c r="AR30" s="11" t="s">
        <v>59</v>
      </c>
      <c r="AS30" s="50"/>
      <c r="AT30" s="203">
        <v>29</v>
      </c>
      <c r="AU30" s="204">
        <v>113229</v>
      </c>
      <c r="AV30" s="205" t="s">
        <v>4190</v>
      </c>
      <c r="AW30" s="206" t="s">
        <v>59</v>
      </c>
      <c r="AX30" s="202" t="s">
        <v>4426</v>
      </c>
      <c r="AY30" s="9">
        <v>29</v>
      </c>
      <c r="AZ30" s="26">
        <v>113329</v>
      </c>
      <c r="BA30" s="10" t="s">
        <v>4191</v>
      </c>
      <c r="BB30" s="11" t="s">
        <v>59</v>
      </c>
      <c r="BC30" s="50"/>
      <c r="BD30" s="9">
        <v>29</v>
      </c>
      <c r="BE30" s="26">
        <v>114129</v>
      </c>
      <c r="BF30" s="10" t="s">
        <v>4192</v>
      </c>
      <c r="BG30" s="11" t="s">
        <v>59</v>
      </c>
      <c r="BH30" s="50"/>
      <c r="BI30" s="9">
        <v>29</v>
      </c>
      <c r="BJ30" s="26">
        <v>114229</v>
      </c>
      <c r="BK30" s="10" t="s">
        <v>4193</v>
      </c>
      <c r="BL30" s="11" t="s">
        <v>59</v>
      </c>
      <c r="BM30" s="50"/>
      <c r="BN30" s="9">
        <v>29</v>
      </c>
      <c r="BO30" s="26">
        <v>115129</v>
      </c>
      <c r="BP30" s="10" t="s">
        <v>4177</v>
      </c>
      <c r="BQ30" s="11" t="s">
        <v>59</v>
      </c>
      <c r="BR30" s="138"/>
      <c r="BS30" s="9">
        <v>29</v>
      </c>
      <c r="BT30" s="26">
        <v>115229</v>
      </c>
      <c r="BU30" s="10" t="s">
        <v>4195</v>
      </c>
      <c r="BV30" s="11" t="s">
        <v>59</v>
      </c>
      <c r="BW30" s="138"/>
      <c r="BX30" s="9">
        <v>29</v>
      </c>
      <c r="BY30" s="26">
        <v>118129</v>
      </c>
      <c r="BZ30" s="10" t="s">
        <v>4180</v>
      </c>
      <c r="CA30" s="11" t="s">
        <v>60</v>
      </c>
      <c r="CB30" s="138"/>
      <c r="CC30" s="9">
        <v>29</v>
      </c>
      <c r="CD30" s="26">
        <v>118229</v>
      </c>
      <c r="CE30" s="10" t="s">
        <v>4231</v>
      </c>
      <c r="CF30" s="11" t="s">
        <v>60</v>
      </c>
      <c r="CG30" s="135"/>
      <c r="CH30" s="9"/>
      <c r="CI30" s="26"/>
      <c r="CJ30" s="10"/>
      <c r="CK30" s="11"/>
      <c r="CL30" s="7"/>
      <c r="CM30" s="9"/>
      <c r="CN30" s="26"/>
      <c r="CO30" s="10"/>
      <c r="CP30" s="11"/>
      <c r="CQ30" s="136"/>
    </row>
    <row r="31" spans="1:95" s="8" customFormat="1" ht="15" customHeight="1" thickBot="1">
      <c r="A31" s="12">
        <v>30</v>
      </c>
      <c r="B31" s="27">
        <v>111130</v>
      </c>
      <c r="C31" s="13" t="s">
        <v>4198</v>
      </c>
      <c r="D31" s="18" t="s">
        <v>59</v>
      </c>
      <c r="E31" s="138"/>
      <c r="F31" s="12">
        <v>30</v>
      </c>
      <c r="G31" s="27">
        <v>111230</v>
      </c>
      <c r="H31" s="13" t="s">
        <v>4216</v>
      </c>
      <c r="I31" s="18" t="s">
        <v>59</v>
      </c>
      <c r="J31" s="138"/>
      <c r="K31" s="12">
        <v>30</v>
      </c>
      <c r="L31" s="27">
        <v>111330</v>
      </c>
      <c r="M31" s="13" t="s">
        <v>4200</v>
      </c>
      <c r="N31" s="18" t="s">
        <v>59</v>
      </c>
      <c r="O31" s="138"/>
      <c r="P31" s="12">
        <v>30</v>
      </c>
      <c r="Q31" s="27">
        <v>111430</v>
      </c>
      <c r="R31" s="13" t="s">
        <v>4184</v>
      </c>
      <c r="S31" s="18" t="s">
        <v>59</v>
      </c>
      <c r="T31" s="138"/>
      <c r="U31" s="12">
        <v>30</v>
      </c>
      <c r="V31" s="27">
        <v>112130</v>
      </c>
      <c r="W31" s="13" t="s">
        <v>4202</v>
      </c>
      <c r="X31" s="18" t="s">
        <v>59</v>
      </c>
      <c r="Y31" s="138"/>
      <c r="Z31" s="12">
        <v>30</v>
      </c>
      <c r="AA31" s="27">
        <v>112230</v>
      </c>
      <c r="AB31" s="13" t="s">
        <v>4203</v>
      </c>
      <c r="AC31" s="18" t="s">
        <v>59</v>
      </c>
      <c r="AD31" s="138"/>
      <c r="AE31" s="16">
        <v>30</v>
      </c>
      <c r="AF31" s="28">
        <v>112330</v>
      </c>
      <c r="AG31" s="17" t="s">
        <v>4204</v>
      </c>
      <c r="AH31" s="18" t="s">
        <v>59</v>
      </c>
      <c r="AI31" s="135"/>
      <c r="AJ31" s="12">
        <v>30</v>
      </c>
      <c r="AK31" s="27">
        <v>112430</v>
      </c>
      <c r="AL31" s="13" t="s">
        <v>4205</v>
      </c>
      <c r="AM31" s="18" t="s">
        <v>59</v>
      </c>
      <c r="AN31" s="135"/>
      <c r="AO31" s="12">
        <v>30</v>
      </c>
      <c r="AP31" s="27">
        <v>113130</v>
      </c>
      <c r="AQ31" s="13" t="s">
        <v>4206</v>
      </c>
      <c r="AR31" s="18" t="s">
        <v>59</v>
      </c>
      <c r="AS31" s="57"/>
      <c r="AT31" s="12">
        <v>30</v>
      </c>
      <c r="AU31" s="27">
        <v>113230</v>
      </c>
      <c r="AV31" s="13" t="s">
        <v>4207</v>
      </c>
      <c r="AW31" s="18" t="s">
        <v>59</v>
      </c>
      <c r="AX31" s="135"/>
      <c r="AY31" s="12">
        <v>30</v>
      </c>
      <c r="AZ31" s="27">
        <v>113330</v>
      </c>
      <c r="BA31" s="13" t="s">
        <v>4208</v>
      </c>
      <c r="BB31" s="18" t="s">
        <v>59</v>
      </c>
      <c r="BC31" s="50"/>
      <c r="BD31" s="12">
        <v>30</v>
      </c>
      <c r="BE31" s="27">
        <v>114130</v>
      </c>
      <c r="BF31" s="13" t="s">
        <v>4209</v>
      </c>
      <c r="BG31" s="18" t="s">
        <v>59</v>
      </c>
      <c r="BH31" s="50"/>
      <c r="BI31" s="12">
        <v>30</v>
      </c>
      <c r="BJ31" s="27">
        <v>114230</v>
      </c>
      <c r="BK31" s="13" t="s">
        <v>4210</v>
      </c>
      <c r="BL31" s="18" t="s">
        <v>59</v>
      </c>
      <c r="BM31" s="50"/>
      <c r="BN31" s="12">
        <v>30</v>
      </c>
      <c r="BO31" s="27">
        <v>115130</v>
      </c>
      <c r="BP31" s="13" t="s">
        <v>4194</v>
      </c>
      <c r="BQ31" s="18" t="s">
        <v>60</v>
      </c>
      <c r="BR31" s="135"/>
      <c r="BS31" s="12">
        <v>30</v>
      </c>
      <c r="BT31" s="27">
        <v>115230</v>
      </c>
      <c r="BU31" s="13" t="s">
        <v>4212</v>
      </c>
      <c r="BV31" s="18" t="s">
        <v>59</v>
      </c>
      <c r="BW31" s="138"/>
      <c r="BX31" s="12">
        <v>30</v>
      </c>
      <c r="BY31" s="27">
        <v>118130</v>
      </c>
      <c r="BZ31" s="13" t="s">
        <v>4179</v>
      </c>
      <c r="CA31" s="18" t="s">
        <v>60</v>
      </c>
      <c r="CB31" s="138"/>
      <c r="CC31" s="12">
        <v>30</v>
      </c>
      <c r="CD31" s="27">
        <v>118230</v>
      </c>
      <c r="CE31" s="13" t="s">
        <v>4247</v>
      </c>
      <c r="CF31" s="18" t="s">
        <v>60</v>
      </c>
      <c r="CG31" s="135"/>
      <c r="CH31" s="12"/>
      <c r="CI31" s="27"/>
      <c r="CJ31" s="13"/>
      <c r="CK31" s="18"/>
      <c r="CL31" s="7"/>
      <c r="CM31" s="12"/>
      <c r="CN31" s="27"/>
      <c r="CO31" s="13"/>
      <c r="CP31" s="18"/>
      <c r="CQ31" s="136"/>
    </row>
    <row r="32" spans="1:95" s="8" customFormat="1" ht="15" customHeight="1" thickTop="1">
      <c r="A32" s="4">
        <v>31</v>
      </c>
      <c r="B32" s="29">
        <v>111131</v>
      </c>
      <c r="C32" s="5" t="s">
        <v>4215</v>
      </c>
      <c r="D32" s="6" t="s">
        <v>60</v>
      </c>
      <c r="E32" s="138"/>
      <c r="F32" s="4">
        <v>31</v>
      </c>
      <c r="G32" s="29">
        <v>111231</v>
      </c>
      <c r="H32" s="5" t="s">
        <v>4233</v>
      </c>
      <c r="I32" s="6" t="s">
        <v>60</v>
      </c>
      <c r="J32" s="138"/>
      <c r="K32" s="4">
        <v>31</v>
      </c>
      <c r="L32" s="29">
        <v>111331</v>
      </c>
      <c r="M32" s="5" t="s">
        <v>4217</v>
      </c>
      <c r="N32" s="6" t="s">
        <v>59</v>
      </c>
      <c r="O32" s="138"/>
      <c r="P32" s="4">
        <v>31</v>
      </c>
      <c r="Q32" s="29">
        <v>111431</v>
      </c>
      <c r="R32" s="5" t="s">
        <v>4201</v>
      </c>
      <c r="S32" s="6" t="s">
        <v>59</v>
      </c>
      <c r="T32" s="138"/>
      <c r="U32" s="4">
        <v>31</v>
      </c>
      <c r="V32" s="29">
        <v>112131</v>
      </c>
      <c r="W32" s="5" t="s">
        <v>4219</v>
      </c>
      <c r="X32" s="6" t="s">
        <v>59</v>
      </c>
      <c r="Y32" s="138"/>
      <c r="Z32" s="4">
        <v>31</v>
      </c>
      <c r="AA32" s="29">
        <v>112231</v>
      </c>
      <c r="AB32" s="5" t="s">
        <v>4220</v>
      </c>
      <c r="AC32" s="6" t="s">
        <v>59</v>
      </c>
      <c r="AD32" s="138"/>
      <c r="AE32" s="4">
        <v>31</v>
      </c>
      <c r="AF32" s="25">
        <v>112331</v>
      </c>
      <c r="AG32" s="5" t="s">
        <v>4221</v>
      </c>
      <c r="AH32" s="6" t="s">
        <v>59</v>
      </c>
      <c r="AI32" s="135"/>
      <c r="AJ32" s="4">
        <v>31</v>
      </c>
      <c r="AK32" s="29">
        <v>112431</v>
      </c>
      <c r="AL32" s="5" t="s">
        <v>4222</v>
      </c>
      <c r="AM32" s="6" t="s">
        <v>59</v>
      </c>
      <c r="AN32" s="135"/>
      <c r="AO32" s="4">
        <v>31</v>
      </c>
      <c r="AP32" s="29">
        <v>113131</v>
      </c>
      <c r="AQ32" s="5" t="s">
        <v>4223</v>
      </c>
      <c r="AR32" s="6" t="s">
        <v>59</v>
      </c>
      <c r="AS32" s="135"/>
      <c r="AT32" s="4">
        <v>31</v>
      </c>
      <c r="AU32" s="29">
        <v>113231</v>
      </c>
      <c r="AV32" s="5" t="s">
        <v>4224</v>
      </c>
      <c r="AW32" s="6" t="s">
        <v>59</v>
      </c>
      <c r="AX32" s="135"/>
      <c r="AY32" s="4">
        <v>31</v>
      </c>
      <c r="AZ32" s="29">
        <v>113331</v>
      </c>
      <c r="BA32" s="5" t="s">
        <v>4225</v>
      </c>
      <c r="BB32" s="6" t="s">
        <v>59</v>
      </c>
      <c r="BC32" s="50"/>
      <c r="BD32" s="4">
        <v>31</v>
      </c>
      <c r="BE32" s="29">
        <v>114131</v>
      </c>
      <c r="BF32" s="5" t="s">
        <v>4227</v>
      </c>
      <c r="BG32" s="6" t="s">
        <v>59</v>
      </c>
      <c r="BH32" s="50"/>
      <c r="BI32" s="4">
        <v>31</v>
      </c>
      <c r="BJ32" s="29">
        <v>114231</v>
      </c>
      <c r="BK32" s="5" t="s">
        <v>4244</v>
      </c>
      <c r="BL32" s="6" t="s">
        <v>59</v>
      </c>
      <c r="BM32" s="50"/>
      <c r="BN32" s="4">
        <v>31</v>
      </c>
      <c r="BO32" s="29">
        <v>115131</v>
      </c>
      <c r="BP32" s="5" t="s">
        <v>4211</v>
      </c>
      <c r="BQ32" s="6" t="s">
        <v>59</v>
      </c>
      <c r="BR32" s="57"/>
      <c r="BS32" s="4">
        <v>31</v>
      </c>
      <c r="BT32" s="29">
        <v>115231</v>
      </c>
      <c r="BU32" s="5" t="s">
        <v>4229</v>
      </c>
      <c r="BV32" s="6" t="s">
        <v>59</v>
      </c>
      <c r="BW32" s="57"/>
      <c r="BX32" s="4">
        <v>31</v>
      </c>
      <c r="BY32" s="29">
        <v>118131</v>
      </c>
      <c r="BZ32" s="5" t="s">
        <v>4196</v>
      </c>
      <c r="CA32" s="6" t="s">
        <v>60</v>
      </c>
      <c r="CB32" s="50"/>
      <c r="CC32" s="4">
        <v>31</v>
      </c>
      <c r="CD32" s="29">
        <v>118231</v>
      </c>
      <c r="CE32" s="5" t="s">
        <v>4262</v>
      </c>
      <c r="CF32" s="6" t="s">
        <v>60</v>
      </c>
      <c r="CG32" s="57"/>
      <c r="CH32" s="4"/>
      <c r="CI32" s="29"/>
      <c r="CJ32" s="5"/>
      <c r="CK32" s="6"/>
      <c r="CL32" s="7"/>
      <c r="CM32" s="4"/>
      <c r="CN32" s="29"/>
      <c r="CO32" s="5"/>
      <c r="CP32" s="6"/>
      <c r="CQ32" s="136"/>
    </row>
    <row r="33" spans="1:95" s="8" customFormat="1" ht="15" customHeight="1">
      <c r="A33" s="9">
        <v>32</v>
      </c>
      <c r="B33" s="21">
        <v>111132</v>
      </c>
      <c r="C33" s="10" t="s">
        <v>4232</v>
      </c>
      <c r="D33" s="11" t="s">
        <v>59</v>
      </c>
      <c r="E33" s="138"/>
      <c r="F33" s="9">
        <v>32</v>
      </c>
      <c r="G33" s="21">
        <v>111232</v>
      </c>
      <c r="H33" s="10" t="s">
        <v>4250</v>
      </c>
      <c r="I33" s="11" t="s">
        <v>59</v>
      </c>
      <c r="J33" s="138"/>
      <c r="K33" s="9">
        <v>32</v>
      </c>
      <c r="L33" s="21">
        <v>111332</v>
      </c>
      <c r="M33" s="10" t="s">
        <v>4234</v>
      </c>
      <c r="N33" s="11" t="s">
        <v>59</v>
      </c>
      <c r="O33" s="138"/>
      <c r="P33" s="9">
        <v>32</v>
      </c>
      <c r="Q33" s="21">
        <v>111432</v>
      </c>
      <c r="R33" s="10" t="s">
        <v>4218</v>
      </c>
      <c r="S33" s="11" t="s">
        <v>59</v>
      </c>
      <c r="T33" s="138"/>
      <c r="U33" s="9">
        <v>32</v>
      </c>
      <c r="V33" s="21">
        <v>112132</v>
      </c>
      <c r="W33" s="10" t="s">
        <v>4236</v>
      </c>
      <c r="X33" s="11" t="s">
        <v>60</v>
      </c>
      <c r="Y33" s="138"/>
      <c r="Z33" s="9">
        <v>32</v>
      </c>
      <c r="AA33" s="21">
        <v>112232</v>
      </c>
      <c r="AB33" s="10" t="s">
        <v>4237</v>
      </c>
      <c r="AC33" s="11" t="s">
        <v>59</v>
      </c>
      <c r="AD33" s="50"/>
      <c r="AE33" s="9">
        <v>32</v>
      </c>
      <c r="AF33" s="21">
        <v>112332</v>
      </c>
      <c r="AG33" s="10" t="s">
        <v>4238</v>
      </c>
      <c r="AH33" s="11" t="s">
        <v>59</v>
      </c>
      <c r="AI33" s="135"/>
      <c r="AJ33" s="9">
        <v>32</v>
      </c>
      <c r="AK33" s="21">
        <v>112432</v>
      </c>
      <c r="AL33" s="10" t="s">
        <v>4239</v>
      </c>
      <c r="AM33" s="11" t="s">
        <v>59</v>
      </c>
      <c r="AN33" s="135"/>
      <c r="AO33" s="9">
        <v>32</v>
      </c>
      <c r="AP33" s="21">
        <v>113132</v>
      </c>
      <c r="AQ33" s="10" t="s">
        <v>4240</v>
      </c>
      <c r="AR33" s="11" t="s">
        <v>60</v>
      </c>
      <c r="AS33" s="135"/>
      <c r="AT33" s="9">
        <v>32</v>
      </c>
      <c r="AU33" s="21">
        <v>113232</v>
      </c>
      <c r="AV33" s="10" t="s">
        <v>4241</v>
      </c>
      <c r="AW33" s="11" t="s">
        <v>59</v>
      </c>
      <c r="AX33" s="135"/>
      <c r="AY33" s="9">
        <v>32</v>
      </c>
      <c r="AZ33" s="21">
        <v>113332</v>
      </c>
      <c r="BA33" s="10" t="s">
        <v>4242</v>
      </c>
      <c r="BB33" s="11" t="s">
        <v>59</v>
      </c>
      <c r="BC33" s="57"/>
      <c r="BD33" s="9">
        <v>32</v>
      </c>
      <c r="BE33" s="21">
        <v>114132</v>
      </c>
      <c r="BF33" s="10" t="s">
        <v>4226</v>
      </c>
      <c r="BG33" s="11" t="s">
        <v>59</v>
      </c>
      <c r="BH33" s="50"/>
      <c r="BI33" s="9">
        <v>32</v>
      </c>
      <c r="BJ33" s="21">
        <v>114232</v>
      </c>
      <c r="BK33" s="10" t="s">
        <v>4316</v>
      </c>
      <c r="BL33" s="11" t="s">
        <v>60</v>
      </c>
      <c r="BM33" s="50"/>
      <c r="BN33" s="9">
        <v>32</v>
      </c>
      <c r="BO33" s="21">
        <v>115132</v>
      </c>
      <c r="BP33" s="10" t="s">
        <v>4228</v>
      </c>
      <c r="BQ33" s="11" t="s">
        <v>59</v>
      </c>
      <c r="BR33" s="57"/>
      <c r="BS33" s="9">
        <v>32</v>
      </c>
      <c r="BT33" s="21">
        <v>115232</v>
      </c>
      <c r="BU33" s="10" t="s">
        <v>4246</v>
      </c>
      <c r="BV33" s="11" t="s">
        <v>59</v>
      </c>
      <c r="BW33" s="50"/>
      <c r="BX33" s="9">
        <v>32</v>
      </c>
      <c r="BY33" s="21">
        <v>118132</v>
      </c>
      <c r="BZ33" s="10" t="s">
        <v>4230</v>
      </c>
      <c r="CA33" s="11" t="s">
        <v>60</v>
      </c>
      <c r="CB33" s="57"/>
      <c r="CC33" s="9">
        <v>32</v>
      </c>
      <c r="CD33" s="21">
        <v>118232</v>
      </c>
      <c r="CE33" s="10" t="s">
        <v>4248</v>
      </c>
      <c r="CF33" s="11" t="s">
        <v>60</v>
      </c>
      <c r="CG33" s="121"/>
      <c r="CH33" s="9"/>
      <c r="CI33" s="21"/>
      <c r="CJ33" s="10"/>
      <c r="CK33" s="11"/>
      <c r="CL33" s="7"/>
      <c r="CM33" s="9"/>
      <c r="CN33" s="21"/>
      <c r="CO33" s="10"/>
      <c r="CP33" s="11"/>
      <c r="CQ33" s="136"/>
    </row>
    <row r="34" spans="1:95" s="8" customFormat="1" ht="15" customHeight="1">
      <c r="A34" s="9">
        <v>33</v>
      </c>
      <c r="B34" s="26">
        <v>111133</v>
      </c>
      <c r="C34" s="10" t="s">
        <v>4249</v>
      </c>
      <c r="D34" s="11" t="s">
        <v>59</v>
      </c>
      <c r="E34" s="138"/>
      <c r="F34" s="9">
        <v>33</v>
      </c>
      <c r="G34" s="26">
        <v>111233</v>
      </c>
      <c r="H34" s="10" t="s">
        <v>4265</v>
      </c>
      <c r="I34" s="11" t="s">
        <v>59</v>
      </c>
      <c r="J34" s="138"/>
      <c r="K34" s="9">
        <v>33</v>
      </c>
      <c r="L34" s="26">
        <v>111333</v>
      </c>
      <c r="M34" s="10" t="s">
        <v>4251</v>
      </c>
      <c r="N34" s="11" t="s">
        <v>59</v>
      </c>
      <c r="O34" s="138"/>
      <c r="P34" s="9">
        <v>33</v>
      </c>
      <c r="Q34" s="26">
        <v>111433</v>
      </c>
      <c r="R34" s="10" t="s">
        <v>4235</v>
      </c>
      <c r="S34" s="11" t="s">
        <v>59</v>
      </c>
      <c r="T34" s="138"/>
      <c r="U34" s="9">
        <v>33</v>
      </c>
      <c r="V34" s="26">
        <v>112133</v>
      </c>
      <c r="W34" s="10" t="s">
        <v>3311</v>
      </c>
      <c r="X34" s="11" t="s">
        <v>59</v>
      </c>
      <c r="Y34" s="50"/>
      <c r="Z34" s="9">
        <v>33</v>
      </c>
      <c r="AA34" s="26">
        <v>112233</v>
      </c>
      <c r="AB34" s="10" t="s">
        <v>4253</v>
      </c>
      <c r="AC34" s="11" t="s">
        <v>59</v>
      </c>
      <c r="AD34" s="138"/>
      <c r="AE34" s="9">
        <v>33</v>
      </c>
      <c r="AF34" s="21">
        <v>112333</v>
      </c>
      <c r="AG34" s="10" t="s">
        <v>4254</v>
      </c>
      <c r="AH34" s="11" t="s">
        <v>59</v>
      </c>
      <c r="AI34" s="50"/>
      <c r="AJ34" s="9">
        <v>33</v>
      </c>
      <c r="AK34" s="26">
        <v>112433</v>
      </c>
      <c r="AL34" s="10" t="s">
        <v>4255</v>
      </c>
      <c r="AM34" s="11" t="s">
        <v>59</v>
      </c>
      <c r="AN34" s="135"/>
      <c r="AO34" s="9">
        <v>33</v>
      </c>
      <c r="AP34" s="26">
        <v>113133</v>
      </c>
      <c r="AQ34" s="10" t="s">
        <v>4256</v>
      </c>
      <c r="AR34" s="11" t="s">
        <v>59</v>
      </c>
      <c r="AS34" s="135"/>
      <c r="AT34" s="9">
        <v>33</v>
      </c>
      <c r="AU34" s="26">
        <v>113233</v>
      </c>
      <c r="AV34" s="10" t="s">
        <v>4257</v>
      </c>
      <c r="AW34" s="11" t="s">
        <v>59</v>
      </c>
      <c r="AX34" s="135"/>
      <c r="AY34" s="9">
        <v>33</v>
      </c>
      <c r="AZ34" s="26">
        <v>113333</v>
      </c>
      <c r="BA34" s="10" t="s">
        <v>4258</v>
      </c>
      <c r="BB34" s="11" t="s">
        <v>59</v>
      </c>
      <c r="BC34" s="50"/>
      <c r="BD34" s="9">
        <v>33</v>
      </c>
      <c r="BE34" s="26">
        <v>114133</v>
      </c>
      <c r="BF34" s="10" t="s">
        <v>4243</v>
      </c>
      <c r="BG34" s="11" t="s">
        <v>59</v>
      </c>
      <c r="BH34" s="50"/>
      <c r="BI34" s="9">
        <v>33</v>
      </c>
      <c r="BJ34" s="26">
        <v>114233</v>
      </c>
      <c r="BK34" s="10" t="s">
        <v>4276</v>
      </c>
      <c r="BL34" s="11" t="s">
        <v>59</v>
      </c>
      <c r="BM34" s="50"/>
      <c r="BN34" s="9">
        <v>33</v>
      </c>
      <c r="BO34" s="26">
        <v>115133</v>
      </c>
      <c r="BP34" s="10" t="s">
        <v>4245</v>
      </c>
      <c r="BQ34" s="11" t="s">
        <v>59</v>
      </c>
      <c r="BR34" s="57"/>
      <c r="BS34" s="9">
        <v>33</v>
      </c>
      <c r="BT34" s="26">
        <v>115233</v>
      </c>
      <c r="BU34" s="10" t="s">
        <v>4261</v>
      </c>
      <c r="BV34" s="11" t="s">
        <v>59</v>
      </c>
      <c r="BW34" s="57"/>
      <c r="BX34" s="9">
        <v>33</v>
      </c>
      <c r="BY34" s="26">
        <v>118133</v>
      </c>
      <c r="BZ34" s="10" t="s">
        <v>4263</v>
      </c>
      <c r="CA34" s="11" t="s">
        <v>59</v>
      </c>
      <c r="CB34" s="50"/>
      <c r="CC34" s="9"/>
      <c r="CD34" s="26"/>
      <c r="CE34" s="10"/>
      <c r="CF34" s="11"/>
      <c r="CG34" s="120"/>
      <c r="CH34" s="9"/>
      <c r="CI34" s="26"/>
      <c r="CJ34" s="10"/>
      <c r="CK34" s="11"/>
      <c r="CL34" s="7"/>
      <c r="CM34" s="9"/>
      <c r="CN34" s="26"/>
      <c r="CO34" s="10"/>
      <c r="CP34" s="11"/>
      <c r="CQ34" s="136"/>
    </row>
    <row r="35" spans="1:95" s="8" customFormat="1" ht="15" customHeight="1">
      <c r="A35" s="9">
        <v>34</v>
      </c>
      <c r="B35" s="26">
        <v>111134</v>
      </c>
      <c r="C35" s="10" t="s">
        <v>4264</v>
      </c>
      <c r="D35" s="11" t="s">
        <v>59</v>
      </c>
      <c r="E35" s="138"/>
      <c r="F35" s="9">
        <v>34</v>
      </c>
      <c r="G35" s="26">
        <v>111234</v>
      </c>
      <c r="H35" s="10" t="s">
        <v>4279</v>
      </c>
      <c r="I35" s="11" t="s">
        <v>59</v>
      </c>
      <c r="J35" s="138"/>
      <c r="K35" s="9">
        <v>34</v>
      </c>
      <c r="L35" s="26">
        <v>111334</v>
      </c>
      <c r="M35" s="10" t="s">
        <v>4266</v>
      </c>
      <c r="N35" s="11" t="s">
        <v>59</v>
      </c>
      <c r="O35" s="138"/>
      <c r="P35" s="9">
        <v>34</v>
      </c>
      <c r="Q35" s="26">
        <v>111434</v>
      </c>
      <c r="R35" s="10" t="s">
        <v>4252</v>
      </c>
      <c r="S35" s="11" t="s">
        <v>59</v>
      </c>
      <c r="T35" s="138"/>
      <c r="U35" s="9">
        <v>34</v>
      </c>
      <c r="V35" s="26">
        <v>112134</v>
      </c>
      <c r="W35" s="10" t="s">
        <v>4268</v>
      </c>
      <c r="X35" s="11" t="s">
        <v>59</v>
      </c>
      <c r="Y35" s="138"/>
      <c r="Z35" s="9">
        <v>34</v>
      </c>
      <c r="AA35" s="26">
        <v>112234</v>
      </c>
      <c r="AB35" s="10" t="s">
        <v>4269</v>
      </c>
      <c r="AC35" s="11" t="s">
        <v>59</v>
      </c>
      <c r="AD35" s="138"/>
      <c r="AE35" s="9">
        <v>34</v>
      </c>
      <c r="AF35" s="26">
        <v>112334</v>
      </c>
      <c r="AG35" s="10" t="s">
        <v>4270</v>
      </c>
      <c r="AH35" s="11" t="s">
        <v>59</v>
      </c>
      <c r="AI35" s="50"/>
      <c r="AJ35" s="9">
        <v>34</v>
      </c>
      <c r="AK35" s="26">
        <v>112434</v>
      </c>
      <c r="AL35" s="10" t="s">
        <v>4271</v>
      </c>
      <c r="AM35" s="11" t="s">
        <v>59</v>
      </c>
      <c r="AN35" s="135"/>
      <c r="AO35" s="9">
        <v>34</v>
      </c>
      <c r="AP35" s="26">
        <v>113134</v>
      </c>
      <c r="AQ35" s="10" t="s">
        <v>4272</v>
      </c>
      <c r="AR35" s="11" t="s">
        <v>59</v>
      </c>
      <c r="AS35" s="135"/>
      <c r="AT35" s="9">
        <v>34</v>
      </c>
      <c r="AU35" s="26">
        <v>113234</v>
      </c>
      <c r="AV35" s="10" t="s">
        <v>4273</v>
      </c>
      <c r="AW35" s="11" t="s">
        <v>59</v>
      </c>
      <c r="AX35" s="135"/>
      <c r="AY35" s="9">
        <v>34</v>
      </c>
      <c r="AZ35" s="26">
        <v>113334</v>
      </c>
      <c r="BA35" s="10" t="s">
        <v>4274</v>
      </c>
      <c r="BB35" s="11" t="s">
        <v>59</v>
      </c>
      <c r="BC35" s="50"/>
      <c r="BD35" s="9">
        <v>34</v>
      </c>
      <c r="BE35" s="26">
        <v>114134</v>
      </c>
      <c r="BF35" s="10" t="s">
        <v>4259</v>
      </c>
      <c r="BG35" s="11" t="s">
        <v>60</v>
      </c>
      <c r="BH35" s="50"/>
      <c r="BI35" s="9">
        <v>34</v>
      </c>
      <c r="BJ35" s="26">
        <v>114234</v>
      </c>
      <c r="BK35" s="10" t="s">
        <v>2468</v>
      </c>
      <c r="BL35" s="11" t="s">
        <v>59</v>
      </c>
      <c r="BM35" s="50"/>
      <c r="BN35" s="9">
        <v>34</v>
      </c>
      <c r="BO35" s="26">
        <v>115134</v>
      </c>
      <c r="BP35" s="10" t="s">
        <v>4260</v>
      </c>
      <c r="BQ35" s="11" t="s">
        <v>59</v>
      </c>
      <c r="BR35" s="50"/>
      <c r="BS35" s="9">
        <v>34</v>
      </c>
      <c r="BT35" s="26">
        <v>115234</v>
      </c>
      <c r="BU35" s="10" t="s">
        <v>4398</v>
      </c>
      <c r="BV35" s="11" t="s">
        <v>59</v>
      </c>
      <c r="BW35" s="57"/>
      <c r="BX35" s="9"/>
      <c r="BY35" s="26"/>
      <c r="BZ35" s="10"/>
      <c r="CA35" s="11"/>
      <c r="CB35" s="57"/>
      <c r="CC35" s="9"/>
      <c r="CD35" s="26"/>
      <c r="CE35" s="10"/>
      <c r="CF35" s="11"/>
      <c r="CG35" s="57"/>
      <c r="CH35" s="9"/>
      <c r="CI35" s="26"/>
      <c r="CJ35" s="10"/>
      <c r="CK35" s="11"/>
      <c r="CL35" s="7"/>
      <c r="CM35" s="9"/>
      <c r="CN35" s="26"/>
      <c r="CO35" s="10"/>
      <c r="CP35" s="11"/>
      <c r="CQ35" s="136"/>
    </row>
    <row r="36" spans="1:95" s="8" customFormat="1" ht="15" customHeight="1" thickBot="1">
      <c r="A36" s="16">
        <v>35</v>
      </c>
      <c r="B36" s="28">
        <v>111135</v>
      </c>
      <c r="C36" s="17" t="s">
        <v>4278</v>
      </c>
      <c r="D36" s="18" t="s">
        <v>59</v>
      </c>
      <c r="E36" s="138"/>
      <c r="F36" s="16">
        <v>35</v>
      </c>
      <c r="G36" s="28">
        <v>111235</v>
      </c>
      <c r="H36" s="17" t="s">
        <v>4293</v>
      </c>
      <c r="I36" s="18" t="s">
        <v>59</v>
      </c>
      <c r="J36" s="138"/>
      <c r="K36" s="16">
        <v>35</v>
      </c>
      <c r="L36" s="28">
        <v>111335</v>
      </c>
      <c r="M36" s="17" t="s">
        <v>4280</v>
      </c>
      <c r="N36" s="18" t="s">
        <v>59</v>
      </c>
      <c r="O36" s="138"/>
      <c r="P36" s="16">
        <v>35</v>
      </c>
      <c r="Q36" s="28">
        <v>111435</v>
      </c>
      <c r="R36" s="17" t="s">
        <v>4267</v>
      </c>
      <c r="S36" s="18" t="s">
        <v>59</v>
      </c>
      <c r="T36" s="138"/>
      <c r="U36" s="16">
        <v>35</v>
      </c>
      <c r="V36" s="28">
        <v>112135</v>
      </c>
      <c r="W36" s="17" t="s">
        <v>4282</v>
      </c>
      <c r="X36" s="18" t="s">
        <v>59</v>
      </c>
      <c r="Y36" s="135"/>
      <c r="Z36" s="16">
        <v>35</v>
      </c>
      <c r="AA36" s="28">
        <v>112235</v>
      </c>
      <c r="AB36" s="17" t="s">
        <v>4283</v>
      </c>
      <c r="AC36" s="18" t="s">
        <v>59</v>
      </c>
      <c r="AD36" s="138"/>
      <c r="AE36" s="12">
        <v>35</v>
      </c>
      <c r="AF36" s="27">
        <v>112335</v>
      </c>
      <c r="AG36" s="13" t="s">
        <v>4284</v>
      </c>
      <c r="AH36" s="14" t="s">
        <v>59</v>
      </c>
      <c r="AI36" s="135"/>
      <c r="AJ36" s="16">
        <v>35</v>
      </c>
      <c r="AK36" s="28">
        <v>112435</v>
      </c>
      <c r="AL36" s="17" t="s">
        <v>4285</v>
      </c>
      <c r="AM36" s="18" t="s">
        <v>59</v>
      </c>
      <c r="AN36" s="135"/>
      <c r="AO36" s="16">
        <v>35</v>
      </c>
      <c r="AP36" s="28">
        <v>113135</v>
      </c>
      <c r="AQ36" s="17" t="s">
        <v>4286</v>
      </c>
      <c r="AR36" s="18" t="s">
        <v>59</v>
      </c>
      <c r="AS36" s="50"/>
      <c r="AT36" s="16">
        <v>35</v>
      </c>
      <c r="AU36" s="28">
        <v>113235</v>
      </c>
      <c r="AV36" s="17" t="s">
        <v>4287</v>
      </c>
      <c r="AW36" s="18" t="s">
        <v>59</v>
      </c>
      <c r="AX36" s="135"/>
      <c r="AY36" s="16">
        <v>35</v>
      </c>
      <c r="AZ36" s="28">
        <v>113335</v>
      </c>
      <c r="BA36" s="17" t="s">
        <v>4288</v>
      </c>
      <c r="BB36" s="18" t="s">
        <v>60</v>
      </c>
      <c r="BC36" s="50"/>
      <c r="BD36" s="16">
        <v>35</v>
      </c>
      <c r="BE36" s="28">
        <v>114135</v>
      </c>
      <c r="BF36" s="17" t="s">
        <v>4275</v>
      </c>
      <c r="BG36" s="18" t="s">
        <v>59</v>
      </c>
      <c r="BH36" s="50"/>
      <c r="BI36" s="16">
        <v>35</v>
      </c>
      <c r="BJ36" s="28">
        <v>114235</v>
      </c>
      <c r="BK36" s="17" t="s">
        <v>4304</v>
      </c>
      <c r="BL36" s="18" t="s">
        <v>59</v>
      </c>
      <c r="BM36" s="50"/>
      <c r="BN36" s="16">
        <v>35</v>
      </c>
      <c r="BO36" s="28">
        <v>115135</v>
      </c>
      <c r="BP36" s="17" t="s">
        <v>4290</v>
      </c>
      <c r="BQ36" s="18" t="s">
        <v>59</v>
      </c>
      <c r="BR36" s="57"/>
      <c r="BS36" s="16">
        <v>35</v>
      </c>
      <c r="BT36" s="28">
        <v>115235</v>
      </c>
      <c r="BU36" s="17" t="s">
        <v>4291</v>
      </c>
      <c r="BV36" s="18" t="s">
        <v>59</v>
      </c>
      <c r="BW36" s="57"/>
      <c r="BX36" s="16"/>
      <c r="BY36" s="28"/>
      <c r="BZ36" s="17"/>
      <c r="CA36" s="18"/>
      <c r="CB36" s="50"/>
      <c r="CC36" s="16"/>
      <c r="CD36" s="28"/>
      <c r="CE36" s="17"/>
      <c r="CF36" s="18"/>
      <c r="CG36" s="121"/>
      <c r="CH36" s="16"/>
      <c r="CI36" s="28"/>
      <c r="CJ36" s="17"/>
      <c r="CK36" s="18"/>
      <c r="CL36" s="7"/>
      <c r="CM36" s="16"/>
      <c r="CN36" s="28"/>
      <c r="CO36" s="17"/>
      <c r="CP36" s="18"/>
      <c r="CQ36" s="136"/>
    </row>
    <row r="37" spans="1:95" s="8" customFormat="1" ht="15" customHeight="1" thickTop="1">
      <c r="A37" s="4">
        <v>36</v>
      </c>
      <c r="B37" s="25">
        <v>111136</v>
      </c>
      <c r="C37" s="5" t="s">
        <v>4292</v>
      </c>
      <c r="D37" s="6" t="s">
        <v>60</v>
      </c>
      <c r="E37" s="138"/>
      <c r="F37" s="4">
        <v>36</v>
      </c>
      <c r="G37" s="25">
        <v>111236</v>
      </c>
      <c r="H37" s="5" t="s">
        <v>4308</v>
      </c>
      <c r="I37" s="6" t="s">
        <v>59</v>
      </c>
      <c r="J37" s="138"/>
      <c r="K37" s="4">
        <v>36</v>
      </c>
      <c r="L37" s="25">
        <v>111336</v>
      </c>
      <c r="M37" s="5" t="s">
        <v>4294</v>
      </c>
      <c r="N37" s="6" t="s">
        <v>59</v>
      </c>
      <c r="O37" s="138"/>
      <c r="P37" s="373">
        <v>36</v>
      </c>
      <c r="Q37" s="374">
        <v>111436</v>
      </c>
      <c r="R37" s="375" t="s">
        <v>4281</v>
      </c>
      <c r="S37" s="376" t="s">
        <v>59</v>
      </c>
      <c r="T37" s="263" t="s">
        <v>131</v>
      </c>
      <c r="U37" s="4">
        <v>36</v>
      </c>
      <c r="V37" s="25">
        <v>112136</v>
      </c>
      <c r="W37" s="5" t="s">
        <v>4296</v>
      </c>
      <c r="X37" s="6" t="s">
        <v>59</v>
      </c>
      <c r="Y37" s="138"/>
      <c r="Z37" s="4">
        <v>36</v>
      </c>
      <c r="AA37" s="25">
        <v>112236</v>
      </c>
      <c r="AB37" s="5" t="s">
        <v>4297</v>
      </c>
      <c r="AC37" s="6" t="s">
        <v>59</v>
      </c>
      <c r="AD37" s="138"/>
      <c r="AE37" s="4">
        <v>36</v>
      </c>
      <c r="AF37" s="25">
        <v>112336</v>
      </c>
      <c r="AG37" s="5" t="s">
        <v>4298</v>
      </c>
      <c r="AH37" s="6" t="s">
        <v>59</v>
      </c>
      <c r="AI37" s="135"/>
      <c r="AJ37" s="4">
        <v>36</v>
      </c>
      <c r="AK37" s="25">
        <v>112436</v>
      </c>
      <c r="AL37" s="5" t="s">
        <v>4299</v>
      </c>
      <c r="AM37" s="6" t="s">
        <v>59</v>
      </c>
      <c r="AN37" s="50"/>
      <c r="AO37" s="4">
        <v>36</v>
      </c>
      <c r="AP37" s="25">
        <v>113136</v>
      </c>
      <c r="AQ37" s="5" t="s">
        <v>4300</v>
      </c>
      <c r="AR37" s="6" t="s">
        <v>59</v>
      </c>
      <c r="AS37" s="135"/>
      <c r="AT37" s="4">
        <v>36</v>
      </c>
      <c r="AU37" s="25">
        <v>113236</v>
      </c>
      <c r="AV37" s="5" t="s">
        <v>4301</v>
      </c>
      <c r="AW37" s="6" t="s">
        <v>59</v>
      </c>
      <c r="AX37" s="135"/>
      <c r="AY37" s="4">
        <v>36</v>
      </c>
      <c r="AZ37" s="25">
        <v>113336</v>
      </c>
      <c r="BA37" s="5" t="s">
        <v>4302</v>
      </c>
      <c r="BB37" s="6" t="s">
        <v>59</v>
      </c>
      <c r="BC37" s="50"/>
      <c r="BD37" s="4">
        <v>36</v>
      </c>
      <c r="BE37" s="25">
        <v>114136</v>
      </c>
      <c r="BF37" s="5" t="s">
        <v>4289</v>
      </c>
      <c r="BG37" s="6" t="s">
        <v>59</v>
      </c>
      <c r="BH37" s="50"/>
      <c r="BI37" s="4">
        <v>36</v>
      </c>
      <c r="BJ37" s="25">
        <v>114236</v>
      </c>
      <c r="BK37" s="5" t="s">
        <v>4317</v>
      </c>
      <c r="BL37" s="6" t="s">
        <v>59</v>
      </c>
      <c r="BM37" s="50"/>
      <c r="BN37" s="4">
        <v>36</v>
      </c>
      <c r="BO37" s="25">
        <v>115136</v>
      </c>
      <c r="BP37" s="5" t="s">
        <v>4305</v>
      </c>
      <c r="BQ37" s="6" t="s">
        <v>59</v>
      </c>
      <c r="BR37" s="57"/>
      <c r="BS37" s="4">
        <v>36</v>
      </c>
      <c r="BT37" s="25">
        <v>115236</v>
      </c>
      <c r="BU37" s="5" t="s">
        <v>4306</v>
      </c>
      <c r="BV37" s="6" t="s">
        <v>59</v>
      </c>
      <c r="BW37" s="50"/>
      <c r="BX37" s="4"/>
      <c r="BY37" s="25"/>
      <c r="BZ37" s="5"/>
      <c r="CA37" s="6"/>
      <c r="CB37" s="50"/>
      <c r="CC37" s="4"/>
      <c r="CD37" s="25"/>
      <c r="CE37" s="5"/>
      <c r="CF37" s="6"/>
      <c r="CG37" s="57"/>
      <c r="CH37" s="4"/>
      <c r="CI37" s="25"/>
      <c r="CJ37" s="5"/>
      <c r="CK37" s="6"/>
      <c r="CL37" s="7"/>
      <c r="CM37" s="4"/>
      <c r="CN37" s="25"/>
      <c r="CO37" s="5"/>
      <c r="CP37" s="6"/>
      <c r="CQ37" s="136"/>
    </row>
    <row r="38" spans="1:95" s="8" customFormat="1" ht="15" customHeight="1">
      <c r="A38" s="9">
        <v>37</v>
      </c>
      <c r="B38" s="21">
        <v>111137</v>
      </c>
      <c r="C38" s="10" t="s">
        <v>4307</v>
      </c>
      <c r="D38" s="11" t="s">
        <v>59</v>
      </c>
      <c r="E38" s="263"/>
      <c r="F38" s="9">
        <v>37</v>
      </c>
      <c r="G38" s="262" t="s">
        <v>3666</v>
      </c>
      <c r="H38" s="205" t="s">
        <v>3093</v>
      </c>
      <c r="I38" s="206" t="s">
        <v>59</v>
      </c>
      <c r="J38" s="263"/>
      <c r="K38" s="9">
        <v>37</v>
      </c>
      <c r="L38" s="262" t="s">
        <v>2165</v>
      </c>
      <c r="M38" s="205" t="s">
        <v>2166</v>
      </c>
      <c r="N38" s="206" t="s">
        <v>59</v>
      </c>
      <c r="O38" s="263"/>
      <c r="P38" s="9">
        <v>37</v>
      </c>
      <c r="Q38" s="21">
        <v>111437</v>
      </c>
      <c r="R38" s="10" t="s">
        <v>4295</v>
      </c>
      <c r="S38" s="11" t="s">
        <v>59</v>
      </c>
      <c r="T38" s="138"/>
      <c r="U38" s="9">
        <v>37</v>
      </c>
      <c r="V38" s="21">
        <v>112137</v>
      </c>
      <c r="W38" s="10" t="s">
        <v>4309</v>
      </c>
      <c r="X38" s="11" t="s">
        <v>59</v>
      </c>
      <c r="Y38" s="138"/>
      <c r="Z38" s="9">
        <v>37</v>
      </c>
      <c r="AA38" s="21">
        <v>112237</v>
      </c>
      <c r="AB38" s="10" t="s">
        <v>4310</v>
      </c>
      <c r="AC38" s="11" t="s">
        <v>59</v>
      </c>
      <c r="AD38" s="7"/>
      <c r="AE38" s="9">
        <v>37</v>
      </c>
      <c r="AF38" s="26">
        <v>112337</v>
      </c>
      <c r="AG38" s="10" t="s">
        <v>4311</v>
      </c>
      <c r="AH38" s="11" t="s">
        <v>59</v>
      </c>
      <c r="AI38" s="135"/>
      <c r="AJ38" s="9">
        <v>37</v>
      </c>
      <c r="AK38" s="21">
        <v>112437</v>
      </c>
      <c r="AL38" s="10" t="s">
        <v>4312</v>
      </c>
      <c r="AM38" s="11" t="s">
        <v>59</v>
      </c>
      <c r="AN38" s="135"/>
      <c r="AO38" s="9">
        <v>37</v>
      </c>
      <c r="AP38" s="21">
        <v>113137</v>
      </c>
      <c r="AQ38" s="10" t="s">
        <v>4313</v>
      </c>
      <c r="AR38" s="11" t="s">
        <v>60</v>
      </c>
      <c r="AS38" s="135"/>
      <c r="AT38" s="9">
        <v>37</v>
      </c>
      <c r="AU38" s="21">
        <v>113237</v>
      </c>
      <c r="AV38" s="10" t="s">
        <v>4314</v>
      </c>
      <c r="AW38" s="11" t="s">
        <v>59</v>
      </c>
      <c r="AX38" s="135"/>
      <c r="AY38" s="9">
        <v>37</v>
      </c>
      <c r="AZ38" s="21">
        <v>113337</v>
      </c>
      <c r="BA38" s="10" t="s">
        <v>4315</v>
      </c>
      <c r="BB38" s="11" t="s">
        <v>59</v>
      </c>
      <c r="BC38" s="50"/>
      <c r="BD38" s="9">
        <v>37</v>
      </c>
      <c r="BE38" s="21">
        <v>114137</v>
      </c>
      <c r="BF38" s="10" t="s">
        <v>4303</v>
      </c>
      <c r="BG38" s="11" t="s">
        <v>59</v>
      </c>
      <c r="BH38" s="50"/>
      <c r="BI38" s="9">
        <v>37</v>
      </c>
      <c r="BJ38" s="21">
        <v>114237</v>
      </c>
      <c r="BK38" s="10" t="s">
        <v>4323</v>
      </c>
      <c r="BL38" s="11" t="s">
        <v>59</v>
      </c>
      <c r="BM38" s="50"/>
      <c r="BN38" s="9">
        <v>37</v>
      </c>
      <c r="BO38" s="21">
        <v>115137</v>
      </c>
      <c r="BP38" s="10" t="s">
        <v>4318</v>
      </c>
      <c r="BQ38" s="11" t="s">
        <v>59</v>
      </c>
      <c r="BR38" s="50"/>
      <c r="BS38" s="9">
        <v>37</v>
      </c>
      <c r="BT38" s="21">
        <v>115237</v>
      </c>
      <c r="BU38" s="10" t="s">
        <v>4319</v>
      </c>
      <c r="BV38" s="11" t="s">
        <v>59</v>
      </c>
      <c r="BW38" s="50"/>
      <c r="BX38" s="9"/>
      <c r="BY38" s="21"/>
      <c r="BZ38" s="10"/>
      <c r="CA38" s="11"/>
      <c r="CB38" s="57"/>
      <c r="CC38" s="9"/>
      <c r="CD38" s="21"/>
      <c r="CE38" s="10"/>
      <c r="CF38" s="11"/>
      <c r="CG38" s="57"/>
      <c r="CH38" s="9"/>
      <c r="CI38" s="21"/>
      <c r="CJ38" s="10"/>
      <c r="CK38" s="11"/>
      <c r="CL38" s="19"/>
      <c r="CM38" s="9"/>
      <c r="CN38" s="21"/>
      <c r="CO38" s="10"/>
      <c r="CP38" s="11"/>
      <c r="CQ38" s="137"/>
    </row>
    <row r="39" spans="1:95" s="8" customFormat="1" ht="15" customHeight="1">
      <c r="A39" s="9">
        <v>38</v>
      </c>
      <c r="B39" s="204" t="s">
        <v>3665</v>
      </c>
      <c r="C39" s="205" t="s">
        <v>2967</v>
      </c>
      <c r="D39" s="206" t="s">
        <v>59</v>
      </c>
      <c r="E39" s="263"/>
      <c r="F39" s="9"/>
      <c r="G39" s="26"/>
      <c r="H39" s="10"/>
      <c r="I39" s="11"/>
      <c r="J39" s="138"/>
      <c r="K39" s="9"/>
      <c r="L39" s="26"/>
      <c r="M39" s="10"/>
      <c r="N39" s="11"/>
      <c r="O39" s="138"/>
      <c r="P39" s="9"/>
      <c r="Q39" s="26"/>
      <c r="R39" s="10"/>
      <c r="S39" s="11"/>
      <c r="T39" s="138"/>
      <c r="U39" s="9">
        <v>38</v>
      </c>
      <c r="V39" s="204">
        <v>112138</v>
      </c>
      <c r="W39" s="205" t="s">
        <v>4320</v>
      </c>
      <c r="X39" s="206" t="s">
        <v>59</v>
      </c>
      <c r="Y39" s="263" t="s">
        <v>4415</v>
      </c>
      <c r="Z39" s="9">
        <v>38</v>
      </c>
      <c r="AA39" s="204" t="s">
        <v>2205</v>
      </c>
      <c r="AB39" s="205" t="s">
        <v>2206</v>
      </c>
      <c r="AC39" s="206" t="s">
        <v>59</v>
      </c>
      <c r="AD39" s="263"/>
      <c r="AE39" s="9">
        <v>38</v>
      </c>
      <c r="AF39" s="21">
        <v>112338</v>
      </c>
      <c r="AG39" s="10" t="s">
        <v>4321</v>
      </c>
      <c r="AH39" s="11" t="s">
        <v>59</v>
      </c>
      <c r="AI39" s="135"/>
      <c r="AJ39" s="9">
        <v>38</v>
      </c>
      <c r="AK39" s="26">
        <v>112438</v>
      </c>
      <c r="AL39" s="10" t="s">
        <v>4322</v>
      </c>
      <c r="AM39" s="11" t="s">
        <v>59</v>
      </c>
      <c r="AN39" s="135"/>
      <c r="AO39" s="9">
        <v>38</v>
      </c>
      <c r="AP39" s="204" t="s">
        <v>3667</v>
      </c>
      <c r="AQ39" s="205" t="s">
        <v>2992</v>
      </c>
      <c r="AR39" s="206" t="s">
        <v>59</v>
      </c>
      <c r="AS39" s="207"/>
      <c r="AT39" s="9"/>
      <c r="AU39" s="26"/>
      <c r="AV39" s="10"/>
      <c r="AW39" s="11"/>
      <c r="AX39" s="135"/>
      <c r="AY39" s="9">
        <v>38</v>
      </c>
      <c r="AZ39" s="26">
        <v>113338</v>
      </c>
      <c r="BA39" s="10" t="s">
        <v>2480</v>
      </c>
      <c r="BB39" s="11" t="s">
        <v>59</v>
      </c>
      <c r="BC39" s="50"/>
      <c r="BD39" s="9">
        <v>38</v>
      </c>
      <c r="BE39" s="204" t="s">
        <v>3668</v>
      </c>
      <c r="BF39" s="205" t="s">
        <v>3084</v>
      </c>
      <c r="BG39" s="206" t="s">
        <v>59</v>
      </c>
      <c r="BH39" s="207"/>
      <c r="BI39" s="9">
        <v>38</v>
      </c>
      <c r="BJ39" s="204" t="s">
        <v>4376</v>
      </c>
      <c r="BK39" s="205" t="s">
        <v>4374</v>
      </c>
      <c r="BL39" s="206" t="s">
        <v>60</v>
      </c>
      <c r="BM39" s="207"/>
      <c r="BN39" s="9">
        <v>38</v>
      </c>
      <c r="BO39" s="26">
        <v>115138</v>
      </c>
      <c r="BP39" s="10" t="s">
        <v>4324</v>
      </c>
      <c r="BQ39" s="11" t="s">
        <v>59</v>
      </c>
      <c r="BR39" s="123"/>
      <c r="BS39" s="9">
        <v>38</v>
      </c>
      <c r="BT39" s="26">
        <v>115238</v>
      </c>
      <c r="BU39" s="10" t="s">
        <v>4325</v>
      </c>
      <c r="BV39" s="11" t="s">
        <v>59</v>
      </c>
      <c r="BW39" s="57"/>
      <c r="BX39" s="9"/>
      <c r="BY39" s="26"/>
      <c r="BZ39" s="10"/>
      <c r="CA39" s="11"/>
      <c r="CB39" s="50"/>
      <c r="CC39" s="9"/>
      <c r="CD39" s="26"/>
      <c r="CE39" s="10"/>
      <c r="CF39" s="11"/>
      <c r="CG39" s="7"/>
      <c r="CH39" s="9"/>
      <c r="CI39" s="26"/>
      <c r="CJ39" s="10"/>
      <c r="CK39" s="11"/>
      <c r="CL39" s="19"/>
      <c r="CM39" s="9"/>
      <c r="CN39" s="26"/>
      <c r="CO39" s="10"/>
      <c r="CP39" s="11"/>
      <c r="CQ39" s="137"/>
    </row>
    <row r="40" spans="1:95" s="8" customFormat="1" ht="15" customHeight="1">
      <c r="A40" s="20"/>
      <c r="B40" s="26"/>
      <c r="C40" s="10"/>
      <c r="D40" s="11"/>
      <c r="E40" s="138"/>
      <c r="F40" s="20"/>
      <c r="G40" s="26"/>
      <c r="H40" s="10"/>
      <c r="I40" s="11"/>
      <c r="J40" s="138"/>
      <c r="K40" s="20"/>
      <c r="L40" s="26"/>
      <c r="M40" s="10"/>
      <c r="N40" s="11"/>
      <c r="O40" s="138"/>
      <c r="P40" s="20"/>
      <c r="Q40" s="26"/>
      <c r="R40" s="10"/>
      <c r="S40" s="11"/>
      <c r="T40" s="138"/>
      <c r="U40" s="20">
        <v>39</v>
      </c>
      <c r="V40" s="26">
        <v>112139</v>
      </c>
      <c r="W40" s="10" t="s">
        <v>4326</v>
      </c>
      <c r="X40" s="11" t="s">
        <v>59</v>
      </c>
      <c r="Y40" s="138"/>
      <c r="Z40" s="20"/>
      <c r="AA40" s="26"/>
      <c r="AB40" s="10"/>
      <c r="AC40" s="11"/>
      <c r="AD40" s="50"/>
      <c r="AE40" s="20">
        <v>39</v>
      </c>
      <c r="AF40" s="26">
        <v>112339</v>
      </c>
      <c r="AG40" s="10" t="s">
        <v>4327</v>
      </c>
      <c r="AH40" s="11" t="s">
        <v>59</v>
      </c>
      <c r="AI40" s="135"/>
      <c r="AJ40" s="20"/>
      <c r="AK40" s="26"/>
      <c r="AL40" s="10"/>
      <c r="AM40" s="11"/>
      <c r="AN40" s="50"/>
      <c r="AO40" s="20"/>
      <c r="AP40" s="26"/>
      <c r="AQ40" s="10"/>
      <c r="AR40" s="11"/>
      <c r="AS40" s="135"/>
      <c r="AT40" s="20"/>
      <c r="AU40" s="26"/>
      <c r="AV40" s="10"/>
      <c r="AW40" s="11"/>
      <c r="AX40" s="135"/>
      <c r="AY40" s="20"/>
      <c r="AZ40" s="26"/>
      <c r="BA40" s="10"/>
      <c r="BB40" s="11"/>
      <c r="BC40" s="7"/>
      <c r="BD40" s="20"/>
      <c r="BE40" s="26"/>
      <c r="BF40" s="10"/>
      <c r="BG40" s="11"/>
      <c r="BH40" s="50"/>
      <c r="BI40" s="20"/>
      <c r="BJ40" s="26"/>
      <c r="BK40" s="10"/>
      <c r="BL40" s="11"/>
      <c r="BM40" s="50"/>
      <c r="BN40" s="20">
        <v>39</v>
      </c>
      <c r="BO40" s="204" t="s">
        <v>1443</v>
      </c>
      <c r="BP40" s="205" t="s">
        <v>1444</v>
      </c>
      <c r="BQ40" s="206" t="s">
        <v>59</v>
      </c>
      <c r="BR40" s="298"/>
      <c r="BS40" s="20"/>
      <c r="BT40" s="26"/>
      <c r="BU40" s="10"/>
      <c r="BV40" s="11"/>
      <c r="BW40" s="57"/>
      <c r="BX40" s="20"/>
      <c r="BY40" s="26"/>
      <c r="BZ40" s="10"/>
      <c r="CA40" s="11"/>
      <c r="CB40" s="57"/>
      <c r="CC40" s="20"/>
      <c r="CD40" s="26"/>
      <c r="CE40" s="10"/>
      <c r="CF40" s="11"/>
      <c r="CG40" s="15"/>
      <c r="CH40" s="20"/>
      <c r="CI40" s="26"/>
      <c r="CJ40" s="10"/>
      <c r="CK40" s="11"/>
      <c r="CL40" s="19"/>
      <c r="CM40" s="20"/>
      <c r="CN40" s="26"/>
      <c r="CO40" s="10"/>
      <c r="CP40" s="11"/>
      <c r="CQ40" s="137"/>
    </row>
    <row r="41" spans="1:95" s="8" customFormat="1" ht="15" customHeight="1" thickBot="1">
      <c r="A41" s="16"/>
      <c r="B41" s="28"/>
      <c r="C41" s="17"/>
      <c r="D41" s="18"/>
      <c r="E41" s="138"/>
      <c r="F41" s="16"/>
      <c r="G41" s="28"/>
      <c r="H41" s="17"/>
      <c r="I41" s="18"/>
      <c r="J41" s="138"/>
      <c r="K41" s="16"/>
      <c r="L41" s="28"/>
      <c r="M41" s="17"/>
      <c r="N41" s="18"/>
      <c r="O41" s="138"/>
      <c r="P41" s="16"/>
      <c r="Q41" s="28"/>
      <c r="R41" s="17"/>
      <c r="S41" s="18"/>
      <c r="T41" s="138"/>
      <c r="U41" s="16"/>
      <c r="V41" s="28"/>
      <c r="W41" s="17"/>
      <c r="X41" s="18"/>
      <c r="Y41" s="138"/>
      <c r="Z41" s="16"/>
      <c r="AA41" s="28"/>
      <c r="AB41" s="17"/>
      <c r="AC41" s="18"/>
      <c r="AD41" s="138"/>
      <c r="AE41" s="16"/>
      <c r="AF41" s="28"/>
      <c r="AG41" s="17"/>
      <c r="AH41" s="18"/>
      <c r="AI41" s="15"/>
      <c r="AJ41" s="16"/>
      <c r="AK41" s="28"/>
      <c r="AL41" s="17"/>
      <c r="AM41" s="18"/>
      <c r="AN41" s="135"/>
      <c r="AO41" s="16"/>
      <c r="AP41" s="28"/>
      <c r="AQ41" s="17"/>
      <c r="AR41" s="18"/>
      <c r="AS41" s="7"/>
      <c r="AT41" s="16"/>
      <c r="AU41" s="28"/>
      <c r="AV41" s="17"/>
      <c r="AW41" s="18"/>
      <c r="AX41" s="7"/>
      <c r="AY41" s="16"/>
      <c r="AZ41" s="28"/>
      <c r="BA41" s="17"/>
      <c r="BB41" s="18"/>
      <c r="BC41" s="7"/>
      <c r="BD41" s="16"/>
      <c r="BE41" s="28"/>
      <c r="BF41" s="17"/>
      <c r="BG41" s="18"/>
      <c r="BH41" s="19"/>
      <c r="BI41" s="16"/>
      <c r="BJ41" s="28"/>
      <c r="BK41" s="17"/>
      <c r="BL41" s="18"/>
      <c r="BM41" s="50"/>
      <c r="BN41" s="16"/>
      <c r="BO41" s="28"/>
      <c r="BP41" s="17"/>
      <c r="BQ41" s="18"/>
      <c r="BR41" s="57"/>
      <c r="BS41" s="16"/>
      <c r="BT41" s="28"/>
      <c r="BU41" s="17"/>
      <c r="BV41" s="18"/>
      <c r="BW41" s="57"/>
      <c r="BX41" s="16"/>
      <c r="BY41" s="28"/>
      <c r="BZ41" s="17"/>
      <c r="CA41" s="18"/>
      <c r="CB41" s="7"/>
      <c r="CC41" s="16"/>
      <c r="CD41" s="28"/>
      <c r="CE41" s="17"/>
      <c r="CF41" s="18"/>
      <c r="CG41" s="57"/>
      <c r="CH41" s="16"/>
      <c r="CI41" s="28"/>
      <c r="CJ41" s="17"/>
      <c r="CK41" s="18"/>
      <c r="CL41" s="7"/>
      <c r="CM41" s="16"/>
      <c r="CN41" s="28"/>
      <c r="CO41" s="17"/>
      <c r="CP41" s="18"/>
      <c r="CQ41" s="136"/>
    </row>
    <row r="42" spans="1:95" s="8" customFormat="1" ht="15" customHeight="1" thickTop="1">
      <c r="A42" s="4"/>
      <c r="B42" s="29"/>
      <c r="C42" s="5"/>
      <c r="D42" s="6"/>
      <c r="E42" s="7"/>
      <c r="F42" s="4"/>
      <c r="G42" s="29"/>
      <c r="H42" s="5"/>
      <c r="I42" s="6"/>
      <c r="J42" s="138"/>
      <c r="K42" s="4"/>
      <c r="L42" s="29"/>
      <c r="M42" s="5"/>
      <c r="N42" s="6"/>
      <c r="O42" s="138"/>
      <c r="P42" s="4"/>
      <c r="Q42" s="29"/>
      <c r="R42" s="5"/>
      <c r="S42" s="6"/>
      <c r="T42" s="138"/>
      <c r="U42" s="4"/>
      <c r="V42" s="29"/>
      <c r="W42" s="5"/>
      <c r="X42" s="6"/>
      <c r="Y42" s="7"/>
      <c r="Z42" s="4"/>
      <c r="AA42" s="29"/>
      <c r="AB42" s="5"/>
      <c r="AC42" s="6"/>
      <c r="AD42" s="138"/>
      <c r="AE42" s="4"/>
      <c r="AF42" s="29"/>
      <c r="AG42" s="200"/>
      <c r="AH42" s="6"/>
      <c r="AI42" s="15"/>
      <c r="AJ42" s="4"/>
      <c r="AK42" s="29"/>
      <c r="AL42" s="5"/>
      <c r="AM42" s="6"/>
      <c r="AN42" s="135"/>
      <c r="AO42" s="4"/>
      <c r="AP42" s="29"/>
      <c r="AQ42" s="5"/>
      <c r="AR42" s="6"/>
      <c r="AS42" s="7"/>
      <c r="AT42" s="4"/>
      <c r="AU42" s="29"/>
      <c r="AV42" s="5"/>
      <c r="AW42" s="6"/>
      <c r="AX42" s="7"/>
      <c r="AY42" s="4"/>
      <c r="AZ42" s="29"/>
      <c r="BA42" s="5"/>
      <c r="BB42" s="6"/>
      <c r="BC42" s="7"/>
      <c r="BD42" s="4"/>
      <c r="BE42" s="29"/>
      <c r="BF42" s="5"/>
      <c r="BG42" s="6"/>
      <c r="BH42" s="7"/>
      <c r="BI42" s="4"/>
      <c r="BJ42" s="29"/>
      <c r="BK42" s="5"/>
      <c r="BL42" s="6"/>
      <c r="BM42" s="50"/>
      <c r="BN42" s="4"/>
      <c r="BO42" s="29"/>
      <c r="BP42" s="5"/>
      <c r="BQ42" s="6"/>
      <c r="BR42" s="7"/>
      <c r="BS42" s="4"/>
      <c r="BT42" s="29"/>
      <c r="BU42" s="5"/>
      <c r="BV42" s="6"/>
      <c r="BW42" s="7"/>
      <c r="BX42" s="4"/>
      <c r="BY42" s="29"/>
      <c r="BZ42" s="5"/>
      <c r="CA42" s="6"/>
      <c r="CB42" s="7"/>
      <c r="CC42" s="4"/>
      <c r="CD42" s="29"/>
      <c r="CE42" s="5"/>
      <c r="CF42" s="6"/>
      <c r="CG42" s="57"/>
      <c r="CH42" s="4"/>
      <c r="CI42" s="29"/>
      <c r="CJ42" s="5"/>
      <c r="CK42" s="6"/>
      <c r="CL42" s="7"/>
      <c r="CM42" s="4"/>
      <c r="CN42" s="29"/>
      <c r="CO42" s="5"/>
      <c r="CP42" s="6"/>
      <c r="CQ42" s="136"/>
    </row>
    <row r="43" spans="1:95" s="8" customFormat="1" ht="15" customHeight="1">
      <c r="A43" s="9"/>
      <c r="B43" s="26"/>
      <c r="C43" s="10"/>
      <c r="D43" s="11"/>
      <c r="E43" s="7"/>
      <c r="F43" s="9"/>
      <c r="G43" s="26"/>
      <c r="H43" s="10"/>
      <c r="I43" s="11"/>
      <c r="J43" s="7"/>
      <c r="K43" s="9"/>
      <c r="L43" s="26"/>
      <c r="M43" s="10"/>
      <c r="N43" s="11"/>
      <c r="O43" s="19"/>
      <c r="P43" s="9"/>
      <c r="Q43" s="26"/>
      <c r="R43" s="10"/>
      <c r="S43" s="11"/>
      <c r="T43" s="7"/>
      <c r="U43" s="9"/>
      <c r="V43" s="26"/>
      <c r="W43" s="10"/>
      <c r="X43" s="11"/>
      <c r="Y43" s="7"/>
      <c r="Z43" s="9"/>
      <c r="AA43" s="26"/>
      <c r="AB43" s="10"/>
      <c r="AC43" s="11"/>
      <c r="AD43" s="138"/>
      <c r="AE43" s="9"/>
      <c r="AF43" s="26"/>
      <c r="AG43" s="10"/>
      <c r="AH43" s="201"/>
      <c r="AI43" s="15"/>
      <c r="AJ43" s="9"/>
      <c r="AK43" s="26"/>
      <c r="AL43" s="10"/>
      <c r="AM43" s="11"/>
      <c r="AN43" s="7"/>
      <c r="AO43" s="9"/>
      <c r="AP43" s="26"/>
      <c r="AQ43" s="10"/>
      <c r="AR43" s="11"/>
      <c r="AS43" s="7"/>
      <c r="AT43" s="9"/>
      <c r="AU43" s="26"/>
      <c r="AV43" s="10"/>
      <c r="AW43" s="11"/>
      <c r="AX43" s="7"/>
      <c r="AY43" s="9"/>
      <c r="AZ43" s="26"/>
      <c r="BA43" s="10"/>
      <c r="BB43" s="11"/>
      <c r="BC43" s="7"/>
      <c r="BD43" s="9"/>
      <c r="BE43" s="26"/>
      <c r="BF43" s="10"/>
      <c r="BG43" s="11"/>
      <c r="BH43" s="7"/>
      <c r="BI43" s="9"/>
      <c r="BJ43" s="26"/>
      <c r="BK43" s="10"/>
      <c r="BL43" s="11"/>
      <c r="BM43" s="7"/>
      <c r="BN43" s="9"/>
      <c r="BO43" s="26"/>
      <c r="BP43" s="10"/>
      <c r="BQ43" s="11"/>
      <c r="BR43" s="7"/>
      <c r="BS43" s="9"/>
      <c r="BT43" s="26"/>
      <c r="BU43" s="10"/>
      <c r="BV43" s="11"/>
      <c r="BW43" s="7"/>
      <c r="BX43" s="9"/>
      <c r="BY43" s="26"/>
      <c r="BZ43" s="10"/>
      <c r="CA43" s="11"/>
      <c r="CB43" s="7"/>
      <c r="CC43" s="9"/>
      <c r="CD43" s="26"/>
      <c r="CE43" s="10"/>
      <c r="CF43" s="11"/>
      <c r="CG43" s="7"/>
      <c r="CH43" s="9"/>
      <c r="CI43" s="26"/>
      <c r="CJ43" s="10"/>
      <c r="CK43" s="11"/>
      <c r="CL43" s="7"/>
      <c r="CM43" s="9"/>
      <c r="CN43" s="26"/>
      <c r="CO43" s="10"/>
      <c r="CP43" s="11"/>
      <c r="CQ43" s="136"/>
    </row>
    <row r="44" spans="1:95" s="8" customFormat="1" ht="15" customHeight="1">
      <c r="A44" s="9"/>
      <c r="B44" s="30"/>
      <c r="C44" s="10"/>
      <c r="D44" s="11"/>
      <c r="E44" s="7"/>
      <c r="F44" s="9"/>
      <c r="G44" s="30"/>
      <c r="H44" s="10"/>
      <c r="I44" s="11"/>
      <c r="J44" s="7"/>
      <c r="K44" s="9"/>
      <c r="L44" s="30"/>
      <c r="M44" s="10"/>
      <c r="N44" s="11"/>
      <c r="O44" s="7"/>
      <c r="P44" s="9"/>
      <c r="Q44" s="30"/>
      <c r="R44" s="10"/>
      <c r="S44" s="11"/>
      <c r="T44" s="7"/>
      <c r="U44" s="9"/>
      <c r="V44" s="30"/>
      <c r="W44" s="10"/>
      <c r="X44" s="11"/>
      <c r="Y44" s="7"/>
      <c r="Z44" s="9"/>
      <c r="AA44" s="30"/>
      <c r="AB44" s="10"/>
      <c r="AC44" s="11"/>
      <c r="AD44" s="7"/>
      <c r="AE44" s="9"/>
      <c r="AF44" s="47"/>
      <c r="AG44" s="10"/>
      <c r="AH44" s="11"/>
      <c r="AI44" s="15"/>
      <c r="AJ44" s="9"/>
      <c r="AK44" s="30"/>
      <c r="AL44" s="10"/>
      <c r="AM44" s="11"/>
      <c r="AN44" s="7"/>
      <c r="AO44" s="9"/>
      <c r="AP44" s="30"/>
      <c r="AQ44" s="10"/>
      <c r="AR44" s="11"/>
      <c r="AS44" s="7"/>
      <c r="AT44" s="9"/>
      <c r="AU44" s="30"/>
      <c r="AV44" s="10"/>
      <c r="AW44" s="11"/>
      <c r="AX44" s="7"/>
      <c r="AY44" s="9"/>
      <c r="AZ44" s="30"/>
      <c r="BA44" s="10"/>
      <c r="BB44" s="11"/>
      <c r="BC44" s="7"/>
      <c r="BD44" s="9"/>
      <c r="BE44" s="30"/>
      <c r="BF44" s="10"/>
      <c r="BG44" s="11"/>
      <c r="BH44" s="7"/>
      <c r="BI44" s="9"/>
      <c r="BJ44" s="30"/>
      <c r="BK44" s="10"/>
      <c r="BL44" s="11"/>
      <c r="BM44" s="7"/>
      <c r="BN44" s="9"/>
      <c r="BO44" s="30"/>
      <c r="BP44" s="10"/>
      <c r="BQ44" s="11"/>
      <c r="BR44" s="7"/>
      <c r="BS44" s="9"/>
      <c r="BT44" s="30"/>
      <c r="BU44" s="10"/>
      <c r="BV44" s="11"/>
      <c r="BW44" s="7"/>
      <c r="BX44" s="9"/>
      <c r="BY44" s="30"/>
      <c r="BZ44" s="10"/>
      <c r="CA44" s="11"/>
      <c r="CB44" s="7"/>
      <c r="CC44" s="9"/>
      <c r="CD44" s="30"/>
      <c r="CE44" s="10"/>
      <c r="CF44" s="11"/>
      <c r="CG44" s="7"/>
      <c r="CH44" s="9"/>
      <c r="CI44" s="30"/>
      <c r="CJ44" s="10"/>
      <c r="CK44" s="11"/>
      <c r="CL44" s="7"/>
      <c r="CM44" s="9"/>
      <c r="CN44" s="30"/>
      <c r="CO44" s="10"/>
      <c r="CP44" s="11"/>
      <c r="CQ44" s="136"/>
    </row>
    <row r="45" spans="1:95" s="8" customFormat="1" ht="15" customHeight="1">
      <c r="A45" s="12"/>
      <c r="B45" s="31"/>
      <c r="C45" s="13"/>
      <c r="D45" s="14"/>
      <c r="E45" s="7"/>
      <c r="F45" s="12"/>
      <c r="G45" s="31"/>
      <c r="H45" s="13"/>
      <c r="I45" s="14"/>
      <c r="J45" s="7"/>
      <c r="K45" s="12"/>
      <c r="L45" s="31"/>
      <c r="M45" s="13"/>
      <c r="N45" s="14"/>
      <c r="O45" s="7"/>
      <c r="P45" s="12"/>
      <c r="Q45" s="31"/>
      <c r="R45" s="13"/>
      <c r="S45" s="14"/>
      <c r="T45" s="7"/>
      <c r="U45" s="12"/>
      <c r="V45" s="31"/>
      <c r="W45" s="13"/>
      <c r="X45" s="14"/>
      <c r="Y45" s="7"/>
      <c r="Z45" s="12"/>
      <c r="AA45" s="31"/>
      <c r="AB45" s="13"/>
      <c r="AC45" s="14"/>
      <c r="AD45" s="7"/>
      <c r="AE45" s="9"/>
      <c r="AF45" s="21"/>
      <c r="AG45" s="10"/>
      <c r="AH45" s="11"/>
      <c r="AI45" s="15"/>
      <c r="AJ45" s="12"/>
      <c r="AK45" s="31"/>
      <c r="AL45" s="13"/>
      <c r="AM45" s="14"/>
      <c r="AN45" s="7"/>
      <c r="AO45" s="12"/>
      <c r="AP45" s="31"/>
      <c r="AQ45" s="13"/>
      <c r="AR45" s="14"/>
      <c r="AS45" s="7"/>
      <c r="AT45" s="12"/>
      <c r="AU45" s="31"/>
      <c r="AV45" s="13"/>
      <c r="AW45" s="14"/>
      <c r="AX45" s="7"/>
      <c r="AY45" s="12"/>
      <c r="AZ45" s="31"/>
      <c r="BA45" s="13"/>
      <c r="BB45" s="14"/>
      <c r="BC45" s="7"/>
      <c r="BD45" s="12"/>
      <c r="BE45" s="31"/>
      <c r="BF45" s="13"/>
      <c r="BG45" s="14"/>
      <c r="BH45" s="7"/>
      <c r="BI45" s="12"/>
      <c r="BJ45" s="31"/>
      <c r="BK45" s="13"/>
      <c r="BL45" s="14"/>
      <c r="BM45" s="7"/>
      <c r="BN45" s="12"/>
      <c r="BO45" s="31"/>
      <c r="BP45" s="13"/>
      <c r="BQ45" s="14"/>
      <c r="BR45" s="7"/>
      <c r="BS45" s="12"/>
      <c r="BT45" s="31"/>
      <c r="BU45" s="13"/>
      <c r="BV45" s="14"/>
      <c r="BW45" s="7"/>
      <c r="BX45" s="12"/>
      <c r="BY45" s="31"/>
      <c r="BZ45" s="13"/>
      <c r="CA45" s="14"/>
      <c r="CB45" s="7"/>
      <c r="CC45" s="12"/>
      <c r="CD45" s="31"/>
      <c r="CE45" s="13"/>
      <c r="CF45" s="14"/>
      <c r="CG45" s="7"/>
      <c r="CH45" s="12"/>
      <c r="CI45" s="31"/>
      <c r="CJ45" s="13"/>
      <c r="CK45" s="14"/>
      <c r="CL45" s="7"/>
      <c r="CM45" s="12"/>
      <c r="CN45" s="31"/>
      <c r="CO45" s="13"/>
      <c r="CP45" s="14"/>
      <c r="CQ45" s="136"/>
    </row>
    <row r="46" spans="1:95" s="8" customFormat="1" ht="15" customHeight="1" thickBot="1">
      <c r="A46" s="16"/>
      <c r="B46" s="28"/>
      <c r="C46" s="17"/>
      <c r="D46" s="18"/>
      <c r="E46" s="7"/>
      <c r="F46" s="16"/>
      <c r="G46" s="28"/>
      <c r="H46" s="17"/>
      <c r="I46" s="18"/>
      <c r="J46" s="15"/>
      <c r="K46" s="16"/>
      <c r="L46" s="28"/>
      <c r="M46" s="17"/>
      <c r="N46" s="18"/>
      <c r="O46" s="15"/>
      <c r="P46" s="16"/>
      <c r="Q46" s="28"/>
      <c r="R46" s="17"/>
      <c r="S46" s="18"/>
      <c r="T46" s="15"/>
      <c r="U46" s="16"/>
      <c r="V46" s="28"/>
      <c r="W46" s="17"/>
      <c r="X46" s="18"/>
      <c r="Y46" s="15"/>
      <c r="Z46" s="16"/>
      <c r="AA46" s="28"/>
      <c r="AB46" s="17"/>
      <c r="AC46" s="18"/>
      <c r="AD46" s="15"/>
      <c r="AE46" s="16"/>
      <c r="AF46" s="28"/>
      <c r="AG46" s="17"/>
      <c r="AH46" s="18"/>
      <c r="AI46" s="15"/>
      <c r="AJ46" s="16"/>
      <c r="AK46" s="28"/>
      <c r="AL46" s="17"/>
      <c r="AM46" s="18"/>
      <c r="AN46" s="7"/>
      <c r="AO46" s="16"/>
      <c r="AP46" s="28"/>
      <c r="AQ46" s="17"/>
      <c r="AR46" s="18"/>
      <c r="AS46" s="7"/>
      <c r="AT46" s="16"/>
      <c r="AU46" s="28"/>
      <c r="AV46" s="17"/>
      <c r="AW46" s="18"/>
      <c r="AX46" s="7"/>
      <c r="AY46" s="16"/>
      <c r="AZ46" s="28"/>
      <c r="BA46" s="17"/>
      <c r="BB46" s="18"/>
      <c r="BC46" s="7"/>
      <c r="BD46" s="16"/>
      <c r="BE46" s="28"/>
      <c r="BF46" s="17"/>
      <c r="BG46" s="18"/>
      <c r="BH46" s="7"/>
      <c r="BI46" s="16"/>
      <c r="BJ46" s="28"/>
      <c r="BK46" s="17"/>
      <c r="BL46" s="18"/>
      <c r="BM46" s="15"/>
      <c r="BN46" s="16"/>
      <c r="BO46" s="28"/>
      <c r="BP46" s="17"/>
      <c r="BQ46" s="18"/>
      <c r="BR46" s="15"/>
      <c r="BS46" s="16"/>
      <c r="BT46" s="28"/>
      <c r="BU46" s="17"/>
      <c r="BV46" s="18"/>
      <c r="BW46" s="7"/>
      <c r="BX46" s="16"/>
      <c r="BY46" s="28"/>
      <c r="BZ46" s="17"/>
      <c r="CA46" s="18"/>
      <c r="CB46" s="7"/>
      <c r="CC46" s="16"/>
      <c r="CD46" s="28"/>
      <c r="CE46" s="17"/>
      <c r="CF46" s="18"/>
      <c r="CG46" s="7"/>
      <c r="CH46" s="16"/>
      <c r="CI46" s="28"/>
      <c r="CJ46" s="17"/>
      <c r="CK46" s="18"/>
      <c r="CL46" s="7"/>
      <c r="CM46" s="16"/>
      <c r="CN46" s="28"/>
      <c r="CO46" s="17"/>
      <c r="CP46" s="18"/>
      <c r="CQ46" s="136"/>
    </row>
    <row r="47" spans="1:95" s="24" customFormat="1" ht="15" customHeight="1" thickTop="1">
      <c r="A47" s="58"/>
      <c r="B47" s="59"/>
      <c r="C47" s="22" t="s">
        <v>43</v>
      </c>
      <c r="D47" s="59">
        <f>COUNTIF(D$2:D$46,C47)</f>
        <v>33</v>
      </c>
      <c r="E47" s="23"/>
      <c r="F47" s="58"/>
      <c r="G47" s="59"/>
      <c r="H47" s="22" t="s">
        <v>43</v>
      </c>
      <c r="I47" s="59">
        <f>COUNTIF(I$2:I$46,H47)</f>
        <v>31</v>
      </c>
      <c r="J47" s="23"/>
      <c r="K47" s="58"/>
      <c r="L47" s="59"/>
      <c r="M47" s="22" t="s">
        <v>43</v>
      </c>
      <c r="N47" s="59">
        <f>COUNTIF(N$2:N$46,M47)</f>
        <v>32</v>
      </c>
      <c r="O47" s="23"/>
      <c r="P47" s="58"/>
      <c r="Q47" s="59"/>
      <c r="R47" s="22" t="s">
        <v>43</v>
      </c>
      <c r="S47" s="59">
        <f>COUNTIF(S$2:S$46,R47)</f>
        <v>31</v>
      </c>
      <c r="T47" s="56"/>
      <c r="U47" s="58"/>
      <c r="V47" s="59"/>
      <c r="W47" s="22" t="s">
        <v>43</v>
      </c>
      <c r="X47" s="59">
        <f>COUNTIF(X$2:X$46,W47)</f>
        <v>33</v>
      </c>
      <c r="Y47" s="23"/>
      <c r="Z47" s="58"/>
      <c r="AA47" s="59"/>
      <c r="AB47" s="22" t="s">
        <v>43</v>
      </c>
      <c r="AC47" s="59">
        <f>COUNTIF(AC$2:AC$46,AB47)</f>
        <v>38</v>
      </c>
      <c r="AD47" s="23"/>
      <c r="AE47" s="58"/>
      <c r="AF47" s="59"/>
      <c r="AG47" s="22" t="s">
        <v>43</v>
      </c>
      <c r="AH47" s="59">
        <f>COUNTIF(AH$2:AH$46,AG47)</f>
        <v>39</v>
      </c>
      <c r="AI47" s="23"/>
      <c r="AJ47" s="58"/>
      <c r="AK47" s="59"/>
      <c r="AL47" s="22" t="s">
        <v>43</v>
      </c>
      <c r="AM47" s="59">
        <f>COUNTIF(AM$2:AM$46,AL47)</f>
        <v>38</v>
      </c>
      <c r="AN47" s="23"/>
      <c r="AO47" s="58"/>
      <c r="AP47" s="59"/>
      <c r="AQ47" s="22" t="s">
        <v>43</v>
      </c>
      <c r="AR47" s="59">
        <f>COUNTIF(AR$2:AR$46,AQ47)</f>
        <v>34</v>
      </c>
      <c r="AS47" s="23"/>
      <c r="AT47" s="58"/>
      <c r="AU47" s="59"/>
      <c r="AV47" s="22" t="s">
        <v>43</v>
      </c>
      <c r="AW47" s="59">
        <f>COUNTIF(AW$2:AW$46,AV47)</f>
        <v>34</v>
      </c>
      <c r="AX47" s="23"/>
      <c r="AY47" s="58"/>
      <c r="AZ47" s="59"/>
      <c r="BA47" s="22" t="s">
        <v>43</v>
      </c>
      <c r="BB47" s="59">
        <f>COUNTIF(BB$2:BB$46,BA47)</f>
        <v>35</v>
      </c>
      <c r="BC47" s="23"/>
      <c r="BD47" s="58"/>
      <c r="BE47" s="59"/>
      <c r="BF47" s="22" t="s">
        <v>43</v>
      </c>
      <c r="BG47" s="59">
        <f>COUNTIF(BG$2:BG$46,BF47)</f>
        <v>35</v>
      </c>
      <c r="BH47" s="23"/>
      <c r="BI47" s="58"/>
      <c r="BJ47" s="59"/>
      <c r="BK47" s="22" t="s">
        <v>43</v>
      </c>
      <c r="BL47" s="59">
        <f>COUNTIF(BL$2:BL$46,BK47)</f>
        <v>34</v>
      </c>
      <c r="BM47" s="23"/>
      <c r="BN47" s="58"/>
      <c r="BO47" s="59"/>
      <c r="BP47" s="22" t="s">
        <v>43</v>
      </c>
      <c r="BQ47" s="59">
        <f>COUNTIF(BQ$2:BQ$46,BP47)</f>
        <v>35</v>
      </c>
      <c r="BR47" s="23"/>
      <c r="BS47" s="58"/>
      <c r="BT47" s="59"/>
      <c r="BU47" s="22" t="s">
        <v>43</v>
      </c>
      <c r="BV47" s="59">
        <f>COUNTIF(BV$2:BV$46,BU47)</f>
        <v>38</v>
      </c>
      <c r="BW47" s="23"/>
      <c r="BX47" s="58"/>
      <c r="BY47" s="59"/>
      <c r="BZ47" s="22" t="s">
        <v>43</v>
      </c>
      <c r="CA47" s="59">
        <f>COUNTIF(CA$2:CA$46,BZ47)</f>
        <v>14</v>
      </c>
      <c r="CB47" s="23"/>
      <c r="CC47" s="58"/>
      <c r="CD47" s="59"/>
      <c r="CE47" s="22" t="s">
        <v>43</v>
      </c>
      <c r="CF47" s="59">
        <f>COUNTIF(CF$2:CF$46,CE47)</f>
        <v>14</v>
      </c>
      <c r="CG47" s="23"/>
      <c r="CH47" s="58"/>
      <c r="CI47" s="59"/>
      <c r="CJ47" s="22" t="s">
        <v>43</v>
      </c>
      <c r="CK47" s="59">
        <f>COUNTIF(CK$2:CK$46,CJ47)</f>
        <v>9</v>
      </c>
      <c r="CL47" s="23"/>
      <c r="CM47" s="58"/>
      <c r="CN47" s="59"/>
      <c r="CO47" s="22" t="s">
        <v>43</v>
      </c>
      <c r="CP47" s="59">
        <f>COUNTIF(CP$2:CP$46,CO47)</f>
        <v>14</v>
      </c>
      <c r="CQ47" s="24">
        <f>SUM(D47:CP47)</f>
        <v>571</v>
      </c>
    </row>
    <row r="48" spans="1:95" s="24" customFormat="1" ht="15" customHeight="1">
      <c r="A48" s="58"/>
      <c r="B48" s="59"/>
      <c r="C48" s="60" t="s">
        <v>44</v>
      </c>
      <c r="D48" s="59">
        <f>COUNTIF(D$2:D$46,C48)</f>
        <v>5</v>
      </c>
      <c r="E48" s="61"/>
      <c r="F48" s="58"/>
      <c r="G48" s="59"/>
      <c r="H48" s="60" t="s">
        <v>44</v>
      </c>
      <c r="I48" s="59">
        <f>COUNTIF(I$2:I$46,H48)</f>
        <v>6</v>
      </c>
      <c r="J48" s="61"/>
      <c r="K48" s="58"/>
      <c r="L48" s="59"/>
      <c r="M48" s="60" t="s">
        <v>44</v>
      </c>
      <c r="N48" s="59">
        <f>COUNTIF(N$2:N$46,M48)</f>
        <v>5</v>
      </c>
      <c r="O48" s="61"/>
      <c r="P48" s="58"/>
      <c r="Q48" s="59"/>
      <c r="R48" s="60" t="s">
        <v>44</v>
      </c>
      <c r="S48" s="59">
        <f>COUNTIF(S$2:S$46,R48)</f>
        <v>6</v>
      </c>
      <c r="T48" s="56"/>
      <c r="U48" s="58"/>
      <c r="V48" s="59"/>
      <c r="W48" s="60" t="s">
        <v>44</v>
      </c>
      <c r="X48" s="59">
        <f>COUNTIF(X$2:X$46,W48)</f>
        <v>6</v>
      </c>
      <c r="Y48" s="61"/>
      <c r="Z48" s="58"/>
      <c r="AA48" s="59"/>
      <c r="AB48" s="60" t="s">
        <v>44</v>
      </c>
      <c r="AC48" s="59">
        <f>COUNTIF(AC$2:AC$46,AB48)</f>
        <v>0</v>
      </c>
      <c r="AD48" s="61"/>
      <c r="AE48" s="58"/>
      <c r="AF48" s="59"/>
      <c r="AG48" s="60" t="s">
        <v>44</v>
      </c>
      <c r="AH48" s="59">
        <f>COUNTIF(AH$2:AH$46,AG48)</f>
        <v>0</v>
      </c>
      <c r="AI48" s="61"/>
      <c r="AJ48" s="58"/>
      <c r="AK48" s="59"/>
      <c r="AL48" s="60" t="s">
        <v>44</v>
      </c>
      <c r="AM48" s="59">
        <f>COUNTIF(AM$2:AM$46,AL48)</f>
        <v>0</v>
      </c>
      <c r="AN48" s="61"/>
      <c r="AO48" s="58"/>
      <c r="AP48" s="59"/>
      <c r="AQ48" s="60" t="s">
        <v>44</v>
      </c>
      <c r="AR48" s="59">
        <f>COUNTIF(AR$2:AR$46,AQ48)</f>
        <v>4</v>
      </c>
      <c r="AS48" s="61"/>
      <c r="AT48" s="58"/>
      <c r="AU48" s="59"/>
      <c r="AV48" s="60" t="s">
        <v>44</v>
      </c>
      <c r="AW48" s="59">
        <f>COUNTIF(AW$2:AW$46,AV48)</f>
        <v>3</v>
      </c>
      <c r="AX48" s="61"/>
      <c r="AY48" s="58"/>
      <c r="AZ48" s="59"/>
      <c r="BA48" s="60" t="s">
        <v>44</v>
      </c>
      <c r="BB48" s="59">
        <f>COUNTIF(BB$2:BB$46,BA48)</f>
        <v>3</v>
      </c>
      <c r="BC48" s="61"/>
      <c r="BD48" s="58"/>
      <c r="BE48" s="59"/>
      <c r="BF48" s="60" t="s">
        <v>44</v>
      </c>
      <c r="BG48" s="59">
        <f>COUNTIF(BG$2:BG$46,BF48)</f>
        <v>3</v>
      </c>
      <c r="BH48" s="61"/>
      <c r="BI48" s="58"/>
      <c r="BJ48" s="59"/>
      <c r="BK48" s="60" t="s">
        <v>44</v>
      </c>
      <c r="BL48" s="59">
        <f>COUNTIF(BL$2:BL$46,BK48)</f>
        <v>4</v>
      </c>
      <c r="BM48" s="61"/>
      <c r="BN48" s="58"/>
      <c r="BO48" s="59"/>
      <c r="BP48" s="60" t="s">
        <v>44</v>
      </c>
      <c r="BQ48" s="59">
        <f>COUNTIF(BQ$2:BQ$46,BP48)</f>
        <v>4</v>
      </c>
      <c r="BR48" s="61"/>
      <c r="BS48" s="58"/>
      <c r="BT48" s="59"/>
      <c r="BU48" s="60" t="s">
        <v>44</v>
      </c>
      <c r="BV48" s="59">
        <f>COUNTIF(BV$2:BV$46,BU48)</f>
        <v>0</v>
      </c>
      <c r="BW48" s="61"/>
      <c r="BX48" s="58"/>
      <c r="BY48" s="59"/>
      <c r="BZ48" s="60" t="s">
        <v>44</v>
      </c>
      <c r="CA48" s="59">
        <f>COUNTIF(CA$2:CA$46,BZ48)</f>
        <v>19</v>
      </c>
      <c r="CB48" s="61"/>
      <c r="CC48" s="58"/>
      <c r="CD48" s="59"/>
      <c r="CE48" s="60" t="s">
        <v>44</v>
      </c>
      <c r="CF48" s="59">
        <f>COUNTIF(CF$2:CF$46,CE48)</f>
        <v>18</v>
      </c>
      <c r="CG48" s="61"/>
      <c r="CH48" s="58"/>
      <c r="CI48" s="59"/>
      <c r="CJ48" s="60" t="s">
        <v>44</v>
      </c>
      <c r="CK48" s="59">
        <f>COUNTIF(CK$2:CK$46,CJ48)</f>
        <v>2</v>
      </c>
      <c r="CL48" s="61"/>
      <c r="CM48" s="58"/>
      <c r="CN48" s="59"/>
      <c r="CO48" s="60" t="s">
        <v>44</v>
      </c>
      <c r="CP48" s="59">
        <f>COUNTIF(CP$2:CP$46,CO48)</f>
        <v>3</v>
      </c>
      <c r="CQ48" s="24">
        <f>SUM(D48:CP48)</f>
        <v>91</v>
      </c>
    </row>
    <row r="49" spans="1:105" s="24" customFormat="1" ht="15" customHeight="1">
      <c r="A49" s="58"/>
      <c r="B49" s="59"/>
      <c r="C49" s="60" t="s">
        <v>45</v>
      </c>
      <c r="D49" s="59">
        <f>SUM(D47:D48)</f>
        <v>38</v>
      </c>
      <c r="E49" s="61"/>
      <c r="F49" s="58"/>
      <c r="G49" s="59"/>
      <c r="H49" s="60" t="s">
        <v>45</v>
      </c>
      <c r="I49" s="59">
        <f>SUM(I47:I48)</f>
        <v>37</v>
      </c>
      <c r="J49" s="61"/>
      <c r="K49" s="58"/>
      <c r="L49" s="59"/>
      <c r="M49" s="60" t="s">
        <v>45</v>
      </c>
      <c r="N49" s="59">
        <f>SUM(N47:N48)</f>
        <v>37</v>
      </c>
      <c r="O49" s="61"/>
      <c r="P49" s="58"/>
      <c r="Q49" s="59"/>
      <c r="R49" s="60" t="s">
        <v>45</v>
      </c>
      <c r="S49" s="59">
        <f>SUM(S47:S48)</f>
        <v>37</v>
      </c>
      <c r="T49" s="56"/>
      <c r="U49" s="58"/>
      <c r="V49" s="59"/>
      <c r="W49" s="60" t="s">
        <v>45</v>
      </c>
      <c r="X49" s="59">
        <f>SUM(X47:X48)</f>
        <v>39</v>
      </c>
      <c r="Y49" s="61"/>
      <c r="Z49" s="58"/>
      <c r="AA49" s="59"/>
      <c r="AB49" s="60" t="s">
        <v>45</v>
      </c>
      <c r="AC49" s="59">
        <f>SUM(AC47:AC48)</f>
        <v>38</v>
      </c>
      <c r="AD49" s="61"/>
      <c r="AE49" s="58"/>
      <c r="AF49" s="59"/>
      <c r="AG49" s="60" t="s">
        <v>45</v>
      </c>
      <c r="AH49" s="59">
        <f>SUM(AH47:AH48)</f>
        <v>39</v>
      </c>
      <c r="AI49" s="61"/>
      <c r="AJ49" s="58"/>
      <c r="AK49" s="59"/>
      <c r="AL49" s="60" t="s">
        <v>45</v>
      </c>
      <c r="AM49" s="59">
        <f>SUM(AM47:AM48)</f>
        <v>38</v>
      </c>
      <c r="AN49" s="61"/>
      <c r="AO49" s="58"/>
      <c r="AP49" s="59"/>
      <c r="AQ49" s="60" t="s">
        <v>45</v>
      </c>
      <c r="AR49" s="59">
        <f>SUM(AR47:AR48)</f>
        <v>38</v>
      </c>
      <c r="AS49" s="61"/>
      <c r="AT49" s="58"/>
      <c r="AU49" s="59"/>
      <c r="AV49" s="60" t="s">
        <v>45</v>
      </c>
      <c r="AW49" s="59">
        <f>SUM(AW47:AW48)</f>
        <v>37</v>
      </c>
      <c r="AX49" s="61"/>
      <c r="AY49" s="58"/>
      <c r="AZ49" s="59"/>
      <c r="BA49" s="60" t="s">
        <v>45</v>
      </c>
      <c r="BB49" s="59">
        <f>SUM(BB47:BB48)</f>
        <v>38</v>
      </c>
      <c r="BC49" s="61"/>
      <c r="BD49" s="58"/>
      <c r="BE49" s="59"/>
      <c r="BF49" s="60" t="s">
        <v>45</v>
      </c>
      <c r="BG49" s="59">
        <f>SUM(BG47:BG48)</f>
        <v>38</v>
      </c>
      <c r="BH49" s="61"/>
      <c r="BI49" s="58"/>
      <c r="BJ49" s="59"/>
      <c r="BK49" s="60" t="s">
        <v>45</v>
      </c>
      <c r="BL49" s="59">
        <f>SUM(BL47:BL48)</f>
        <v>38</v>
      </c>
      <c r="BM49" s="61"/>
      <c r="BN49" s="58"/>
      <c r="BO49" s="59"/>
      <c r="BP49" s="60" t="s">
        <v>45</v>
      </c>
      <c r="BQ49" s="59">
        <f>SUM(BQ47:BQ48)</f>
        <v>39</v>
      </c>
      <c r="BR49" s="61"/>
      <c r="BS49" s="58"/>
      <c r="BT49" s="59"/>
      <c r="BU49" s="60" t="s">
        <v>45</v>
      </c>
      <c r="BV49" s="59">
        <f>SUM(BV47:BV48)</f>
        <v>38</v>
      </c>
      <c r="BW49" s="61"/>
      <c r="BX49" s="58"/>
      <c r="BY49" s="59"/>
      <c r="BZ49" s="60" t="s">
        <v>45</v>
      </c>
      <c r="CA49" s="59">
        <f>SUM(CA47:CA48)</f>
        <v>33</v>
      </c>
      <c r="CB49" s="61"/>
      <c r="CC49" s="58"/>
      <c r="CD49" s="59"/>
      <c r="CE49" s="60" t="s">
        <v>45</v>
      </c>
      <c r="CF49" s="59">
        <f>SUM(CF47:CF48)</f>
        <v>32</v>
      </c>
      <c r="CG49" s="61"/>
      <c r="CH49" s="58"/>
      <c r="CI49" s="59"/>
      <c r="CJ49" s="60" t="s">
        <v>45</v>
      </c>
      <c r="CK49" s="59">
        <f>SUM(CK47:CK48)</f>
        <v>11</v>
      </c>
      <c r="CL49" s="61"/>
      <c r="CM49" s="58"/>
      <c r="CN49" s="59"/>
      <c r="CO49" s="60" t="s">
        <v>45</v>
      </c>
      <c r="CP49" s="59">
        <f>SUM(CP47:CP48)</f>
        <v>17</v>
      </c>
      <c r="CQ49" s="24">
        <f>SUM(D49:CP49)</f>
        <v>662</v>
      </c>
    </row>
    <row r="50" spans="1:105" ht="15.75" customHeight="1">
      <c r="C50" s="16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  <c r="BC50" s="119"/>
      <c r="BD50" s="119"/>
      <c r="BE50" s="119"/>
      <c r="BF50" s="119"/>
      <c r="BG50" s="119"/>
      <c r="BH50" s="119"/>
      <c r="BI50" s="119"/>
      <c r="BJ50" s="119"/>
      <c r="BK50" s="119"/>
      <c r="BL50" s="119"/>
      <c r="BM50" s="119"/>
      <c r="BN50" s="119"/>
      <c r="BO50" s="119"/>
      <c r="BP50" s="119"/>
      <c r="BQ50" s="119"/>
      <c r="BR50" s="119"/>
      <c r="BS50" s="119"/>
      <c r="BT50" s="119"/>
      <c r="BU50" s="119"/>
      <c r="BV50" s="119"/>
      <c r="BW50" s="119"/>
      <c r="BX50" s="119"/>
      <c r="BY50" s="119"/>
      <c r="BZ50" s="119"/>
      <c r="CA50" s="119"/>
      <c r="CB50" s="119"/>
      <c r="CC50" s="119"/>
      <c r="CD50" s="119"/>
      <c r="CE50" s="119"/>
      <c r="CF50" s="119"/>
      <c r="CG50" s="119"/>
      <c r="CH50" s="119"/>
      <c r="CI50" s="119"/>
      <c r="CJ50" s="119"/>
      <c r="CK50" s="119"/>
      <c r="CL50" s="119"/>
      <c r="CM50" s="119"/>
      <c r="CN50" s="119"/>
      <c r="CO50" s="119"/>
      <c r="CP50" s="119"/>
      <c r="CQ50" s="42"/>
      <c r="CR50" s="118"/>
      <c r="CS50" s="118"/>
      <c r="CT50" s="118"/>
      <c r="CU50" s="118"/>
      <c r="CV50" s="118"/>
      <c r="CW50" s="118"/>
      <c r="CX50" s="118"/>
      <c r="CY50" s="118"/>
      <c r="CZ50" s="118"/>
      <c r="DA50" s="118"/>
    </row>
    <row r="51" spans="1:105" s="62" customFormat="1" ht="15.75" customHeight="1">
      <c r="B51" s="63"/>
      <c r="C51" s="64"/>
      <c r="D51" s="64"/>
      <c r="E51" s="52"/>
      <c r="F51" s="63"/>
      <c r="G51" s="63"/>
      <c r="H51" s="64"/>
      <c r="I51" s="64"/>
      <c r="J51" s="52"/>
      <c r="O51" s="63"/>
      <c r="P51" s="42"/>
      <c r="U51" s="56"/>
      <c r="V51" s="118"/>
      <c r="X51" s="65"/>
      <c r="Y51" s="64"/>
      <c r="Z51" s="52"/>
      <c r="AA51" s="63"/>
      <c r="AB51" s="63"/>
      <c r="AC51" s="63"/>
      <c r="AD51" s="63"/>
      <c r="AE51" s="52"/>
      <c r="AF51" s="63"/>
      <c r="AH51" s="65"/>
      <c r="AO51" s="63"/>
      <c r="AP51" s="63"/>
      <c r="AQ51" s="63"/>
      <c r="AR51" s="63"/>
      <c r="AS51" s="63"/>
      <c r="AT51" s="63"/>
      <c r="AU51" s="63"/>
      <c r="AV51" s="63"/>
      <c r="AW51" s="63"/>
      <c r="AX51" s="46"/>
      <c r="AY51" s="22"/>
      <c r="AZ51" s="46"/>
      <c r="BA51" s="22"/>
      <c r="BB51" s="22"/>
      <c r="BC51" s="56"/>
      <c r="BD51" s="22"/>
      <c r="BI51" s="63"/>
      <c r="BJ51" s="46"/>
      <c r="BK51" s="22"/>
      <c r="BL51" s="22"/>
      <c r="BM51" s="15"/>
      <c r="BN51" s="63"/>
      <c r="BO51" s="63"/>
      <c r="BP51" s="63"/>
      <c r="BQ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</row>
    <row r="52" spans="1:105" s="66" customFormat="1" ht="15.75" customHeight="1">
      <c r="B52" s="67"/>
      <c r="C52" s="67"/>
      <c r="D52" s="37"/>
      <c r="E52" s="37"/>
      <c r="F52" s="40"/>
      <c r="G52" s="39"/>
      <c r="H52" s="37"/>
      <c r="I52" s="37"/>
      <c r="J52" s="37"/>
      <c r="O52" s="67"/>
      <c r="P52" s="42"/>
      <c r="Q52" s="70"/>
      <c r="R52" s="126"/>
      <c r="S52" s="22"/>
      <c r="T52" s="15"/>
      <c r="U52" s="56"/>
      <c r="V52" s="67"/>
      <c r="Y52" s="67"/>
      <c r="Z52" s="23"/>
      <c r="AA52" s="46"/>
      <c r="AB52" s="22"/>
      <c r="AC52" s="22"/>
      <c r="AD52" s="56"/>
      <c r="AE52" s="67"/>
      <c r="AF52" s="67"/>
      <c r="AG52" s="67"/>
      <c r="AH52" s="67"/>
      <c r="AI52" s="23"/>
      <c r="AO52" s="67"/>
      <c r="AP52" s="68"/>
      <c r="AQ52" s="69"/>
      <c r="AR52" s="70"/>
      <c r="AS52" s="68"/>
      <c r="AT52" s="68"/>
      <c r="AU52" s="68"/>
      <c r="AV52" s="68"/>
      <c r="AW52" s="68"/>
      <c r="AX52" s="23"/>
      <c r="AY52" s="46"/>
      <c r="AZ52" s="46"/>
      <c r="BA52" s="22"/>
      <c r="BB52" s="22"/>
      <c r="BC52" s="56"/>
      <c r="BD52" s="67"/>
      <c r="BI52" s="22"/>
      <c r="BJ52" s="15"/>
      <c r="BK52" s="22"/>
      <c r="BL52" s="22"/>
      <c r="BM52" s="15"/>
      <c r="BN52" s="67"/>
      <c r="BO52" s="23"/>
      <c r="BP52" s="67"/>
      <c r="BQ52" s="67"/>
      <c r="BW52" s="67"/>
      <c r="BX52" s="67"/>
      <c r="BY52" s="68"/>
      <c r="BZ52" s="69"/>
      <c r="CA52" s="70"/>
      <c r="CB52" s="68"/>
      <c r="CC52" s="68"/>
      <c r="CD52" s="68"/>
      <c r="CE52" s="68"/>
      <c r="CF52" s="68"/>
      <c r="CG52" s="68"/>
      <c r="CH52" s="68"/>
      <c r="CI52" s="68"/>
      <c r="CJ52" s="67"/>
      <c r="CM52" s="67"/>
      <c r="CN52" s="68"/>
      <c r="CO52" s="68"/>
      <c r="CP52" s="70"/>
      <c r="CQ52" s="68"/>
      <c r="CR52" s="68"/>
      <c r="CS52" s="68"/>
      <c r="CT52" s="68"/>
      <c r="CU52" s="68"/>
      <c r="CV52" s="68"/>
      <c r="CW52" s="68"/>
      <c r="CX52" s="68"/>
      <c r="CY52" s="67"/>
      <c r="CZ52" s="67"/>
      <c r="DA52" s="67"/>
    </row>
    <row r="53" spans="1:105" s="66" customFormat="1" ht="15.75" customHeight="1">
      <c r="B53" s="67"/>
      <c r="C53" s="37"/>
      <c r="D53" s="45"/>
      <c r="E53" s="40"/>
      <c r="F53" s="39"/>
      <c r="G53" s="37"/>
      <c r="H53" s="37"/>
      <c r="I53" s="37"/>
      <c r="J53" s="37"/>
      <c r="K53" s="37"/>
      <c r="L53" s="46"/>
      <c r="M53" s="22"/>
      <c r="N53" s="22"/>
      <c r="O53" s="56"/>
      <c r="P53" s="42"/>
      <c r="Q53" s="47"/>
      <c r="R53" s="22"/>
      <c r="S53" s="22"/>
      <c r="T53" s="15"/>
      <c r="U53" s="56"/>
      <c r="V53" s="118"/>
      <c r="W53" s="68"/>
      <c r="X53" s="69"/>
      <c r="Y53" s="70"/>
      <c r="Z53" s="68"/>
      <c r="AA53" s="46"/>
      <c r="AB53" s="22"/>
      <c r="AC53" s="22"/>
      <c r="AD53" s="56"/>
      <c r="AE53" s="68"/>
      <c r="AF53" s="68"/>
      <c r="AG53" s="68"/>
      <c r="AH53" s="67"/>
      <c r="AI53" s="23"/>
      <c r="AO53" s="67"/>
      <c r="AP53" s="68"/>
      <c r="AQ53" s="69"/>
      <c r="AR53" s="70"/>
      <c r="AS53" s="68"/>
      <c r="AT53" s="68"/>
      <c r="AU53" s="68"/>
      <c r="AV53" s="68"/>
      <c r="AW53" s="68"/>
      <c r="AX53" s="68"/>
      <c r="AY53" s="68"/>
      <c r="AZ53" s="47"/>
      <c r="BA53" s="22"/>
      <c r="BB53" s="22"/>
      <c r="BC53" s="56"/>
      <c r="BD53" s="67"/>
      <c r="BI53" s="67"/>
      <c r="BJ53" s="46"/>
      <c r="BK53" s="22"/>
      <c r="BL53" s="22"/>
      <c r="BM53" s="15"/>
      <c r="BN53" s="67"/>
      <c r="BO53" s="67"/>
      <c r="BP53" s="67"/>
      <c r="BQ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</row>
    <row r="54" spans="1:105" s="66" customFormat="1" ht="15.75" customHeight="1">
      <c r="B54" s="67"/>
      <c r="C54" s="68"/>
      <c r="D54" s="69"/>
      <c r="E54" s="70"/>
      <c r="F54" s="68"/>
      <c r="G54" s="68"/>
      <c r="H54" s="68"/>
      <c r="I54" s="68"/>
      <c r="J54" s="68"/>
      <c r="K54" s="68"/>
      <c r="L54" s="47"/>
      <c r="M54" s="22"/>
      <c r="N54" s="22"/>
      <c r="O54" s="56"/>
      <c r="P54" s="42"/>
      <c r="Q54" s="47"/>
      <c r="R54" s="22"/>
      <c r="S54" s="22"/>
      <c r="T54" s="56"/>
      <c r="U54" s="56"/>
      <c r="V54" s="118"/>
      <c r="W54" s="68"/>
      <c r="X54" s="69"/>
      <c r="Y54" s="127"/>
      <c r="Z54" s="112"/>
      <c r="AA54" s="112"/>
      <c r="AB54" s="22"/>
      <c r="AC54" s="22"/>
      <c r="AD54" s="56"/>
      <c r="AE54" s="68"/>
      <c r="AF54" s="68"/>
      <c r="AG54" s="68"/>
      <c r="AH54" s="67"/>
      <c r="AI54" s="23"/>
      <c r="AN54" s="67"/>
      <c r="AO54" s="67"/>
      <c r="AP54" s="68"/>
      <c r="AQ54" s="69"/>
      <c r="AR54" s="70"/>
      <c r="AS54" s="68"/>
      <c r="AT54" s="23"/>
      <c r="AU54" s="48"/>
      <c r="AV54" s="46"/>
      <c r="AW54" s="22"/>
      <c r="AX54" s="22"/>
      <c r="AY54" s="56"/>
      <c r="AZ54" s="47"/>
      <c r="BA54" s="22"/>
      <c r="BB54" s="22"/>
      <c r="BC54" s="56"/>
      <c r="BD54" s="67"/>
      <c r="BE54" s="67"/>
      <c r="BF54" s="68"/>
      <c r="BG54" s="46"/>
      <c r="BH54" s="22"/>
      <c r="BI54" s="22"/>
      <c r="BJ54" s="15"/>
      <c r="BK54" s="68"/>
      <c r="BL54" s="68"/>
      <c r="BM54" s="68"/>
      <c r="BN54" s="68"/>
      <c r="BO54" s="68"/>
      <c r="BP54" s="68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</row>
    <row r="55" spans="1:105" s="66" customFormat="1" ht="15.75" customHeight="1">
      <c r="B55" s="67"/>
      <c r="C55" s="68"/>
      <c r="D55" s="69"/>
      <c r="E55" s="70"/>
      <c r="F55" s="68"/>
      <c r="G55" s="68"/>
      <c r="H55" s="68"/>
      <c r="I55" s="68"/>
      <c r="J55" s="68"/>
      <c r="K55" s="68"/>
      <c r="L55" s="47"/>
      <c r="M55" s="22"/>
      <c r="N55" s="22"/>
      <c r="O55" s="56"/>
      <c r="P55" s="42"/>
      <c r="Q55" s="46"/>
      <c r="R55" s="22"/>
      <c r="S55" s="22"/>
      <c r="T55" s="56"/>
      <c r="U55" s="56"/>
      <c r="V55" s="118"/>
      <c r="W55" s="68"/>
      <c r="X55" s="69"/>
      <c r="Y55" s="70"/>
      <c r="Z55" s="68"/>
      <c r="AA55" s="46"/>
      <c r="AB55" s="22"/>
      <c r="AC55" s="22"/>
      <c r="AD55" s="56"/>
      <c r="AE55" s="68"/>
      <c r="AF55" s="68"/>
      <c r="AG55" s="68"/>
      <c r="AH55" s="67"/>
      <c r="AI55" s="23"/>
      <c r="AN55" s="67"/>
      <c r="AO55" s="67"/>
      <c r="AP55" s="68"/>
      <c r="AQ55" s="69"/>
      <c r="AR55" s="70"/>
      <c r="AS55" s="68"/>
      <c r="AT55" s="68"/>
      <c r="AU55" s="68"/>
      <c r="AV55" s="68"/>
      <c r="AW55" s="68"/>
      <c r="AX55" s="68"/>
      <c r="AY55" s="68"/>
      <c r="AZ55" s="46"/>
      <c r="BA55" s="22"/>
      <c r="BB55" s="22"/>
      <c r="BC55" s="56"/>
      <c r="BD55" s="67"/>
      <c r="BE55" s="67"/>
      <c r="BF55" s="68"/>
      <c r="BG55" s="69"/>
      <c r="BH55" s="70"/>
      <c r="BI55" s="68"/>
      <c r="BJ55" s="68"/>
      <c r="BK55" s="68"/>
      <c r="BL55" s="68"/>
      <c r="BM55" s="68"/>
      <c r="BN55" s="68"/>
      <c r="BO55" s="68"/>
      <c r="BP55" s="68"/>
      <c r="BQ55" s="67"/>
      <c r="BR55" s="67"/>
      <c r="BS55" s="68"/>
      <c r="BT55" s="69"/>
      <c r="BU55" s="70"/>
      <c r="BV55" s="68"/>
      <c r="BW55" s="68"/>
      <c r="BX55" s="68"/>
      <c r="BY55" s="68"/>
      <c r="BZ55" s="68"/>
      <c r="CA55" s="68"/>
      <c r="CB55" s="68"/>
      <c r="CC55" s="68"/>
      <c r="CD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</row>
    <row r="56" spans="1:105" s="66" customFormat="1" ht="15.75" customHeight="1">
      <c r="B56" s="67"/>
      <c r="C56" s="68"/>
      <c r="D56" s="69"/>
      <c r="E56" s="70"/>
      <c r="F56" s="68"/>
      <c r="G56" s="68"/>
      <c r="H56" s="68"/>
      <c r="I56" s="68"/>
      <c r="J56" s="68"/>
      <c r="K56" s="68"/>
      <c r="L56" s="46"/>
      <c r="M56" s="22"/>
      <c r="N56" s="22"/>
      <c r="O56" s="56"/>
      <c r="P56" s="42"/>
      <c r="Q56" s="46"/>
      <c r="R56" s="22"/>
      <c r="S56" s="22"/>
      <c r="T56" s="56"/>
      <c r="U56" s="56"/>
      <c r="V56" s="118"/>
      <c r="W56" s="68"/>
      <c r="X56" s="69"/>
      <c r="Y56" s="70"/>
      <c r="Z56" s="68"/>
      <c r="AA56" s="47"/>
      <c r="AB56" s="22"/>
      <c r="AC56" s="22"/>
      <c r="AD56" s="15"/>
      <c r="AE56" s="68"/>
      <c r="AF56" s="68"/>
      <c r="AG56" s="68"/>
      <c r="AH56" s="67"/>
      <c r="AI56" s="23"/>
      <c r="AN56" s="67"/>
      <c r="AO56" s="67"/>
      <c r="AP56" s="68"/>
      <c r="AQ56" s="68"/>
      <c r="AR56" s="70"/>
      <c r="AS56" s="68"/>
      <c r="AT56" s="23"/>
      <c r="AU56" s="46"/>
      <c r="AV56" s="22"/>
      <c r="AW56" s="22"/>
      <c r="AX56" s="15"/>
      <c r="AY56" s="68"/>
      <c r="AZ56" s="46"/>
      <c r="BA56" s="22"/>
      <c r="BB56" s="22"/>
      <c r="BC56" s="56"/>
      <c r="BD56" s="67"/>
      <c r="BE56" s="67"/>
      <c r="BF56" s="68"/>
      <c r="BG56" s="69"/>
      <c r="BH56" s="70"/>
      <c r="BI56" s="68"/>
      <c r="BJ56" s="68"/>
      <c r="BK56" s="68"/>
      <c r="BL56" s="68"/>
      <c r="BM56" s="68"/>
      <c r="BN56" s="68"/>
      <c r="BO56" s="68"/>
      <c r="BP56" s="68"/>
      <c r="BQ56" s="67"/>
      <c r="BR56" s="67"/>
      <c r="BS56" s="68"/>
      <c r="BT56" s="69"/>
      <c r="BU56" s="70"/>
      <c r="BV56" s="68"/>
      <c r="BW56" s="68"/>
      <c r="BX56" s="68"/>
      <c r="BY56" s="68"/>
      <c r="BZ56" s="68"/>
      <c r="CA56" s="68"/>
      <c r="CB56" s="68"/>
      <c r="CC56" s="68"/>
      <c r="CD56" s="67"/>
      <c r="CM56" s="67"/>
      <c r="CN56" s="67"/>
      <c r="CO56" s="67"/>
      <c r="CP56" s="67"/>
      <c r="CQ56" s="67"/>
      <c r="CR56" s="67"/>
      <c r="CS56" s="67"/>
      <c r="CT56" s="67"/>
      <c r="CU56" s="67"/>
      <c r="CV56" s="67"/>
      <c r="CW56" s="67"/>
      <c r="CX56" s="67"/>
      <c r="CY56" s="67"/>
      <c r="CZ56" s="67"/>
      <c r="DA56" s="67"/>
    </row>
    <row r="57" spans="1:105" s="66" customFormat="1" ht="15.75" customHeight="1">
      <c r="B57" s="67"/>
      <c r="C57" s="68"/>
      <c r="D57" s="69"/>
      <c r="E57" s="70"/>
      <c r="F57" s="68"/>
      <c r="G57" s="68"/>
      <c r="H57" s="68"/>
      <c r="I57" s="68"/>
      <c r="J57" s="68"/>
      <c r="K57" s="68"/>
      <c r="L57" s="46"/>
      <c r="M57" s="22"/>
      <c r="N57" s="22"/>
      <c r="O57" s="56"/>
      <c r="P57" s="42"/>
      <c r="Q57" s="46"/>
      <c r="R57" s="22"/>
      <c r="S57" s="22"/>
      <c r="T57" s="56"/>
      <c r="U57" s="15"/>
      <c r="V57" s="118"/>
      <c r="W57" s="68"/>
      <c r="X57" s="69"/>
      <c r="Y57" s="70"/>
      <c r="Z57" s="68"/>
      <c r="AA57" s="46"/>
      <c r="AB57" s="22"/>
      <c r="AC57" s="22"/>
      <c r="AD57" s="56"/>
      <c r="AE57" s="68"/>
      <c r="AF57" s="68"/>
      <c r="AG57" s="68"/>
      <c r="AH57" s="67"/>
      <c r="AI57" s="23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47"/>
      <c r="BA57" s="22"/>
      <c r="BB57" s="22"/>
      <c r="BC57" s="56"/>
      <c r="BD57" s="67"/>
      <c r="BE57" s="67"/>
      <c r="BF57" s="68"/>
      <c r="BG57" s="69"/>
      <c r="BH57" s="70"/>
      <c r="BI57" s="68"/>
      <c r="BJ57" s="68"/>
      <c r="BK57" s="68"/>
      <c r="BL57" s="68"/>
      <c r="BM57" s="68"/>
      <c r="BN57" s="68"/>
      <c r="BO57" s="68"/>
      <c r="BP57" s="68"/>
      <c r="BQ57" s="67"/>
      <c r="BR57" s="67"/>
      <c r="BS57" s="68"/>
      <c r="BT57" s="69"/>
      <c r="BU57" s="70"/>
      <c r="BV57" s="68"/>
      <c r="BW57" s="68"/>
      <c r="BX57" s="68"/>
      <c r="BY57" s="68"/>
      <c r="BZ57" s="68"/>
      <c r="CA57" s="68"/>
      <c r="CB57" s="68"/>
      <c r="CC57" s="68"/>
      <c r="CD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</row>
    <row r="58" spans="1:105" s="66" customFormat="1" ht="15.75" customHeight="1">
      <c r="B58" s="67"/>
      <c r="C58" s="68"/>
      <c r="D58" s="69"/>
      <c r="E58" s="70"/>
      <c r="F58" s="68"/>
      <c r="G58" s="68"/>
      <c r="H58" s="68"/>
      <c r="I58" s="68"/>
      <c r="J58" s="68"/>
      <c r="K58" s="68"/>
      <c r="L58" s="46"/>
      <c r="M58" s="22"/>
      <c r="N58" s="22"/>
      <c r="O58" s="56"/>
      <c r="P58" s="42"/>
      <c r="Q58" s="47"/>
      <c r="R58" s="22"/>
      <c r="S58" s="22"/>
      <c r="T58" s="56"/>
      <c r="U58" s="15"/>
      <c r="V58" s="118"/>
      <c r="W58" s="68"/>
      <c r="X58" s="69"/>
      <c r="Y58" s="70"/>
      <c r="Z58" s="68"/>
      <c r="AA58" s="68"/>
      <c r="AB58" s="68"/>
      <c r="AC58" s="68"/>
      <c r="AD58" s="68"/>
      <c r="AE58" s="68"/>
      <c r="AF58" s="68"/>
      <c r="AG58" s="68"/>
      <c r="AH58" s="67"/>
      <c r="AI58" s="23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47"/>
      <c r="BA58" s="22"/>
      <c r="BB58" s="22"/>
      <c r="BC58" s="56"/>
      <c r="BD58" s="67"/>
      <c r="BE58" s="67"/>
      <c r="BF58" s="68"/>
      <c r="BG58" s="69"/>
      <c r="BH58" s="70"/>
      <c r="BI58" s="68"/>
      <c r="BJ58" s="68"/>
      <c r="BK58" s="68"/>
      <c r="BL58" s="68"/>
      <c r="BM58" s="68"/>
      <c r="BN58" s="68"/>
      <c r="BO58" s="68"/>
      <c r="BP58" s="68"/>
      <c r="BQ58" s="67"/>
      <c r="BR58" s="67"/>
      <c r="BS58" s="68"/>
      <c r="BT58" s="69"/>
      <c r="BU58" s="70"/>
      <c r="BV58" s="68"/>
      <c r="BW58" s="68"/>
      <c r="BX58" s="68"/>
      <c r="BY58" s="68"/>
      <c r="BZ58" s="68"/>
      <c r="CA58" s="68"/>
      <c r="CB58" s="68"/>
      <c r="CC58" s="68"/>
      <c r="CD58" s="67"/>
    </row>
    <row r="59" spans="1:105" s="66" customFormat="1" ht="15.75" customHeight="1">
      <c r="B59" s="67"/>
      <c r="C59" s="68"/>
      <c r="D59" s="69"/>
      <c r="E59" s="70"/>
      <c r="F59" s="68"/>
      <c r="G59" s="68"/>
      <c r="H59" s="68"/>
      <c r="I59" s="68"/>
      <c r="J59" s="68"/>
      <c r="K59" s="68"/>
      <c r="L59" s="47"/>
      <c r="M59" s="22"/>
      <c r="N59" s="22"/>
      <c r="O59" s="56"/>
      <c r="P59" s="42"/>
      <c r="Q59" s="47"/>
      <c r="R59" s="22"/>
      <c r="S59" s="22"/>
      <c r="T59" s="56"/>
      <c r="U59" s="15"/>
      <c r="V59" s="118"/>
      <c r="W59" s="68"/>
      <c r="X59" s="69"/>
      <c r="Y59" s="70"/>
      <c r="Z59" s="68"/>
      <c r="AA59" s="68"/>
      <c r="AB59" s="68"/>
      <c r="AC59" s="68"/>
      <c r="AD59" s="68"/>
      <c r="AE59" s="68"/>
      <c r="AF59" s="68"/>
      <c r="AG59" s="68"/>
      <c r="AH59" s="67"/>
      <c r="AI59" s="23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46"/>
      <c r="BA59" s="22"/>
      <c r="BB59" s="22"/>
      <c r="BC59" s="56"/>
      <c r="BD59" s="67"/>
      <c r="BE59" s="67"/>
      <c r="BF59" s="68"/>
      <c r="BG59" s="69"/>
      <c r="BH59" s="70"/>
      <c r="BI59" s="68"/>
      <c r="BJ59" s="68"/>
      <c r="BK59" s="68"/>
      <c r="BL59" s="68"/>
      <c r="BM59" s="68"/>
      <c r="BN59" s="68"/>
      <c r="BO59" s="68"/>
      <c r="BP59" s="68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</row>
    <row r="60" spans="1:105" s="66" customFormat="1" ht="15.75" customHeight="1">
      <c r="B60" s="67"/>
      <c r="C60" s="68"/>
      <c r="D60" s="68"/>
      <c r="E60" s="70"/>
      <c r="F60" s="68"/>
      <c r="G60" s="68"/>
      <c r="H60" s="68"/>
      <c r="I60" s="68"/>
      <c r="J60" s="68"/>
      <c r="K60" s="68"/>
      <c r="L60" s="47"/>
      <c r="M60" s="22"/>
      <c r="N60" s="22"/>
      <c r="O60" s="56"/>
      <c r="P60" s="42"/>
      <c r="Q60" s="46"/>
      <c r="R60" s="22"/>
      <c r="S60" s="22"/>
      <c r="T60" s="56"/>
      <c r="U60" s="15"/>
      <c r="V60" s="118"/>
      <c r="W60" s="68"/>
      <c r="X60" s="69"/>
      <c r="Y60" s="70"/>
      <c r="Z60" s="68"/>
      <c r="AA60" s="68"/>
      <c r="AB60" s="68"/>
      <c r="AC60" s="68"/>
      <c r="AD60" s="68"/>
      <c r="AE60" s="68"/>
      <c r="AF60" s="68"/>
      <c r="AG60" s="68"/>
      <c r="AH60" s="67"/>
      <c r="AI60" s="23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46"/>
      <c r="BA60" s="22"/>
      <c r="BB60" s="22"/>
      <c r="BC60" s="56"/>
      <c r="BD60" s="67"/>
      <c r="BE60" s="67"/>
      <c r="BF60" s="68"/>
      <c r="BG60" s="69"/>
      <c r="BH60" s="70"/>
      <c r="BI60" s="68"/>
      <c r="BJ60" s="68"/>
      <c r="BK60" s="68"/>
      <c r="BL60" s="68"/>
      <c r="BM60" s="68"/>
      <c r="BN60" s="68"/>
      <c r="BO60" s="68"/>
      <c r="BP60" s="68"/>
      <c r="BQ60" s="67"/>
    </row>
    <row r="61" spans="1:105" s="66" customFormat="1" ht="15.75" customHeight="1">
      <c r="B61" s="67"/>
      <c r="C61" s="68"/>
      <c r="D61" s="68"/>
      <c r="E61" s="70"/>
      <c r="F61" s="68"/>
      <c r="G61" s="68"/>
      <c r="H61" s="68"/>
      <c r="I61" s="68"/>
      <c r="J61" s="68"/>
      <c r="K61" s="68"/>
      <c r="L61" s="46"/>
      <c r="M61" s="22"/>
      <c r="N61" s="22"/>
      <c r="O61" s="56"/>
      <c r="P61" s="42"/>
      <c r="Q61" s="46"/>
      <c r="R61" s="22"/>
      <c r="S61" s="22"/>
      <c r="T61" s="56"/>
      <c r="U61" s="49"/>
      <c r="V61" s="118"/>
      <c r="W61" s="67"/>
      <c r="X61" s="67"/>
      <c r="Y61" s="67"/>
      <c r="Z61" s="23"/>
      <c r="AA61" s="67"/>
      <c r="AB61" s="67"/>
      <c r="AC61" s="67"/>
      <c r="AD61" s="67"/>
      <c r="AE61" s="67"/>
      <c r="AF61" s="67"/>
      <c r="AG61" s="67"/>
      <c r="AH61" s="67"/>
      <c r="AI61" s="23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46"/>
      <c r="BA61" s="22"/>
      <c r="BB61" s="22"/>
      <c r="BC61" s="56"/>
      <c r="BD61" s="67"/>
      <c r="BE61" s="67"/>
      <c r="BF61" s="68"/>
      <c r="BG61" s="69"/>
      <c r="BH61" s="70"/>
      <c r="BI61" s="68"/>
      <c r="BJ61" s="68"/>
      <c r="BK61" s="68"/>
      <c r="BL61" s="68"/>
      <c r="BM61" s="68"/>
      <c r="BN61" s="68"/>
      <c r="BO61" s="68"/>
      <c r="BP61" s="68"/>
      <c r="BQ61" s="67"/>
    </row>
    <row r="62" spans="1:105" s="66" customFormat="1" ht="15.75" customHeight="1">
      <c r="B62" s="67"/>
      <c r="C62" s="67"/>
      <c r="D62" s="67"/>
      <c r="E62" s="23"/>
      <c r="F62" s="67"/>
      <c r="G62" s="67"/>
      <c r="H62" s="67"/>
      <c r="I62" s="67"/>
      <c r="J62" s="23"/>
      <c r="K62" s="67"/>
      <c r="L62" s="46"/>
      <c r="M62" s="22"/>
      <c r="N62" s="22"/>
      <c r="O62" s="56"/>
      <c r="P62" s="42"/>
      <c r="Q62" s="46"/>
      <c r="R62" s="22"/>
      <c r="S62" s="22"/>
      <c r="T62" s="56"/>
      <c r="U62" s="49"/>
      <c r="V62" s="118"/>
      <c r="W62" s="67"/>
      <c r="X62" s="67"/>
      <c r="Y62" s="67"/>
      <c r="Z62" s="23"/>
      <c r="AA62" s="67"/>
      <c r="AB62" s="67"/>
      <c r="AC62" s="67"/>
      <c r="AD62" s="67"/>
      <c r="AE62" s="67"/>
      <c r="AF62" s="67"/>
      <c r="AG62" s="67"/>
      <c r="AH62" s="67"/>
      <c r="AI62" s="23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47"/>
      <c r="BA62" s="22"/>
      <c r="BB62" s="22"/>
      <c r="BC62" s="56"/>
      <c r="BD62" s="67"/>
      <c r="BE62" s="67"/>
      <c r="BF62" s="68"/>
      <c r="BG62" s="69"/>
      <c r="BH62" s="70"/>
      <c r="BI62" s="68"/>
      <c r="BJ62" s="68"/>
      <c r="BK62" s="68"/>
      <c r="BL62" s="68"/>
      <c r="BM62" s="68"/>
      <c r="BN62" s="68"/>
      <c r="BO62" s="68"/>
      <c r="BP62" s="68"/>
      <c r="BQ62" s="67"/>
    </row>
    <row r="63" spans="1:105" s="66" customFormat="1" ht="15.75" customHeight="1">
      <c r="E63" s="71"/>
      <c r="J63" s="23"/>
      <c r="K63" s="67"/>
      <c r="L63" s="46"/>
      <c r="M63" s="22"/>
      <c r="N63" s="22"/>
      <c r="O63" s="56"/>
      <c r="P63" s="42"/>
      <c r="Q63" s="46"/>
      <c r="R63" s="22"/>
      <c r="S63" s="22"/>
      <c r="T63" s="56"/>
      <c r="U63" s="49"/>
      <c r="V63" s="118"/>
      <c r="W63" s="67"/>
      <c r="X63" s="67"/>
      <c r="Y63" s="23"/>
      <c r="Z63" s="67"/>
      <c r="AA63" s="67"/>
      <c r="AB63" s="67"/>
      <c r="AC63" s="67"/>
      <c r="AD63" s="23"/>
      <c r="AE63" s="67"/>
      <c r="AF63" s="67"/>
      <c r="AG63" s="67"/>
      <c r="AH63" s="67"/>
      <c r="AI63" s="23"/>
      <c r="AZ63" s="47"/>
      <c r="BA63" s="22"/>
      <c r="BB63" s="22"/>
      <c r="BC63" s="56"/>
      <c r="BD63" s="67"/>
      <c r="BE63" s="67"/>
      <c r="BF63" s="68"/>
      <c r="BG63" s="68"/>
      <c r="BH63" s="70"/>
      <c r="BI63" s="68"/>
      <c r="BJ63" s="68"/>
      <c r="BK63" s="68"/>
      <c r="BL63" s="68"/>
      <c r="BM63" s="68"/>
      <c r="BN63" s="68"/>
      <c r="BO63" s="68"/>
      <c r="BP63" s="68"/>
      <c r="BQ63" s="67"/>
    </row>
    <row r="64" spans="1:105" s="66" customFormat="1" ht="15.75" customHeight="1">
      <c r="E64" s="71"/>
      <c r="J64" s="23"/>
      <c r="K64" s="67"/>
      <c r="L64" s="47"/>
      <c r="M64" s="22"/>
      <c r="N64" s="22"/>
      <c r="O64" s="56"/>
      <c r="P64" s="23"/>
      <c r="Q64" s="47"/>
      <c r="R64" s="22"/>
      <c r="S64" s="22"/>
      <c r="T64" s="56"/>
      <c r="U64" s="67"/>
      <c r="V64" s="67"/>
      <c r="W64" s="67"/>
      <c r="Y64" s="71"/>
      <c r="AD64" s="71"/>
      <c r="AZ64" s="46"/>
      <c r="BA64" s="22"/>
      <c r="BB64" s="22"/>
      <c r="BC64" s="56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</row>
    <row r="65" spans="2:95" s="66" customFormat="1" ht="15.75" customHeight="1">
      <c r="E65" s="71"/>
      <c r="J65" s="23"/>
      <c r="K65" s="67"/>
      <c r="L65" s="47"/>
      <c r="M65" s="22"/>
      <c r="N65" s="22"/>
      <c r="O65" s="56"/>
      <c r="P65" s="23"/>
      <c r="Q65" s="46"/>
      <c r="R65" s="22"/>
      <c r="S65" s="22"/>
      <c r="T65" s="56"/>
      <c r="U65" s="67"/>
      <c r="V65" s="67"/>
      <c r="W65" s="67"/>
      <c r="Y65" s="71"/>
      <c r="AD65" s="71"/>
      <c r="AZ65" s="46"/>
      <c r="BA65" s="22"/>
      <c r="BB65" s="22"/>
      <c r="BC65" s="56"/>
      <c r="BD65" s="67"/>
      <c r="BE65" s="67"/>
      <c r="BF65" s="67"/>
      <c r="BG65" s="67"/>
      <c r="BH65" s="23"/>
      <c r="BI65" s="67"/>
      <c r="BJ65" s="67"/>
      <c r="BK65" s="67"/>
      <c r="BL65" s="67"/>
      <c r="BM65" s="23"/>
      <c r="BN65" s="67"/>
      <c r="BO65" s="67"/>
      <c r="BP65" s="67"/>
      <c r="BQ65" s="67"/>
    </row>
    <row r="66" spans="2:95" s="66" customFormat="1" ht="15.75" customHeight="1">
      <c r="E66" s="71"/>
      <c r="J66" s="23"/>
      <c r="K66" s="67"/>
      <c r="L66" s="46"/>
      <c r="M66" s="22"/>
      <c r="N66" s="22"/>
      <c r="O66" s="56"/>
      <c r="P66" s="23"/>
      <c r="Q66" s="70"/>
      <c r="R66" s="126"/>
      <c r="S66" s="22"/>
      <c r="T66" s="15"/>
      <c r="U66" s="67"/>
      <c r="V66" s="67"/>
      <c r="W66" s="67"/>
      <c r="Y66" s="71"/>
      <c r="AD66" s="71"/>
      <c r="AZ66" s="46"/>
      <c r="BA66" s="22"/>
      <c r="BB66" s="22"/>
      <c r="BC66" s="56"/>
      <c r="BD66" s="67"/>
      <c r="BH66" s="71"/>
      <c r="BM66" s="71"/>
    </row>
    <row r="67" spans="2:95" s="66" customFormat="1" ht="15.75" customHeight="1">
      <c r="E67" s="71"/>
      <c r="J67" s="23"/>
      <c r="K67" s="67"/>
      <c r="L67" s="46"/>
      <c r="M67" s="22"/>
      <c r="N67" s="22"/>
      <c r="O67" s="56"/>
      <c r="P67" s="23"/>
      <c r="Q67" s="70"/>
      <c r="R67" s="126"/>
      <c r="S67" s="22"/>
      <c r="T67" s="15"/>
      <c r="U67" s="67"/>
      <c r="V67" s="67"/>
      <c r="W67" s="67"/>
      <c r="Y67" s="71"/>
      <c r="AD67" s="71"/>
      <c r="AZ67" s="47"/>
      <c r="BA67" s="22"/>
      <c r="BB67" s="22"/>
      <c r="BC67" s="56"/>
      <c r="BD67" s="67"/>
      <c r="BH67" s="71"/>
      <c r="BM67" s="71"/>
    </row>
    <row r="68" spans="2:95" s="66" customFormat="1" ht="15.75" customHeight="1">
      <c r="E68" s="71"/>
      <c r="J68" s="23"/>
      <c r="K68" s="67"/>
      <c r="L68" s="46"/>
      <c r="M68" s="22"/>
      <c r="N68" s="22"/>
      <c r="O68" s="56"/>
      <c r="P68" s="23"/>
      <c r="Q68" s="47"/>
      <c r="R68" s="22"/>
      <c r="S68" s="22"/>
      <c r="T68" s="15"/>
      <c r="U68" s="67"/>
      <c r="V68" s="67"/>
      <c r="W68" s="67"/>
      <c r="Y68" s="71"/>
      <c r="AD68" s="71"/>
      <c r="AZ68" s="47"/>
      <c r="BA68" s="22"/>
      <c r="BB68" s="22"/>
      <c r="BC68" s="57"/>
      <c r="BD68" s="67"/>
    </row>
    <row r="69" spans="2:95" s="66" customFormat="1" ht="15.75" customHeight="1">
      <c r="E69" s="71"/>
      <c r="J69" s="23"/>
      <c r="K69" s="67"/>
      <c r="L69" s="46"/>
      <c r="M69" s="22"/>
      <c r="N69" s="22"/>
      <c r="O69" s="56"/>
      <c r="P69" s="23"/>
      <c r="Q69" s="46"/>
      <c r="R69" s="22"/>
      <c r="S69" s="22"/>
      <c r="T69" s="15"/>
      <c r="U69" s="67"/>
      <c r="V69" s="67"/>
      <c r="W69" s="67"/>
      <c r="Y69" s="71"/>
      <c r="AD69" s="71"/>
      <c r="AZ69" s="46"/>
      <c r="BA69" s="22"/>
      <c r="BB69" s="22"/>
      <c r="BC69" s="56"/>
      <c r="BD69" s="67"/>
    </row>
    <row r="70" spans="2:95" s="66" customFormat="1" ht="15.75" customHeight="1">
      <c r="E70" s="71"/>
      <c r="J70" s="23"/>
      <c r="K70" s="67"/>
      <c r="L70" s="47"/>
      <c r="M70" s="22"/>
      <c r="N70" s="22"/>
      <c r="O70" s="56"/>
      <c r="P70" s="23"/>
      <c r="Q70" s="46"/>
      <c r="R70" s="22"/>
      <c r="S70" s="22"/>
      <c r="T70" s="56"/>
      <c r="U70" s="67"/>
      <c r="V70" s="67"/>
      <c r="W70" s="67"/>
      <c r="Y70" s="71"/>
      <c r="AD70" s="71"/>
      <c r="AZ70" s="46"/>
      <c r="BA70" s="22"/>
      <c r="BB70" s="22"/>
      <c r="BC70" s="56"/>
      <c r="BD70" s="67"/>
    </row>
    <row r="71" spans="2:95" s="66" customFormat="1" ht="15.75" customHeight="1">
      <c r="E71" s="71"/>
      <c r="J71" s="23"/>
      <c r="K71" s="67"/>
      <c r="L71" s="46"/>
      <c r="M71" s="22"/>
      <c r="N71" s="22"/>
      <c r="O71" s="56"/>
      <c r="P71" s="23"/>
      <c r="Q71" s="47"/>
      <c r="R71" s="22"/>
      <c r="S71" s="22"/>
      <c r="T71" s="57"/>
      <c r="U71" s="67"/>
      <c r="V71" s="67"/>
      <c r="W71" s="67"/>
      <c r="Y71" s="71"/>
      <c r="AD71" s="71"/>
      <c r="AZ71" s="46"/>
      <c r="BA71" s="22"/>
      <c r="BB71" s="22"/>
      <c r="BC71" s="56"/>
      <c r="BD71" s="67"/>
    </row>
    <row r="72" spans="2:95" s="66" customFormat="1" ht="15.75" customHeight="1">
      <c r="E72" s="71"/>
      <c r="J72" s="23"/>
      <c r="K72" s="67"/>
      <c r="L72" s="72"/>
      <c r="M72" s="22"/>
      <c r="N72" s="22"/>
      <c r="O72" s="15"/>
      <c r="P72" s="23"/>
      <c r="Q72" s="47"/>
      <c r="R72" s="22"/>
      <c r="S72" s="22"/>
      <c r="T72" s="56"/>
      <c r="U72" s="67"/>
      <c r="V72" s="67"/>
      <c r="W72" s="67"/>
      <c r="Y72" s="71"/>
      <c r="AD72" s="71"/>
      <c r="AZ72" s="46"/>
      <c r="BA72" s="22"/>
      <c r="BB72" s="22"/>
      <c r="BC72" s="56"/>
      <c r="BD72" s="67"/>
    </row>
    <row r="73" spans="2:95" s="66" customFormat="1" ht="15.75" customHeight="1">
      <c r="E73" s="71"/>
      <c r="J73" s="23"/>
      <c r="K73" s="67"/>
      <c r="L73" s="72"/>
      <c r="M73" s="22"/>
      <c r="N73" s="22"/>
      <c r="O73" s="15"/>
      <c r="P73" s="23"/>
      <c r="Q73" s="46"/>
      <c r="R73" s="22"/>
      <c r="S73" s="22"/>
      <c r="T73" s="57"/>
      <c r="U73" s="67"/>
      <c r="V73" s="67"/>
      <c r="W73" s="67"/>
      <c r="Y73" s="71"/>
      <c r="AZ73" s="47"/>
      <c r="BA73" s="22"/>
      <c r="BB73" s="22"/>
      <c r="BC73" s="56"/>
      <c r="BD73" s="67"/>
    </row>
    <row r="74" spans="2:95" s="66" customFormat="1" ht="15.75" customHeight="1">
      <c r="E74" s="71"/>
      <c r="J74" s="23"/>
      <c r="K74" s="67"/>
      <c r="L74" s="72"/>
      <c r="M74" s="22"/>
      <c r="N74" s="22"/>
      <c r="O74" s="15"/>
      <c r="P74" s="23"/>
      <c r="Q74" s="46"/>
      <c r="R74" s="22"/>
      <c r="S74" s="22"/>
      <c r="T74" s="56"/>
      <c r="U74" s="67"/>
      <c r="V74" s="67"/>
      <c r="W74" s="67"/>
      <c r="Y74" s="71"/>
      <c r="AZ74" s="46"/>
      <c r="BA74" s="22"/>
      <c r="BB74" s="22"/>
      <c r="BC74" s="15"/>
      <c r="BD74" s="67"/>
    </row>
    <row r="75" spans="2:95" s="62" customFormat="1" ht="15.75" customHeight="1">
      <c r="C75" s="65"/>
      <c r="D75" s="65"/>
      <c r="E75" s="8"/>
      <c r="H75" s="65"/>
      <c r="I75" s="65"/>
      <c r="J75" s="52"/>
      <c r="K75" s="63"/>
      <c r="L75" s="63"/>
      <c r="M75" s="64"/>
      <c r="N75" s="64"/>
      <c r="O75" s="52"/>
      <c r="P75" s="23"/>
      <c r="Q75" s="47"/>
      <c r="R75" s="22"/>
      <c r="S75" s="22"/>
      <c r="T75" s="56"/>
      <c r="U75" s="63"/>
      <c r="V75" s="63"/>
      <c r="W75" s="64"/>
      <c r="X75" s="65"/>
      <c r="Y75" s="8"/>
      <c r="AZ75" s="63"/>
      <c r="BA75" s="63"/>
      <c r="BB75" s="63"/>
      <c r="BC75" s="63"/>
      <c r="BD75" s="63"/>
    </row>
    <row r="76" spans="2:95" s="62" customFormat="1" ht="15.75" customHeight="1">
      <c r="C76" s="65"/>
      <c r="D76" s="65"/>
      <c r="E76" s="8"/>
      <c r="H76" s="65"/>
      <c r="I76" s="65"/>
      <c r="J76" s="52"/>
      <c r="K76" s="63"/>
      <c r="L76" s="63"/>
      <c r="M76" s="64"/>
      <c r="N76" s="64"/>
      <c r="O76" s="52"/>
      <c r="P76" s="23"/>
      <c r="Q76" s="47"/>
      <c r="R76" s="22"/>
      <c r="S76" s="22"/>
      <c r="T76" s="56"/>
      <c r="U76" s="63"/>
      <c r="V76" s="63"/>
      <c r="W76" s="64"/>
      <c r="X76" s="65"/>
      <c r="Y76" s="8"/>
      <c r="AZ76" s="63"/>
      <c r="BA76" s="63"/>
      <c r="BB76" s="63"/>
      <c r="BC76" s="63"/>
      <c r="BD76" s="63"/>
    </row>
    <row r="77" spans="2:95" s="62" customFormat="1" ht="15.75" customHeight="1">
      <c r="B77" s="73"/>
      <c r="C77" s="65"/>
      <c r="D77" s="65"/>
      <c r="E77" s="8"/>
      <c r="G77" s="73"/>
      <c r="H77" s="65"/>
      <c r="I77" s="65"/>
      <c r="J77" s="52"/>
      <c r="K77" s="63"/>
      <c r="L77" s="63"/>
      <c r="M77" s="64"/>
      <c r="N77" s="64"/>
      <c r="O77" s="52"/>
      <c r="P77" s="23"/>
      <c r="Q77" s="46"/>
      <c r="R77" s="22"/>
      <c r="S77" s="22"/>
      <c r="T77" s="56"/>
      <c r="U77" s="63"/>
      <c r="V77" s="63"/>
      <c r="W77" s="64"/>
      <c r="X77" s="65"/>
      <c r="Y77" s="8"/>
      <c r="AB77" s="65"/>
      <c r="AC77" s="65"/>
      <c r="AD77" s="8"/>
      <c r="AG77" s="65"/>
      <c r="AH77" s="65"/>
      <c r="AI77" s="8"/>
      <c r="AL77" s="65"/>
      <c r="AM77" s="65"/>
      <c r="AN77" s="8"/>
      <c r="AQ77" s="65"/>
      <c r="AR77" s="65"/>
      <c r="AS77" s="8"/>
      <c r="AV77" s="65"/>
      <c r="AW77" s="65"/>
      <c r="AX77" s="8"/>
      <c r="AZ77" s="63"/>
      <c r="BA77" s="64"/>
      <c r="BB77" s="64"/>
      <c r="BC77" s="52"/>
      <c r="BD77" s="63"/>
      <c r="BF77" s="65"/>
      <c r="BG77" s="65"/>
      <c r="BH77" s="8"/>
      <c r="BK77" s="65"/>
      <c r="BL77" s="65"/>
      <c r="BM77" s="8"/>
      <c r="BP77" s="65"/>
      <c r="BQ77" s="65"/>
      <c r="BR77" s="8"/>
      <c r="BU77" s="65"/>
      <c r="BV77" s="65"/>
      <c r="BW77" s="8"/>
      <c r="BZ77" s="65"/>
      <c r="CA77" s="65"/>
      <c r="CB77" s="8"/>
      <c r="CE77" s="65"/>
      <c r="CF77" s="65"/>
      <c r="CG77" s="8"/>
      <c r="CJ77" s="65"/>
      <c r="CK77" s="65"/>
      <c r="CL77" s="8"/>
      <c r="CO77" s="65"/>
      <c r="CP77" s="65"/>
      <c r="CQ77" s="8"/>
    </row>
    <row r="78" spans="2:95" s="62" customFormat="1" ht="15.75" customHeight="1">
      <c r="B78" s="73"/>
      <c r="C78" s="65"/>
      <c r="D78" s="65"/>
      <c r="E78" s="8"/>
      <c r="G78" s="73"/>
      <c r="H78" s="65"/>
      <c r="I78" s="65"/>
      <c r="J78" s="52"/>
      <c r="K78" s="63"/>
      <c r="L78" s="63"/>
      <c r="M78" s="64"/>
      <c r="N78" s="64"/>
      <c r="O78" s="52"/>
      <c r="P78" s="23"/>
      <c r="Q78" s="46"/>
      <c r="R78" s="22"/>
      <c r="S78" s="22"/>
      <c r="T78" s="56"/>
      <c r="U78" s="63"/>
      <c r="V78" s="63"/>
      <c r="W78" s="64"/>
      <c r="X78" s="65"/>
      <c r="Y78" s="8"/>
      <c r="AB78" s="65"/>
      <c r="AC78" s="65"/>
      <c r="AD78" s="8"/>
      <c r="AG78" s="65"/>
      <c r="AH78" s="65"/>
      <c r="AI78" s="8"/>
      <c r="AL78" s="65"/>
      <c r="AM78" s="65"/>
      <c r="AN78" s="8"/>
      <c r="AQ78" s="65"/>
      <c r="AR78" s="65"/>
      <c r="AS78" s="8"/>
      <c r="AV78" s="65"/>
      <c r="AW78" s="65"/>
      <c r="AX78" s="8"/>
      <c r="AZ78" s="63"/>
      <c r="BA78" s="64"/>
      <c r="BB78" s="64"/>
      <c r="BC78" s="52"/>
      <c r="BD78" s="63"/>
      <c r="BF78" s="65"/>
      <c r="BG78" s="65"/>
      <c r="BH78" s="8"/>
      <c r="BK78" s="65"/>
      <c r="BL78" s="65"/>
      <c r="BM78" s="8"/>
      <c r="BP78" s="65"/>
      <c r="BQ78" s="65"/>
      <c r="BR78" s="8"/>
      <c r="BU78" s="65"/>
      <c r="BV78" s="65"/>
      <c r="BW78" s="8"/>
      <c r="BZ78" s="65"/>
      <c r="CA78" s="65"/>
      <c r="CB78" s="8"/>
      <c r="CE78" s="65"/>
      <c r="CF78" s="65"/>
      <c r="CG78" s="8"/>
      <c r="CJ78" s="65"/>
      <c r="CK78" s="65"/>
      <c r="CL78" s="8"/>
      <c r="CO78" s="65"/>
      <c r="CP78" s="65"/>
      <c r="CQ78" s="8"/>
    </row>
    <row r="79" spans="2:95" s="62" customFormat="1" ht="15.75" customHeight="1">
      <c r="B79" s="73"/>
      <c r="C79" s="65"/>
      <c r="D79" s="65"/>
      <c r="E79" s="8"/>
      <c r="G79" s="73"/>
      <c r="H79" s="65"/>
      <c r="I79" s="65"/>
      <c r="J79" s="52"/>
      <c r="K79" s="63"/>
      <c r="L79" s="63"/>
      <c r="M79" s="64"/>
      <c r="N79" s="64"/>
      <c r="O79" s="52"/>
      <c r="P79" s="23"/>
      <c r="Q79" s="46"/>
      <c r="R79" s="22"/>
      <c r="S79" s="22"/>
      <c r="T79" s="56"/>
      <c r="U79" s="63"/>
      <c r="V79" s="63"/>
      <c r="W79" s="64"/>
      <c r="X79" s="65"/>
      <c r="Y79" s="8"/>
      <c r="AB79" s="65"/>
      <c r="AC79" s="65"/>
      <c r="AD79" s="8"/>
      <c r="AG79" s="65"/>
      <c r="AH79" s="65"/>
      <c r="AI79" s="8"/>
      <c r="AL79" s="65"/>
      <c r="AM79" s="65"/>
      <c r="AN79" s="8"/>
      <c r="AQ79" s="65"/>
      <c r="AR79" s="65"/>
      <c r="AS79" s="8"/>
      <c r="AV79" s="65"/>
      <c r="AW79" s="65"/>
      <c r="AX79" s="8"/>
      <c r="BA79" s="65"/>
      <c r="BB79" s="65"/>
      <c r="BC79" s="8"/>
      <c r="BF79" s="65"/>
      <c r="BG79" s="65"/>
      <c r="BH79" s="8"/>
      <c r="BK79" s="65"/>
      <c r="BL79" s="65"/>
      <c r="BM79" s="8"/>
      <c r="BP79" s="65"/>
      <c r="BQ79" s="65"/>
      <c r="BR79" s="8"/>
      <c r="BU79" s="65"/>
      <c r="BV79" s="65"/>
      <c r="BW79" s="8"/>
      <c r="BZ79" s="65"/>
      <c r="CA79" s="65"/>
      <c r="CB79" s="8"/>
      <c r="CE79" s="65"/>
      <c r="CF79" s="65"/>
      <c r="CG79" s="8"/>
      <c r="CJ79" s="65"/>
      <c r="CK79" s="65"/>
      <c r="CL79" s="8"/>
      <c r="CO79" s="65"/>
      <c r="CP79" s="65"/>
      <c r="CQ79" s="8"/>
    </row>
    <row r="80" spans="2:95" s="62" customFormat="1" ht="15.75" customHeight="1">
      <c r="B80" s="73"/>
      <c r="C80" s="65"/>
      <c r="D80" s="65"/>
      <c r="E80" s="8"/>
      <c r="G80" s="73"/>
      <c r="H80" s="65"/>
      <c r="I80" s="65"/>
      <c r="J80" s="52"/>
      <c r="K80" s="63"/>
      <c r="L80" s="63"/>
      <c r="M80" s="64"/>
      <c r="N80" s="64"/>
      <c r="O80" s="52"/>
      <c r="P80" s="23"/>
      <c r="Q80" s="47"/>
      <c r="R80" s="22"/>
      <c r="S80" s="22"/>
      <c r="T80" s="56"/>
      <c r="U80" s="63"/>
      <c r="V80" s="63"/>
      <c r="W80" s="64"/>
      <c r="X80" s="65"/>
      <c r="Y80" s="8"/>
      <c r="AB80" s="65"/>
      <c r="AC80" s="65"/>
      <c r="AD80" s="8"/>
      <c r="AG80" s="65"/>
      <c r="AH80" s="65"/>
      <c r="AI80" s="8"/>
      <c r="AL80" s="65"/>
      <c r="AM80" s="65"/>
      <c r="AN80" s="8"/>
      <c r="AQ80" s="65"/>
      <c r="AR80" s="65"/>
      <c r="AS80" s="8"/>
      <c r="AV80" s="65"/>
      <c r="AW80" s="65"/>
      <c r="AX80" s="8"/>
      <c r="BA80" s="65"/>
      <c r="BB80" s="65"/>
      <c r="BC80" s="8"/>
      <c r="BF80" s="65"/>
      <c r="BG80" s="65"/>
      <c r="BH80" s="8"/>
      <c r="BK80" s="65"/>
      <c r="BL80" s="65"/>
      <c r="BM80" s="8"/>
      <c r="BP80" s="65"/>
      <c r="BQ80" s="65"/>
      <c r="BR80" s="8"/>
      <c r="BU80" s="65"/>
      <c r="BV80" s="65"/>
      <c r="BW80" s="8"/>
      <c r="BZ80" s="65"/>
      <c r="CA80" s="65"/>
      <c r="CB80" s="8"/>
      <c r="CE80" s="65"/>
      <c r="CF80" s="65"/>
      <c r="CG80" s="8"/>
      <c r="CJ80" s="65"/>
      <c r="CK80" s="65"/>
      <c r="CL80" s="8"/>
      <c r="CO80" s="65"/>
      <c r="CP80" s="65"/>
      <c r="CQ80" s="8"/>
    </row>
    <row r="81" spans="2:95" s="62" customFormat="1" ht="15.75" customHeight="1">
      <c r="B81" s="73"/>
      <c r="C81" s="65"/>
      <c r="D81" s="65"/>
      <c r="E81" s="8"/>
      <c r="G81" s="73"/>
      <c r="H81" s="65"/>
      <c r="I81" s="65"/>
      <c r="J81" s="52"/>
      <c r="K81" s="63"/>
      <c r="L81" s="63"/>
      <c r="M81" s="64"/>
      <c r="N81" s="64"/>
      <c r="O81" s="52"/>
      <c r="P81" s="23"/>
      <c r="Q81" s="47"/>
      <c r="R81" s="22"/>
      <c r="S81" s="22"/>
      <c r="T81" s="56"/>
      <c r="U81" s="63"/>
      <c r="V81" s="63"/>
      <c r="W81" s="64"/>
      <c r="X81" s="65"/>
      <c r="Y81" s="8"/>
      <c r="AB81" s="65"/>
      <c r="AC81" s="65"/>
      <c r="AD81" s="8"/>
      <c r="AG81" s="65"/>
      <c r="AH81" s="65"/>
      <c r="AI81" s="8"/>
      <c r="AL81" s="65"/>
      <c r="AM81" s="65"/>
      <c r="AN81" s="8"/>
      <c r="AQ81" s="65"/>
      <c r="AR81" s="65"/>
      <c r="AS81" s="8"/>
      <c r="AV81" s="65"/>
      <c r="AW81" s="65"/>
      <c r="AX81" s="8"/>
      <c r="BA81" s="65"/>
      <c r="BB81" s="65"/>
      <c r="BC81" s="8"/>
      <c r="BF81" s="65"/>
      <c r="BG81" s="65"/>
      <c r="BH81" s="8"/>
      <c r="BK81" s="65"/>
      <c r="BL81" s="65"/>
      <c r="BM81" s="8"/>
      <c r="BP81" s="65"/>
      <c r="BQ81" s="65"/>
      <c r="BR81" s="8"/>
      <c r="BU81" s="65"/>
      <c r="BV81" s="65"/>
      <c r="BW81" s="8"/>
      <c r="BZ81" s="65"/>
      <c r="CA81" s="65"/>
      <c r="CB81" s="8"/>
      <c r="CE81" s="65"/>
      <c r="CF81" s="65"/>
      <c r="CG81" s="8"/>
      <c r="CJ81" s="65"/>
      <c r="CK81" s="65"/>
      <c r="CL81" s="8"/>
      <c r="CO81" s="65"/>
      <c r="CP81" s="65"/>
      <c r="CQ81" s="8"/>
    </row>
    <row r="82" spans="2:95" ht="15.75" customHeight="1">
      <c r="J82" s="42"/>
      <c r="K82" s="118"/>
      <c r="L82" s="118"/>
      <c r="M82" s="119"/>
      <c r="N82" s="119"/>
      <c r="O82" s="42"/>
      <c r="P82" s="23"/>
      <c r="Q82" s="46"/>
      <c r="R82" s="22"/>
      <c r="S82" s="22"/>
      <c r="T82" s="56"/>
      <c r="U82" s="118"/>
      <c r="V82" s="118"/>
      <c r="W82" s="119"/>
    </row>
    <row r="83" spans="2:95" ht="15.75" customHeight="1">
      <c r="J83" s="42"/>
      <c r="K83" s="118"/>
      <c r="L83" s="118"/>
      <c r="M83" s="119"/>
      <c r="N83" s="119"/>
      <c r="O83" s="42"/>
      <c r="P83" s="23"/>
      <c r="Q83" s="46"/>
      <c r="R83" s="22"/>
      <c r="S83" s="22"/>
      <c r="T83" s="56"/>
      <c r="U83" s="118"/>
      <c r="V83" s="118"/>
      <c r="W83" s="119"/>
    </row>
    <row r="84" spans="2:95" ht="15.75" customHeight="1">
      <c r="J84" s="42"/>
      <c r="K84" s="118"/>
      <c r="L84" s="118"/>
      <c r="M84" s="119"/>
      <c r="N84" s="119"/>
      <c r="O84" s="42"/>
      <c r="P84" s="23"/>
      <c r="Q84" s="46"/>
      <c r="R84" s="22"/>
      <c r="S84" s="22"/>
      <c r="T84" s="56"/>
    </row>
    <row r="85" spans="2:95" ht="15.75" customHeight="1">
      <c r="J85" s="42"/>
      <c r="K85" s="118"/>
      <c r="L85" s="118"/>
      <c r="M85" s="119"/>
      <c r="N85" s="119"/>
      <c r="O85" s="42"/>
      <c r="P85" s="23"/>
      <c r="Q85" s="47"/>
      <c r="R85" s="22"/>
      <c r="S85" s="22"/>
      <c r="T85" s="56"/>
    </row>
    <row r="86" spans="2:95" ht="15.75" customHeight="1">
      <c r="J86" s="42"/>
      <c r="K86" s="118"/>
      <c r="L86" s="118"/>
      <c r="M86" s="119"/>
      <c r="N86" s="119"/>
      <c r="O86" s="42"/>
      <c r="P86" s="23"/>
      <c r="Q86" s="47"/>
      <c r="R86" s="22"/>
      <c r="S86" s="22"/>
      <c r="T86" s="56"/>
    </row>
    <row r="87" spans="2:95" ht="15.75" customHeight="1">
      <c r="J87" s="42"/>
      <c r="K87" s="118"/>
      <c r="L87" s="118"/>
      <c r="M87" s="119"/>
      <c r="N87" s="119"/>
      <c r="O87" s="42"/>
      <c r="P87" s="23"/>
      <c r="Q87" s="46"/>
      <c r="R87" s="22"/>
      <c r="S87" s="22"/>
      <c r="T87" s="56"/>
    </row>
    <row r="88" spans="2:95" ht="15.75" customHeight="1">
      <c r="J88" s="42"/>
      <c r="K88" s="118"/>
      <c r="L88" s="118"/>
      <c r="M88" s="119"/>
      <c r="N88" s="119"/>
      <c r="O88" s="42"/>
      <c r="P88" s="23"/>
      <c r="Q88" s="46"/>
      <c r="R88" s="22"/>
      <c r="S88" s="22"/>
      <c r="T88" s="56"/>
    </row>
    <row r="89" spans="2:95" ht="15.75" customHeight="1">
      <c r="J89" s="42"/>
      <c r="K89" s="118"/>
      <c r="L89" s="118"/>
      <c r="M89" s="119"/>
      <c r="N89" s="119"/>
      <c r="O89" s="42"/>
      <c r="P89" s="23"/>
      <c r="Q89" s="46"/>
      <c r="R89" s="22"/>
      <c r="S89" s="22"/>
      <c r="T89" s="56"/>
    </row>
    <row r="90" spans="2:95" ht="15.75" customHeight="1">
      <c r="J90" s="42"/>
      <c r="K90" s="118"/>
      <c r="L90" s="118"/>
      <c r="M90" s="119"/>
      <c r="N90" s="119"/>
      <c r="O90" s="42"/>
      <c r="P90" s="118"/>
      <c r="Q90" s="118"/>
      <c r="R90" s="119"/>
      <c r="S90" s="119"/>
    </row>
    <row r="91" spans="2:95" ht="15.75" customHeight="1">
      <c r="J91" s="42"/>
      <c r="K91" s="118"/>
      <c r="L91" s="118"/>
      <c r="M91" s="119"/>
      <c r="N91" s="119"/>
      <c r="O91" s="42"/>
      <c r="P91" s="118"/>
      <c r="Q91" s="118"/>
      <c r="R91" s="119"/>
      <c r="S91" s="119"/>
    </row>
    <row r="92" spans="2:95" ht="15.75" customHeight="1">
      <c r="J92" s="42"/>
      <c r="K92" s="118"/>
      <c r="L92" s="118"/>
      <c r="M92" s="119"/>
      <c r="N92" s="119"/>
      <c r="O92" s="42"/>
      <c r="P92" s="118"/>
      <c r="Q92" s="118"/>
      <c r="R92" s="119"/>
      <c r="S92" s="119"/>
    </row>
    <row r="93" spans="2:95" ht="15.75" customHeight="1">
      <c r="J93" s="42"/>
      <c r="K93" s="118"/>
      <c r="L93" s="118"/>
      <c r="M93" s="119"/>
      <c r="N93" s="119"/>
      <c r="O93" s="42"/>
      <c r="P93" s="118"/>
      <c r="Q93" s="118"/>
      <c r="R93" s="119"/>
      <c r="S93" s="119"/>
    </row>
    <row r="94" spans="2:95" ht="15.75" customHeight="1">
      <c r="J94" s="42"/>
      <c r="K94" s="118"/>
      <c r="L94" s="118"/>
      <c r="M94" s="119"/>
      <c r="N94" s="119"/>
      <c r="O94" s="42"/>
      <c r="P94" s="118"/>
      <c r="Q94" s="118"/>
      <c r="R94" s="119"/>
      <c r="S94" s="119"/>
    </row>
    <row r="95" spans="2:95" ht="15.75" customHeight="1">
      <c r="J95" s="42"/>
      <c r="K95" s="118"/>
      <c r="L95" s="118"/>
      <c r="M95" s="119"/>
      <c r="N95" s="119"/>
      <c r="O95" s="42"/>
      <c r="P95" s="118"/>
      <c r="Q95" s="118"/>
      <c r="R95" s="119"/>
      <c r="S95" s="119"/>
    </row>
    <row r="96" spans="2:95" ht="15.75" customHeight="1">
      <c r="J96" s="42"/>
      <c r="K96" s="118"/>
      <c r="L96" s="118"/>
      <c r="M96" s="119"/>
      <c r="N96" s="119"/>
      <c r="O96" s="42"/>
      <c r="P96" s="118"/>
      <c r="Q96" s="118"/>
      <c r="R96" s="119"/>
      <c r="S96" s="119"/>
    </row>
    <row r="97" spans="10:19" ht="15.75" customHeight="1">
      <c r="J97" s="42"/>
      <c r="K97" s="118"/>
      <c r="L97" s="118"/>
      <c r="M97" s="119"/>
      <c r="N97" s="119"/>
      <c r="O97" s="42"/>
      <c r="P97" s="118"/>
      <c r="Q97" s="118"/>
      <c r="R97" s="119"/>
      <c r="S97" s="119"/>
    </row>
    <row r="98" spans="10:19" ht="15.75" customHeight="1">
      <c r="J98" s="42"/>
      <c r="K98" s="118"/>
      <c r="L98" s="118"/>
      <c r="M98" s="119"/>
      <c r="N98" s="119"/>
      <c r="O98" s="42"/>
      <c r="P98" s="118"/>
      <c r="Q98" s="118"/>
      <c r="R98" s="119"/>
      <c r="S98" s="119"/>
    </row>
    <row r="99" spans="10:19" ht="15.75" customHeight="1">
      <c r="J99" s="42"/>
      <c r="K99" s="118"/>
      <c r="L99" s="118"/>
      <c r="M99" s="119"/>
      <c r="N99" s="119"/>
      <c r="O99" s="42"/>
      <c r="P99" s="118"/>
      <c r="Q99" s="118"/>
      <c r="R99" s="119"/>
      <c r="S99" s="119"/>
    </row>
    <row r="100" spans="10:19" ht="15.75" customHeight="1">
      <c r="J100" s="42"/>
      <c r="K100" s="118"/>
      <c r="L100" s="118"/>
      <c r="M100" s="119"/>
      <c r="N100" s="119"/>
      <c r="O100" s="42"/>
      <c r="P100" s="118"/>
      <c r="Q100" s="118"/>
      <c r="R100" s="119"/>
      <c r="S100" s="119"/>
    </row>
    <row r="101" spans="10:19" ht="15.75" customHeight="1">
      <c r="J101" s="42"/>
      <c r="K101" s="118"/>
      <c r="L101" s="118"/>
      <c r="M101" s="119"/>
      <c r="N101" s="119"/>
      <c r="O101" s="42"/>
      <c r="P101" s="118"/>
      <c r="Q101" s="118"/>
      <c r="R101" s="119"/>
      <c r="S101" s="119"/>
    </row>
    <row r="102" spans="10:19" ht="15.75" customHeight="1">
      <c r="J102" s="42"/>
      <c r="K102" s="118"/>
      <c r="L102" s="118"/>
      <c r="M102" s="119"/>
      <c r="N102" s="119"/>
      <c r="O102" s="42"/>
      <c r="P102" s="118"/>
      <c r="Q102" s="118"/>
      <c r="R102" s="119"/>
      <c r="S102" s="119"/>
    </row>
    <row r="103" spans="10:19" ht="15.75" customHeight="1">
      <c r="J103" s="42"/>
      <c r="K103" s="118"/>
      <c r="L103" s="118"/>
      <c r="M103" s="119"/>
      <c r="N103" s="119"/>
      <c r="O103" s="42"/>
      <c r="P103" s="118"/>
      <c r="Q103" s="118"/>
      <c r="R103" s="119"/>
      <c r="S103" s="119"/>
    </row>
    <row r="104" spans="10:19" ht="15.75" customHeight="1">
      <c r="J104" s="42"/>
      <c r="K104" s="118"/>
      <c r="L104" s="118"/>
      <c r="M104" s="119"/>
      <c r="N104" s="119"/>
      <c r="O104" s="42"/>
      <c r="P104" s="118"/>
      <c r="Q104" s="118"/>
      <c r="R104" s="119"/>
      <c r="S104" s="119"/>
    </row>
    <row r="105" spans="10:19" ht="15.75" customHeight="1">
      <c r="J105" s="42"/>
      <c r="K105" s="118"/>
      <c r="L105" s="118"/>
      <c r="M105" s="119"/>
      <c r="N105" s="119"/>
      <c r="O105" s="42"/>
      <c r="P105" s="118"/>
      <c r="Q105" s="118"/>
      <c r="R105" s="119"/>
      <c r="S105" s="119"/>
    </row>
    <row r="106" spans="10:19" ht="15.75" customHeight="1">
      <c r="J106" s="42"/>
      <c r="K106" s="118"/>
      <c r="L106" s="118"/>
      <c r="M106" s="119"/>
      <c r="N106" s="119"/>
      <c r="O106" s="42"/>
      <c r="P106" s="118"/>
      <c r="Q106" s="118"/>
      <c r="R106" s="119"/>
      <c r="S106" s="119"/>
    </row>
    <row r="107" spans="10:19" ht="15.75" customHeight="1">
      <c r="J107" s="42"/>
      <c r="K107" s="118"/>
      <c r="L107" s="118"/>
      <c r="M107" s="119"/>
      <c r="N107" s="119"/>
      <c r="O107" s="42"/>
      <c r="P107" s="118"/>
      <c r="Q107" s="118"/>
      <c r="R107" s="119"/>
      <c r="S107" s="119"/>
    </row>
    <row r="108" spans="10:19" ht="15.75" customHeight="1">
      <c r="J108" s="42"/>
      <c r="K108" s="118"/>
      <c r="L108" s="118"/>
      <c r="M108" s="119"/>
      <c r="N108" s="119"/>
      <c r="O108" s="42"/>
      <c r="P108" s="118"/>
      <c r="Q108" s="118"/>
      <c r="R108" s="119"/>
      <c r="S108" s="119"/>
    </row>
    <row r="109" spans="10:19" ht="15.75" customHeight="1">
      <c r="J109" s="42"/>
      <c r="K109" s="118"/>
      <c r="L109" s="118"/>
      <c r="M109" s="119"/>
      <c r="N109" s="119"/>
      <c r="O109" s="42"/>
      <c r="P109" s="118"/>
      <c r="Q109" s="118"/>
      <c r="R109" s="119"/>
      <c r="S109" s="119"/>
    </row>
    <row r="110" spans="10:19" ht="15.75" customHeight="1">
      <c r="J110" s="42"/>
      <c r="K110" s="118"/>
      <c r="L110" s="118"/>
      <c r="M110" s="119"/>
      <c r="N110" s="119"/>
      <c r="O110" s="42"/>
      <c r="P110" s="118"/>
      <c r="Q110" s="118"/>
      <c r="R110" s="119"/>
      <c r="S110" s="119"/>
    </row>
    <row r="111" spans="10:19" ht="15.75" customHeight="1">
      <c r="J111" s="42"/>
      <c r="K111" s="118"/>
      <c r="L111" s="118"/>
      <c r="M111" s="119"/>
      <c r="N111" s="119"/>
      <c r="O111" s="42"/>
      <c r="P111" s="118"/>
      <c r="Q111" s="118"/>
      <c r="R111" s="119"/>
      <c r="S111" s="119"/>
    </row>
    <row r="112" spans="10:19" ht="15.75" customHeight="1">
      <c r="J112" s="42"/>
      <c r="K112" s="118"/>
      <c r="L112" s="118"/>
      <c r="M112" s="119"/>
      <c r="N112" s="119"/>
      <c r="O112" s="42"/>
      <c r="P112" s="118"/>
      <c r="Q112" s="118"/>
      <c r="R112" s="119"/>
      <c r="S112" s="119"/>
    </row>
    <row r="113" spans="10:19" ht="15.75" customHeight="1">
      <c r="J113" s="42"/>
      <c r="K113" s="118"/>
      <c r="L113" s="118"/>
      <c r="M113" s="119"/>
      <c r="N113" s="119"/>
      <c r="O113" s="42"/>
      <c r="P113" s="118"/>
      <c r="Q113" s="118"/>
      <c r="R113" s="119"/>
      <c r="S113" s="119"/>
    </row>
    <row r="114" spans="10:19" ht="15.75" customHeight="1">
      <c r="J114" s="42"/>
      <c r="K114" s="118"/>
      <c r="L114" s="118"/>
      <c r="M114" s="119"/>
      <c r="N114" s="119"/>
      <c r="O114" s="42"/>
      <c r="P114" s="118"/>
      <c r="Q114" s="118"/>
      <c r="R114" s="119"/>
      <c r="S114" s="119"/>
    </row>
    <row r="115" spans="10:19" ht="15.75" customHeight="1">
      <c r="J115" s="42"/>
      <c r="K115" s="118"/>
      <c r="L115" s="118"/>
      <c r="M115" s="119"/>
      <c r="N115" s="119"/>
      <c r="O115" s="42"/>
      <c r="P115" s="118"/>
      <c r="Q115" s="118"/>
      <c r="R115" s="119"/>
      <c r="S115" s="119"/>
    </row>
    <row r="116" spans="10:19" ht="15.75" customHeight="1">
      <c r="J116" s="42"/>
      <c r="K116" s="118"/>
      <c r="L116" s="118"/>
      <c r="M116" s="119"/>
      <c r="N116" s="119"/>
      <c r="O116" s="42"/>
      <c r="P116" s="118"/>
      <c r="Q116" s="118"/>
      <c r="R116" s="119"/>
      <c r="S116" s="119"/>
    </row>
    <row r="117" spans="10:19" ht="15.75" customHeight="1">
      <c r="J117" s="42"/>
      <c r="K117" s="118"/>
      <c r="L117" s="118"/>
      <c r="M117" s="119"/>
      <c r="N117" s="119"/>
      <c r="O117" s="42"/>
      <c r="P117" s="118"/>
      <c r="Q117" s="118"/>
      <c r="R117" s="119"/>
      <c r="S117" s="119"/>
    </row>
    <row r="118" spans="10:19" ht="15.75" customHeight="1">
      <c r="J118" s="42"/>
      <c r="K118" s="118"/>
      <c r="L118" s="118"/>
      <c r="M118" s="119"/>
      <c r="N118" s="119"/>
      <c r="O118" s="42"/>
      <c r="P118" s="118"/>
      <c r="Q118" s="118"/>
      <c r="R118" s="119"/>
      <c r="S118" s="119"/>
    </row>
    <row r="119" spans="10:19" ht="15.75" customHeight="1">
      <c r="J119" s="42"/>
      <c r="K119" s="118"/>
      <c r="L119" s="118"/>
      <c r="M119" s="119"/>
      <c r="N119" s="119"/>
      <c r="O119" s="42"/>
      <c r="P119" s="118"/>
      <c r="Q119" s="118"/>
      <c r="R119" s="119"/>
      <c r="S119" s="119"/>
    </row>
    <row r="120" spans="10:19" ht="15.75" customHeight="1">
      <c r="J120" s="42"/>
      <c r="K120" s="118"/>
      <c r="L120" s="118"/>
      <c r="M120" s="119"/>
      <c r="N120" s="119"/>
      <c r="O120" s="42"/>
      <c r="P120" s="118"/>
      <c r="Q120" s="118"/>
      <c r="R120" s="119"/>
      <c r="S120" s="119"/>
    </row>
    <row r="121" spans="10:19" ht="15.75" customHeight="1">
      <c r="J121" s="42"/>
      <c r="K121" s="118"/>
      <c r="L121" s="118"/>
      <c r="M121" s="119"/>
      <c r="N121" s="119"/>
      <c r="O121" s="42"/>
      <c r="P121" s="118"/>
      <c r="Q121" s="118"/>
      <c r="R121" s="119"/>
      <c r="S121" s="119"/>
    </row>
    <row r="122" spans="10:19" ht="15.75" customHeight="1">
      <c r="J122" s="42"/>
      <c r="K122" s="118"/>
      <c r="L122" s="118"/>
      <c r="M122" s="119"/>
      <c r="N122" s="119"/>
      <c r="O122" s="42"/>
      <c r="P122" s="118"/>
      <c r="Q122" s="118"/>
      <c r="R122" s="119"/>
      <c r="S122" s="119"/>
    </row>
    <row r="123" spans="10:19" ht="15.75" customHeight="1">
      <c r="J123" s="42"/>
      <c r="K123" s="118"/>
      <c r="L123" s="118"/>
      <c r="M123" s="119"/>
      <c r="N123" s="119"/>
      <c r="O123" s="42"/>
      <c r="P123" s="118"/>
      <c r="Q123" s="118"/>
      <c r="R123" s="119"/>
      <c r="S123" s="119"/>
    </row>
    <row r="124" spans="10:19" ht="15.75" customHeight="1">
      <c r="J124" s="42"/>
      <c r="K124" s="118"/>
      <c r="L124" s="118"/>
      <c r="M124" s="119"/>
      <c r="N124" s="119"/>
      <c r="O124" s="42"/>
      <c r="P124" s="118"/>
      <c r="Q124" s="118"/>
      <c r="R124" s="119"/>
      <c r="S124" s="119"/>
    </row>
    <row r="125" spans="10:19" ht="15.75" customHeight="1">
      <c r="J125" s="42"/>
      <c r="K125" s="118"/>
      <c r="L125" s="118"/>
      <c r="M125" s="119"/>
      <c r="N125" s="119"/>
      <c r="O125" s="42"/>
      <c r="P125" s="118"/>
      <c r="Q125" s="118"/>
      <c r="R125" s="119"/>
      <c r="S125" s="119"/>
    </row>
    <row r="126" spans="10:19" ht="15.75" customHeight="1">
      <c r="J126" s="42"/>
      <c r="K126" s="118"/>
      <c r="L126" s="118"/>
      <c r="M126" s="119"/>
      <c r="N126" s="119"/>
      <c r="O126" s="42"/>
      <c r="P126" s="118"/>
      <c r="Q126" s="118"/>
      <c r="R126" s="119"/>
      <c r="S126" s="119"/>
    </row>
    <row r="127" spans="10:19" ht="15.75" customHeight="1">
      <c r="J127" s="42"/>
      <c r="K127" s="118"/>
      <c r="L127" s="118"/>
      <c r="M127" s="119"/>
      <c r="N127" s="119"/>
      <c r="O127" s="42"/>
      <c r="P127" s="118"/>
      <c r="Q127" s="118"/>
      <c r="R127" s="119"/>
      <c r="S127" s="119"/>
    </row>
    <row r="128" spans="10:19" ht="15.75" customHeight="1">
      <c r="J128" s="42"/>
      <c r="K128" s="118"/>
      <c r="L128" s="118"/>
      <c r="M128" s="119"/>
      <c r="N128" s="119"/>
      <c r="O128" s="42"/>
      <c r="P128" s="118"/>
      <c r="Q128" s="118"/>
      <c r="R128" s="119"/>
      <c r="S128" s="119"/>
    </row>
    <row r="129" spans="10:19" ht="15.75" customHeight="1">
      <c r="J129" s="42"/>
      <c r="K129" s="118"/>
      <c r="L129" s="118"/>
      <c r="M129" s="119"/>
      <c r="N129" s="119"/>
      <c r="O129" s="42"/>
      <c r="P129" s="118"/>
      <c r="Q129" s="118"/>
      <c r="R129" s="119"/>
      <c r="S129" s="119"/>
    </row>
    <row r="130" spans="10:19" ht="15.75" customHeight="1">
      <c r="J130" s="42"/>
      <c r="K130" s="118"/>
      <c r="L130" s="118"/>
      <c r="M130" s="119"/>
      <c r="N130" s="119"/>
      <c r="O130" s="42"/>
      <c r="P130" s="118"/>
      <c r="Q130" s="118"/>
      <c r="R130" s="119"/>
      <c r="S130" s="119"/>
    </row>
    <row r="131" spans="10:19" ht="15.75" customHeight="1">
      <c r="J131" s="42"/>
      <c r="K131" s="118"/>
      <c r="L131" s="118"/>
      <c r="M131" s="119"/>
      <c r="N131" s="119"/>
      <c r="O131" s="42"/>
      <c r="P131" s="118"/>
      <c r="Q131" s="118"/>
      <c r="R131" s="119"/>
      <c r="S131" s="119"/>
    </row>
    <row r="132" spans="10:19" ht="15.75" customHeight="1">
      <c r="J132" s="42"/>
      <c r="K132" s="118"/>
      <c r="L132" s="118"/>
      <c r="M132" s="119"/>
      <c r="N132" s="119"/>
      <c r="O132" s="42"/>
      <c r="P132" s="118"/>
      <c r="Q132" s="118"/>
      <c r="R132" s="119"/>
      <c r="S132" s="119"/>
    </row>
    <row r="133" spans="10:19" ht="15.75" customHeight="1">
      <c r="J133" s="42"/>
      <c r="K133" s="118"/>
      <c r="L133" s="118"/>
      <c r="M133" s="119"/>
      <c r="N133" s="119"/>
      <c r="O133" s="42"/>
      <c r="P133" s="118"/>
      <c r="Q133" s="118"/>
      <c r="R133" s="119"/>
      <c r="S133" s="119"/>
    </row>
    <row r="134" spans="10:19" ht="15.75" customHeight="1">
      <c r="J134" s="42"/>
      <c r="K134" s="118"/>
      <c r="L134" s="118"/>
      <c r="M134" s="119"/>
      <c r="N134" s="119"/>
      <c r="O134" s="42"/>
      <c r="P134" s="118"/>
      <c r="Q134" s="118"/>
      <c r="R134" s="119"/>
      <c r="S134" s="119"/>
    </row>
    <row r="135" spans="10:19" ht="15.75" customHeight="1">
      <c r="J135" s="42"/>
      <c r="K135" s="118"/>
      <c r="L135" s="118"/>
      <c r="M135" s="119"/>
      <c r="N135" s="119"/>
      <c r="O135" s="42"/>
      <c r="P135" s="118"/>
      <c r="Q135" s="118"/>
      <c r="R135" s="119"/>
      <c r="S135" s="119"/>
    </row>
    <row r="136" spans="10:19" ht="15.75" customHeight="1">
      <c r="J136" s="42"/>
      <c r="K136" s="118"/>
      <c r="L136" s="118"/>
      <c r="M136" s="119"/>
      <c r="N136" s="119"/>
      <c r="O136" s="42"/>
      <c r="P136" s="118"/>
      <c r="Q136" s="118"/>
      <c r="R136" s="119"/>
      <c r="S136" s="119"/>
    </row>
    <row r="137" spans="10:19" ht="15.75" customHeight="1">
      <c r="J137" s="42"/>
      <c r="K137" s="118"/>
      <c r="L137" s="118"/>
      <c r="M137" s="119"/>
      <c r="N137" s="119"/>
      <c r="O137" s="42"/>
      <c r="P137" s="118"/>
      <c r="Q137" s="118"/>
      <c r="R137" s="119"/>
      <c r="S137" s="119"/>
    </row>
    <row r="138" spans="10:19" ht="15.75" customHeight="1">
      <c r="J138" s="42"/>
      <c r="K138" s="118"/>
      <c r="L138" s="118"/>
      <c r="M138" s="119"/>
      <c r="N138" s="119"/>
      <c r="O138" s="42"/>
      <c r="P138" s="118"/>
      <c r="Q138" s="118"/>
      <c r="R138" s="119"/>
      <c r="S138" s="119"/>
    </row>
    <row r="139" spans="10:19" ht="15.75" customHeight="1">
      <c r="J139" s="42"/>
      <c r="K139" s="118"/>
      <c r="L139" s="118"/>
      <c r="M139" s="119"/>
      <c r="N139" s="119"/>
      <c r="O139" s="42"/>
      <c r="P139" s="118"/>
      <c r="Q139" s="118"/>
      <c r="R139" s="119"/>
      <c r="S139" s="119"/>
    </row>
    <row r="140" spans="10:19" ht="15.75" customHeight="1">
      <c r="J140" s="42"/>
      <c r="K140" s="118"/>
      <c r="L140" s="118"/>
      <c r="M140" s="119"/>
      <c r="N140" s="119"/>
      <c r="O140" s="42"/>
      <c r="P140" s="118"/>
      <c r="Q140" s="118"/>
      <c r="R140" s="119"/>
      <c r="S140" s="119"/>
    </row>
    <row r="141" spans="10:19" ht="15.75" customHeight="1">
      <c r="J141" s="42"/>
      <c r="K141" s="118"/>
      <c r="L141" s="118"/>
      <c r="M141" s="119"/>
      <c r="N141" s="119"/>
      <c r="O141" s="42"/>
      <c r="P141" s="118"/>
      <c r="Q141" s="118"/>
      <c r="R141" s="119"/>
      <c r="S141" s="119"/>
    </row>
    <row r="142" spans="10:19" ht="15.75" customHeight="1">
      <c r="J142" s="42"/>
      <c r="K142" s="118"/>
      <c r="L142" s="118"/>
      <c r="M142" s="119"/>
      <c r="N142" s="119"/>
      <c r="O142" s="42"/>
      <c r="P142" s="118"/>
      <c r="Q142" s="118"/>
      <c r="R142" s="119"/>
      <c r="S142" s="119"/>
    </row>
    <row r="143" spans="10:19" ht="15.75" customHeight="1">
      <c r="J143" s="42"/>
      <c r="K143" s="118"/>
      <c r="L143" s="118"/>
      <c r="M143" s="119"/>
      <c r="N143" s="119"/>
      <c r="O143" s="42"/>
      <c r="P143" s="118"/>
      <c r="Q143" s="118"/>
      <c r="R143" s="119"/>
      <c r="S143" s="119"/>
    </row>
    <row r="144" spans="10:19" ht="15.75" customHeight="1">
      <c r="J144" s="42"/>
      <c r="K144" s="118"/>
      <c r="L144" s="118"/>
      <c r="M144" s="119"/>
      <c r="N144" s="119"/>
      <c r="O144" s="42"/>
      <c r="P144" s="118"/>
      <c r="Q144" s="118"/>
      <c r="R144" s="119"/>
      <c r="S144" s="119"/>
    </row>
    <row r="145" spans="10:19" ht="15.75" customHeight="1">
      <c r="J145" s="42"/>
      <c r="K145" s="118"/>
      <c r="L145" s="118"/>
      <c r="M145" s="119"/>
      <c r="N145" s="119"/>
      <c r="O145" s="42"/>
      <c r="P145" s="118"/>
      <c r="Q145" s="118"/>
      <c r="R145" s="119"/>
      <c r="S145" s="119"/>
    </row>
    <row r="146" spans="10:19" ht="15.75" customHeight="1">
      <c r="J146" s="42"/>
      <c r="K146" s="118"/>
      <c r="L146" s="118"/>
      <c r="M146" s="119"/>
      <c r="N146" s="119"/>
      <c r="O146" s="42"/>
      <c r="P146" s="118"/>
      <c r="Q146" s="118"/>
      <c r="R146" s="119"/>
      <c r="S146" s="119"/>
    </row>
    <row r="147" spans="10:19" ht="15.75" customHeight="1">
      <c r="J147" s="42"/>
      <c r="K147" s="118"/>
      <c r="L147" s="118"/>
      <c r="M147" s="119"/>
      <c r="N147" s="119"/>
      <c r="O147" s="42"/>
      <c r="P147" s="118"/>
      <c r="Q147" s="118"/>
      <c r="R147" s="119"/>
      <c r="S147" s="119"/>
    </row>
    <row r="148" spans="10:19" ht="15.75" customHeight="1">
      <c r="J148" s="42"/>
      <c r="K148" s="118"/>
      <c r="L148" s="118"/>
      <c r="M148" s="119"/>
      <c r="N148" s="119"/>
      <c r="O148" s="42"/>
      <c r="P148" s="118"/>
      <c r="Q148" s="118"/>
      <c r="R148" s="119"/>
      <c r="S148" s="119"/>
    </row>
    <row r="149" spans="10:19" ht="15.75" customHeight="1">
      <c r="J149" s="42"/>
      <c r="K149" s="118"/>
      <c r="L149" s="118"/>
      <c r="M149" s="119"/>
      <c r="N149" s="119"/>
      <c r="O149" s="42"/>
      <c r="P149" s="118"/>
      <c r="Q149" s="118"/>
      <c r="R149" s="119"/>
      <c r="S149" s="119"/>
    </row>
    <row r="150" spans="10:19" ht="15.75" customHeight="1">
      <c r="J150" s="42"/>
      <c r="K150" s="118"/>
      <c r="L150" s="118"/>
      <c r="M150" s="119"/>
      <c r="N150" s="119"/>
      <c r="O150" s="42"/>
      <c r="P150" s="118"/>
      <c r="Q150" s="118"/>
      <c r="R150" s="119"/>
      <c r="S150" s="119"/>
    </row>
    <row r="151" spans="10:19" ht="15.75" customHeight="1">
      <c r="J151" s="42"/>
      <c r="K151" s="118"/>
      <c r="L151" s="118"/>
      <c r="M151" s="119"/>
      <c r="N151" s="119"/>
      <c r="O151" s="42"/>
      <c r="P151" s="118"/>
      <c r="Q151" s="118"/>
      <c r="R151" s="119"/>
      <c r="S151" s="119"/>
    </row>
    <row r="152" spans="10:19" ht="15.75" customHeight="1">
      <c r="J152" s="42"/>
      <c r="K152" s="118"/>
      <c r="L152" s="118"/>
      <c r="M152" s="119"/>
      <c r="N152" s="119"/>
      <c r="O152" s="42"/>
      <c r="P152" s="118"/>
      <c r="Q152" s="118"/>
      <c r="R152" s="119"/>
      <c r="S152" s="119"/>
    </row>
    <row r="153" spans="10:19" ht="15.75" customHeight="1">
      <c r="J153" s="42"/>
      <c r="K153" s="118"/>
      <c r="L153" s="118"/>
      <c r="M153" s="119"/>
      <c r="N153" s="119"/>
      <c r="O153" s="42"/>
      <c r="P153" s="118"/>
      <c r="Q153" s="118"/>
      <c r="R153" s="119"/>
      <c r="S153" s="119"/>
    </row>
    <row r="154" spans="10:19" ht="15.75" customHeight="1">
      <c r="J154" s="42"/>
      <c r="K154" s="118"/>
      <c r="L154" s="118"/>
      <c r="M154" s="119"/>
      <c r="N154" s="119"/>
      <c r="O154" s="42"/>
      <c r="P154" s="118"/>
      <c r="Q154" s="118"/>
      <c r="R154" s="119"/>
      <c r="S154" s="119"/>
    </row>
    <row r="155" spans="10:19" ht="15.75" customHeight="1">
      <c r="J155" s="42"/>
      <c r="K155" s="118"/>
      <c r="L155" s="118"/>
      <c r="M155" s="119"/>
      <c r="N155" s="119"/>
      <c r="O155" s="42"/>
      <c r="P155" s="118"/>
      <c r="Q155" s="118"/>
      <c r="R155" s="119"/>
      <c r="S155" s="119"/>
    </row>
    <row r="156" spans="10:19" ht="15.75" customHeight="1">
      <c r="J156" s="42"/>
      <c r="K156" s="118"/>
      <c r="L156" s="118"/>
      <c r="M156" s="119"/>
      <c r="N156" s="119"/>
      <c r="O156" s="42"/>
      <c r="P156" s="118"/>
      <c r="Q156" s="118"/>
      <c r="R156" s="119"/>
      <c r="S156" s="119"/>
    </row>
    <row r="157" spans="10:19" ht="15.75" customHeight="1">
      <c r="J157" s="42"/>
      <c r="K157" s="118"/>
      <c r="L157" s="118"/>
      <c r="M157" s="119"/>
      <c r="N157" s="119"/>
      <c r="O157" s="42"/>
      <c r="P157" s="118"/>
      <c r="Q157" s="118"/>
      <c r="R157" s="119"/>
      <c r="S157" s="119"/>
    </row>
    <row r="158" spans="10:19" ht="15.75" customHeight="1">
      <c r="J158" s="42"/>
      <c r="K158" s="118"/>
      <c r="L158" s="118"/>
      <c r="M158" s="119"/>
      <c r="N158" s="119"/>
      <c r="O158" s="42"/>
      <c r="P158" s="118"/>
      <c r="Q158" s="118"/>
      <c r="R158" s="119"/>
      <c r="S158" s="119"/>
    </row>
    <row r="159" spans="10:19" ht="15.75" customHeight="1">
      <c r="J159" s="42"/>
      <c r="K159" s="118"/>
      <c r="L159" s="118"/>
      <c r="M159" s="119"/>
      <c r="N159" s="119"/>
      <c r="O159" s="42"/>
      <c r="P159" s="118"/>
      <c r="Q159" s="118"/>
      <c r="R159" s="119"/>
      <c r="S159" s="119"/>
    </row>
    <row r="160" spans="10:19" ht="15.75" customHeight="1">
      <c r="J160" s="42"/>
      <c r="K160" s="118"/>
      <c r="L160" s="118"/>
      <c r="M160" s="119"/>
      <c r="N160" s="119"/>
      <c r="O160" s="42"/>
      <c r="P160" s="118"/>
      <c r="Q160" s="118"/>
      <c r="R160" s="119"/>
      <c r="S160" s="119"/>
    </row>
    <row r="161" spans="10:19" ht="15.75" customHeight="1">
      <c r="J161" s="42"/>
      <c r="K161" s="118"/>
      <c r="L161" s="118"/>
      <c r="M161" s="119"/>
      <c r="N161" s="119"/>
      <c r="O161" s="42"/>
      <c r="P161" s="118"/>
      <c r="Q161" s="118"/>
      <c r="R161" s="119"/>
      <c r="S161" s="119"/>
    </row>
    <row r="162" spans="10:19" ht="15.75" customHeight="1">
      <c r="J162" s="42"/>
      <c r="K162" s="118"/>
      <c r="L162" s="118"/>
      <c r="M162" s="119"/>
      <c r="N162" s="119"/>
      <c r="O162" s="42"/>
      <c r="P162" s="118"/>
      <c r="Q162" s="118"/>
      <c r="R162" s="119"/>
      <c r="S162" s="119"/>
    </row>
    <row r="163" spans="10:19" ht="15.75" customHeight="1">
      <c r="J163" s="42"/>
      <c r="K163" s="118"/>
      <c r="L163" s="118"/>
      <c r="M163" s="119"/>
      <c r="N163" s="119"/>
      <c r="O163" s="42"/>
      <c r="P163" s="118"/>
      <c r="Q163" s="118"/>
      <c r="R163" s="119"/>
      <c r="S163" s="119"/>
    </row>
    <row r="164" spans="10:19" ht="15.75" customHeight="1">
      <c r="J164" s="42"/>
      <c r="K164" s="118"/>
      <c r="L164" s="118"/>
      <c r="M164" s="119"/>
      <c r="N164" s="119"/>
      <c r="O164" s="42"/>
      <c r="P164" s="118"/>
      <c r="Q164" s="118"/>
      <c r="R164" s="119"/>
      <c r="S164" s="119"/>
    </row>
    <row r="165" spans="10:19" ht="15.75" customHeight="1">
      <c r="J165" s="42"/>
      <c r="K165" s="118"/>
      <c r="L165" s="118"/>
      <c r="M165" s="119"/>
      <c r="N165" s="119"/>
      <c r="O165" s="42"/>
      <c r="P165" s="118"/>
      <c r="Q165" s="118"/>
      <c r="R165" s="119"/>
      <c r="S165" s="119"/>
    </row>
    <row r="166" spans="10:19" ht="15.75" customHeight="1">
      <c r="J166" s="42"/>
      <c r="K166" s="118"/>
      <c r="L166" s="118"/>
      <c r="M166" s="119"/>
      <c r="N166" s="119"/>
      <c r="O166" s="42"/>
      <c r="P166" s="118"/>
      <c r="Q166" s="118"/>
      <c r="R166" s="119"/>
      <c r="S166" s="119"/>
    </row>
    <row r="167" spans="10:19" ht="15.75" customHeight="1">
      <c r="J167" s="42"/>
      <c r="K167" s="118"/>
      <c r="L167" s="118"/>
      <c r="M167" s="119"/>
      <c r="N167" s="119"/>
      <c r="O167" s="42"/>
      <c r="P167" s="118"/>
      <c r="Q167" s="118"/>
      <c r="R167" s="119"/>
      <c r="S167" s="119"/>
    </row>
    <row r="168" spans="10:19" ht="15.75" customHeight="1">
      <c r="J168" s="42"/>
      <c r="K168" s="118"/>
      <c r="L168" s="118"/>
      <c r="M168" s="119"/>
      <c r="N168" s="119"/>
      <c r="O168" s="42"/>
      <c r="P168" s="118"/>
      <c r="Q168" s="118"/>
      <c r="R168" s="119"/>
      <c r="S168" s="119"/>
    </row>
    <row r="169" spans="10:19" ht="15.75" customHeight="1">
      <c r="J169" s="42"/>
      <c r="K169" s="118"/>
      <c r="L169" s="118"/>
      <c r="M169" s="119"/>
      <c r="N169" s="119"/>
      <c r="O169" s="42"/>
      <c r="P169" s="118"/>
      <c r="Q169" s="118"/>
      <c r="R169" s="119"/>
      <c r="S169" s="119"/>
    </row>
    <row r="170" spans="10:19" ht="15.75" customHeight="1">
      <c r="J170" s="42"/>
      <c r="K170" s="118"/>
      <c r="L170" s="118"/>
      <c r="M170" s="119"/>
      <c r="N170" s="119"/>
      <c r="O170" s="42"/>
      <c r="P170" s="118"/>
      <c r="Q170" s="118"/>
      <c r="R170" s="119"/>
      <c r="S170" s="119"/>
    </row>
    <row r="171" spans="10:19" ht="15.75" customHeight="1">
      <c r="J171" s="42"/>
      <c r="K171" s="118"/>
      <c r="L171" s="118"/>
      <c r="M171" s="119"/>
      <c r="N171" s="119"/>
      <c r="O171" s="42"/>
      <c r="P171" s="118"/>
      <c r="Q171" s="118"/>
      <c r="R171" s="119"/>
      <c r="S171" s="119"/>
    </row>
    <row r="172" spans="10:19" ht="15.75" customHeight="1">
      <c r="J172" s="42"/>
      <c r="K172" s="118"/>
      <c r="L172" s="118"/>
      <c r="M172" s="119"/>
      <c r="N172" s="119"/>
      <c r="O172" s="42"/>
      <c r="P172" s="118"/>
      <c r="Q172" s="118"/>
      <c r="R172" s="119"/>
      <c r="S172" s="119"/>
    </row>
    <row r="173" spans="10:19" ht="15.75" customHeight="1">
      <c r="J173" s="42"/>
      <c r="K173" s="118"/>
      <c r="L173" s="118"/>
      <c r="M173" s="119"/>
      <c r="N173" s="119"/>
      <c r="O173" s="42"/>
      <c r="P173" s="118"/>
      <c r="Q173" s="118"/>
      <c r="R173" s="119"/>
      <c r="S173" s="119"/>
    </row>
    <row r="174" spans="10:19" ht="15.75" customHeight="1">
      <c r="J174" s="42"/>
      <c r="K174" s="118"/>
      <c r="L174" s="118"/>
      <c r="M174" s="119"/>
      <c r="N174" s="119"/>
      <c r="O174" s="42"/>
      <c r="P174" s="118"/>
      <c r="Q174" s="118"/>
      <c r="R174" s="119"/>
      <c r="S174" s="119"/>
    </row>
    <row r="175" spans="10:19" ht="15.75" customHeight="1">
      <c r="J175" s="42"/>
      <c r="K175" s="118"/>
      <c r="L175" s="118"/>
      <c r="M175" s="119"/>
      <c r="N175" s="119"/>
      <c r="O175" s="42"/>
      <c r="P175" s="118"/>
      <c r="Q175" s="118"/>
      <c r="R175" s="119"/>
      <c r="S175" s="119"/>
    </row>
    <row r="176" spans="10:19" ht="15.75" customHeight="1">
      <c r="J176" s="42"/>
      <c r="K176" s="118"/>
      <c r="L176" s="118"/>
      <c r="M176" s="119"/>
      <c r="N176" s="119"/>
      <c r="O176" s="42"/>
      <c r="P176" s="118"/>
      <c r="Q176" s="118"/>
      <c r="R176" s="119"/>
      <c r="S176" s="119"/>
    </row>
    <row r="177" spans="10:19" ht="15.75" customHeight="1">
      <c r="J177" s="42"/>
      <c r="K177" s="118"/>
      <c r="L177" s="118"/>
      <c r="M177" s="119"/>
      <c r="N177" s="119"/>
      <c r="O177" s="42"/>
      <c r="P177" s="118"/>
      <c r="Q177" s="118"/>
      <c r="R177" s="119"/>
      <c r="S177" s="119"/>
    </row>
    <row r="178" spans="10:19" ht="15.75" customHeight="1">
      <c r="J178" s="42"/>
      <c r="K178" s="118"/>
      <c r="L178" s="118"/>
      <c r="M178" s="119"/>
      <c r="N178" s="119"/>
      <c r="O178" s="42"/>
      <c r="P178" s="118"/>
      <c r="Q178" s="118"/>
      <c r="R178" s="119"/>
      <c r="S178" s="119"/>
    </row>
    <row r="179" spans="10:19" ht="15.75" customHeight="1">
      <c r="J179" s="42"/>
      <c r="K179" s="118"/>
      <c r="L179" s="118"/>
      <c r="M179" s="119"/>
      <c r="N179" s="119"/>
      <c r="O179" s="42"/>
      <c r="P179" s="118"/>
      <c r="Q179" s="118"/>
      <c r="R179" s="119"/>
      <c r="S179" s="119"/>
    </row>
  </sheetData>
  <mergeCells count="19">
    <mergeCell ref="A1:D1"/>
    <mergeCell ref="F1:I1"/>
    <mergeCell ref="K1:N1"/>
    <mergeCell ref="P1:S1"/>
    <mergeCell ref="U1:X1"/>
    <mergeCell ref="Z1:AC1"/>
    <mergeCell ref="AE1:AH1"/>
    <mergeCell ref="AJ1:AM1"/>
    <mergeCell ref="AO1:AR1"/>
    <mergeCell ref="AT1:AW1"/>
    <mergeCell ref="BD1:BG1"/>
    <mergeCell ref="AY1:BB1"/>
    <mergeCell ref="CM1:CP1"/>
    <mergeCell ref="CH1:CK1"/>
    <mergeCell ref="CC1:CF1"/>
    <mergeCell ref="BI1:BL1"/>
    <mergeCell ref="BN1:BQ1"/>
    <mergeCell ref="BS1:BV1"/>
    <mergeCell ref="BX1:CA1"/>
  </mergeCells>
  <phoneticPr fontId="2" type="noConversion"/>
  <pageMargins left="0.39370078740157483" right="0.19685039370078741" top="0.39370078740157483" bottom="0" header="0" footer="0"/>
  <pageSetup paperSize="12" scale="91" fitToWidth="2" orientation="landscape" r:id="rId1"/>
  <headerFooter alignWithMargins="0"/>
  <colBreaks count="3" manualBreakCount="3">
    <brk id="25" max="48" man="1"/>
    <brk id="50" max="48" man="1"/>
    <brk id="75" max="4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tabColor indexed="13"/>
  </sheetPr>
  <dimension ref="A1:CV130"/>
  <sheetViews>
    <sheetView view="pageBreakPreview" zoomScale="60" zoomScaleNormal="75" workbookViewId="0">
      <pane ySplit="1" topLeftCell="A11" activePane="bottomLeft" state="frozen"/>
      <selection activeCell="H25" sqref="H25:H26"/>
      <selection pane="bottomLeft" activeCell="CE33" sqref="CE33"/>
    </sheetView>
  </sheetViews>
  <sheetFormatPr baseColWidth="10" defaultColWidth="6.6640625" defaultRowHeight="15.75" customHeight="1"/>
  <cols>
    <col min="1" max="1" width="2.6640625" style="115" customWidth="1"/>
    <col min="2" max="2" width="7.33203125" style="115" customWidth="1"/>
    <col min="3" max="3" width="9.6640625" style="116" customWidth="1"/>
    <col min="4" max="4" width="8.6640625" style="116" customWidth="1"/>
    <col min="5" max="5" width="8.33203125" style="1" customWidth="1"/>
    <col min="6" max="6" width="2.6640625" style="115" customWidth="1"/>
    <col min="7" max="7" width="7.33203125" style="115" customWidth="1"/>
    <col min="8" max="8" width="9.6640625" style="116" customWidth="1"/>
    <col min="9" max="9" width="8.6640625" style="116" customWidth="1"/>
    <col min="10" max="10" width="8.33203125" style="1" customWidth="1"/>
    <col min="11" max="11" width="2.6640625" style="115" customWidth="1"/>
    <col min="12" max="12" width="7.33203125" style="115" customWidth="1"/>
    <col min="13" max="13" width="9.6640625" style="116" customWidth="1"/>
    <col min="14" max="14" width="8.6640625" style="116" customWidth="1"/>
    <col min="15" max="15" width="8.33203125" style="1" customWidth="1"/>
    <col min="16" max="16" width="2.6640625" style="115" customWidth="1"/>
    <col min="17" max="17" width="7.33203125" style="115" customWidth="1"/>
    <col min="18" max="18" width="9.6640625" style="116" customWidth="1"/>
    <col min="19" max="19" width="8.6640625" style="116" customWidth="1"/>
    <col min="20" max="20" width="8.33203125" style="1" customWidth="1"/>
    <col min="21" max="21" width="2.6640625" style="115" customWidth="1"/>
    <col min="22" max="22" width="7.33203125" style="115" customWidth="1"/>
    <col min="23" max="23" width="9.6640625" style="116" customWidth="1"/>
    <col min="24" max="24" width="8.6640625" style="116" customWidth="1"/>
    <col min="25" max="25" width="8.33203125" style="1" customWidth="1"/>
    <col min="26" max="26" width="2.6640625" style="115" customWidth="1"/>
    <col min="27" max="27" width="7.33203125" style="115" customWidth="1"/>
    <col min="28" max="28" width="9.6640625" style="116" customWidth="1"/>
    <col min="29" max="29" width="8.6640625" style="116" customWidth="1"/>
    <col min="30" max="30" width="8.33203125" style="1" customWidth="1"/>
    <col min="31" max="31" width="2.6640625" style="115" customWidth="1"/>
    <col min="32" max="32" width="7.33203125" style="115" customWidth="1"/>
    <col min="33" max="33" width="9.6640625" style="116" customWidth="1"/>
    <col min="34" max="34" width="8.6640625" style="116" customWidth="1"/>
    <col min="35" max="35" width="8.33203125" style="1" customWidth="1"/>
    <col min="36" max="36" width="2.6640625" style="115" customWidth="1"/>
    <col min="37" max="37" width="7.33203125" style="115" customWidth="1"/>
    <col min="38" max="38" width="9.6640625" style="116" customWidth="1"/>
    <col min="39" max="39" width="8.6640625" style="116" customWidth="1"/>
    <col min="40" max="40" width="8.33203125" style="1" customWidth="1"/>
    <col min="41" max="41" width="2.6640625" style="115" customWidth="1"/>
    <col min="42" max="42" width="7.33203125" style="115" customWidth="1"/>
    <col min="43" max="43" width="9.6640625" style="116" customWidth="1"/>
    <col min="44" max="44" width="8.6640625" style="116" customWidth="1"/>
    <col min="45" max="45" width="8.33203125" style="1" customWidth="1"/>
    <col min="46" max="46" width="2.6640625" style="115" customWidth="1"/>
    <col min="47" max="47" width="7.33203125" style="115" customWidth="1"/>
    <col min="48" max="48" width="9.6640625" style="116" customWidth="1"/>
    <col min="49" max="49" width="8.6640625" style="116" customWidth="1"/>
    <col min="50" max="50" width="8.33203125" style="1" customWidth="1"/>
    <col min="51" max="51" width="2.6640625" style="115" customWidth="1"/>
    <col min="52" max="52" width="7.33203125" style="115" customWidth="1"/>
    <col min="53" max="53" width="9.6640625" style="116" customWidth="1"/>
    <col min="54" max="54" width="8.6640625" style="116" customWidth="1"/>
    <col min="55" max="55" width="8.33203125" style="1" customWidth="1"/>
    <col min="56" max="56" width="2.6640625" style="115" customWidth="1"/>
    <col min="57" max="57" width="7.33203125" style="115" customWidth="1"/>
    <col min="58" max="58" width="9.6640625" style="116" customWidth="1"/>
    <col min="59" max="59" width="8.6640625" style="116" customWidth="1"/>
    <col min="60" max="60" width="8.33203125" style="1" customWidth="1"/>
    <col min="61" max="61" width="2.6640625" style="115" customWidth="1"/>
    <col min="62" max="62" width="7.33203125" style="115" customWidth="1"/>
    <col min="63" max="63" width="9.6640625" style="116" customWidth="1"/>
    <col min="64" max="64" width="8.6640625" style="116" customWidth="1"/>
    <col min="65" max="65" width="8.33203125" style="1" customWidth="1"/>
    <col min="66" max="66" width="2.6640625" style="115" customWidth="1"/>
    <col min="67" max="67" width="7.33203125" style="115" customWidth="1"/>
    <col min="68" max="68" width="9.6640625" style="116" customWidth="1"/>
    <col min="69" max="69" width="8.6640625" style="116" customWidth="1"/>
    <col min="70" max="70" width="8.33203125" style="1" customWidth="1"/>
    <col min="71" max="71" width="2.6640625" style="115" customWidth="1"/>
    <col min="72" max="72" width="7.33203125" style="115" customWidth="1"/>
    <col min="73" max="73" width="9.6640625" style="116" customWidth="1"/>
    <col min="74" max="74" width="8.6640625" style="116" customWidth="1"/>
    <col min="75" max="75" width="8.33203125" style="1" customWidth="1"/>
    <col min="76" max="76" width="2.6640625" style="115" customWidth="1"/>
    <col min="77" max="77" width="7.33203125" style="115" customWidth="1"/>
    <col min="78" max="78" width="9.6640625" style="116" customWidth="1"/>
    <col min="79" max="79" width="8.6640625" style="116" customWidth="1"/>
    <col min="80" max="80" width="8.33203125" style="1" customWidth="1"/>
    <col min="81" max="81" width="2.6640625" style="115" customWidth="1"/>
    <col min="82" max="82" width="7.33203125" style="115" customWidth="1"/>
    <col min="83" max="83" width="9.6640625" style="116" customWidth="1"/>
    <col min="84" max="85" width="8.6640625" style="116" customWidth="1"/>
    <col min="86" max="86" width="2.6640625" style="115" customWidth="1"/>
    <col min="87" max="87" width="7.33203125" style="115" customWidth="1"/>
    <col min="88" max="88" width="9.6640625" style="116" customWidth="1"/>
    <col min="89" max="90" width="8.6640625" style="116" customWidth="1"/>
    <col min="91" max="91" width="2.6640625" style="115" customWidth="1"/>
    <col min="92" max="92" width="7.33203125" style="115" customWidth="1"/>
    <col min="93" max="93" width="9.6640625" style="116" customWidth="1"/>
    <col min="94" max="95" width="8.6640625" style="116" customWidth="1"/>
    <col min="96" max="96" width="2.6640625" style="115" customWidth="1"/>
    <col min="97" max="97" width="7.33203125" style="115" customWidth="1"/>
    <col min="98" max="98" width="9.6640625" style="116" customWidth="1"/>
    <col min="99" max="99" width="8.6640625" style="116" customWidth="1"/>
    <col min="100" max="100" width="8.33203125" style="1" customWidth="1"/>
    <col min="101" max="16384" width="6.6640625" style="115"/>
  </cols>
  <sheetData>
    <row r="1" spans="1:100" s="3" customFormat="1" ht="21.75" customHeight="1" thickBot="1">
      <c r="A1" s="361" t="s">
        <v>62</v>
      </c>
      <c r="B1" s="361"/>
      <c r="C1" s="361"/>
      <c r="D1" s="361"/>
      <c r="E1" s="2"/>
      <c r="F1" s="361" t="s">
        <v>63</v>
      </c>
      <c r="G1" s="361"/>
      <c r="H1" s="361"/>
      <c r="I1" s="361"/>
      <c r="J1" s="2"/>
      <c r="K1" s="361" t="s">
        <v>64</v>
      </c>
      <c r="L1" s="361"/>
      <c r="M1" s="361"/>
      <c r="N1" s="361"/>
      <c r="O1" s="2"/>
      <c r="P1" s="361" t="s">
        <v>68</v>
      </c>
      <c r="Q1" s="361"/>
      <c r="R1" s="361"/>
      <c r="S1" s="361"/>
      <c r="T1" s="2"/>
      <c r="U1" s="361" t="s">
        <v>69</v>
      </c>
      <c r="V1" s="361"/>
      <c r="W1" s="361"/>
      <c r="X1" s="361"/>
      <c r="Y1" s="2"/>
      <c r="Z1" s="361" t="s">
        <v>70</v>
      </c>
      <c r="AA1" s="361"/>
      <c r="AB1" s="361"/>
      <c r="AC1" s="361"/>
      <c r="AD1" s="2"/>
      <c r="AE1" s="361" t="s">
        <v>71</v>
      </c>
      <c r="AF1" s="361"/>
      <c r="AG1" s="361"/>
      <c r="AH1" s="361"/>
      <c r="AI1" s="2"/>
      <c r="AJ1" s="361" t="s">
        <v>72</v>
      </c>
      <c r="AK1" s="361"/>
      <c r="AL1" s="361"/>
      <c r="AM1" s="361"/>
      <c r="AN1" s="2"/>
      <c r="AO1" s="361" t="s">
        <v>73</v>
      </c>
      <c r="AP1" s="361"/>
      <c r="AQ1" s="361"/>
      <c r="AR1" s="361"/>
      <c r="AS1" s="2"/>
      <c r="AT1" s="361" t="s">
        <v>74</v>
      </c>
      <c r="AU1" s="361"/>
      <c r="AV1" s="361"/>
      <c r="AW1" s="361"/>
      <c r="AX1" s="2"/>
      <c r="AY1" s="361" t="s">
        <v>75</v>
      </c>
      <c r="AZ1" s="361"/>
      <c r="BA1" s="361"/>
      <c r="BB1" s="361"/>
      <c r="BC1" s="2"/>
      <c r="BD1" s="361" t="s">
        <v>76</v>
      </c>
      <c r="BE1" s="361"/>
      <c r="BF1" s="361"/>
      <c r="BG1" s="361"/>
      <c r="BH1" s="2"/>
      <c r="BI1" s="361" t="s">
        <v>77</v>
      </c>
      <c r="BJ1" s="361"/>
      <c r="BK1" s="361"/>
      <c r="BL1" s="361"/>
      <c r="BM1" s="2"/>
      <c r="BN1" s="361" t="s">
        <v>78</v>
      </c>
      <c r="BO1" s="361"/>
      <c r="BP1" s="361"/>
      <c r="BQ1" s="361"/>
      <c r="BR1" s="2"/>
      <c r="BS1" s="361" t="s">
        <v>79</v>
      </c>
      <c r="BT1" s="361"/>
      <c r="BU1" s="361"/>
      <c r="BV1" s="361"/>
      <c r="BW1" s="2"/>
      <c r="BX1" s="361" t="s">
        <v>1296</v>
      </c>
      <c r="BY1" s="361"/>
      <c r="BZ1" s="361"/>
      <c r="CA1" s="361"/>
      <c r="CB1" s="2"/>
      <c r="CC1" s="361" t="s">
        <v>1297</v>
      </c>
      <c r="CD1" s="361"/>
      <c r="CE1" s="361"/>
      <c r="CF1" s="361"/>
      <c r="CG1" s="2"/>
      <c r="CH1" s="361" t="s">
        <v>1298</v>
      </c>
      <c r="CI1" s="361"/>
      <c r="CJ1" s="361"/>
      <c r="CK1" s="361"/>
      <c r="CL1" s="2"/>
      <c r="CM1" s="361" t="s">
        <v>3698</v>
      </c>
      <c r="CN1" s="361"/>
      <c r="CO1" s="361"/>
      <c r="CP1" s="361"/>
      <c r="CQ1" s="2"/>
      <c r="CR1" s="361" t="s">
        <v>80</v>
      </c>
      <c r="CS1" s="361"/>
      <c r="CT1" s="361"/>
      <c r="CU1" s="361"/>
      <c r="CV1" s="53"/>
    </row>
    <row r="2" spans="1:100" s="8" customFormat="1" ht="15" customHeight="1" thickTop="1">
      <c r="A2" s="4">
        <v>1</v>
      </c>
      <c r="B2" s="25">
        <v>101101</v>
      </c>
      <c r="C2" s="5" t="s">
        <v>2756</v>
      </c>
      <c r="D2" s="6" t="s">
        <v>59</v>
      </c>
      <c r="E2" s="50"/>
      <c r="F2" s="4">
        <v>1</v>
      </c>
      <c r="G2" s="25">
        <v>101201</v>
      </c>
      <c r="H2" s="5" t="s">
        <v>2757</v>
      </c>
      <c r="I2" s="6" t="s">
        <v>59</v>
      </c>
      <c r="J2" s="138"/>
      <c r="K2" s="4">
        <v>1</v>
      </c>
      <c r="L2" s="25">
        <v>101301</v>
      </c>
      <c r="M2" s="5" t="s">
        <v>2758</v>
      </c>
      <c r="N2" s="6" t="s">
        <v>59</v>
      </c>
      <c r="O2" s="138"/>
      <c r="P2" s="4">
        <v>1</v>
      </c>
      <c r="Q2" s="25">
        <v>101401</v>
      </c>
      <c r="R2" s="5" t="s">
        <v>2759</v>
      </c>
      <c r="S2" s="6" t="s">
        <v>59</v>
      </c>
      <c r="T2" s="138"/>
      <c r="U2" s="4">
        <v>1</v>
      </c>
      <c r="V2" s="25">
        <v>102101</v>
      </c>
      <c r="W2" s="5" t="s">
        <v>2760</v>
      </c>
      <c r="X2" s="6" t="s">
        <v>59</v>
      </c>
      <c r="Y2" s="138"/>
      <c r="Z2" s="4">
        <v>1</v>
      </c>
      <c r="AA2" s="25">
        <v>102201</v>
      </c>
      <c r="AB2" s="332" t="s">
        <v>3517</v>
      </c>
      <c r="AC2" s="6" t="s">
        <v>59</v>
      </c>
      <c r="AD2" s="138"/>
      <c r="AE2" s="4">
        <v>1</v>
      </c>
      <c r="AF2" s="25">
        <v>102301</v>
      </c>
      <c r="AG2" s="5" t="s">
        <v>2762</v>
      </c>
      <c r="AH2" s="6" t="s">
        <v>59</v>
      </c>
      <c r="AI2" s="135"/>
      <c r="AJ2" s="4">
        <v>1</v>
      </c>
      <c r="AK2" s="25">
        <v>102401</v>
      </c>
      <c r="AL2" s="5" t="s">
        <v>1314</v>
      </c>
      <c r="AM2" s="6" t="s">
        <v>59</v>
      </c>
      <c r="AN2" s="135"/>
      <c r="AO2" s="4">
        <v>1</v>
      </c>
      <c r="AP2" s="25">
        <v>103101</v>
      </c>
      <c r="AQ2" s="5" t="s">
        <v>2763</v>
      </c>
      <c r="AR2" s="6" t="s">
        <v>59</v>
      </c>
      <c r="AS2" s="50"/>
      <c r="AT2" s="4">
        <v>1</v>
      </c>
      <c r="AU2" s="25">
        <v>103201</v>
      </c>
      <c r="AV2" s="5" t="s">
        <v>2764</v>
      </c>
      <c r="AW2" s="6" t="s">
        <v>59</v>
      </c>
      <c r="AX2" s="135"/>
      <c r="AY2" s="4">
        <v>1</v>
      </c>
      <c r="AZ2" s="25">
        <v>103301</v>
      </c>
      <c r="BA2" s="5" t="s">
        <v>2765</v>
      </c>
      <c r="BB2" s="6" t="s">
        <v>59</v>
      </c>
      <c r="BC2" s="50"/>
      <c r="BD2" s="4">
        <v>1</v>
      </c>
      <c r="BE2" s="25">
        <v>104101</v>
      </c>
      <c r="BF2" s="5" t="s">
        <v>2766</v>
      </c>
      <c r="BG2" s="6" t="s">
        <v>59</v>
      </c>
      <c r="BH2" s="50"/>
      <c r="BI2" s="4">
        <v>1</v>
      </c>
      <c r="BJ2" s="25">
        <v>104201</v>
      </c>
      <c r="BK2" s="5" t="s">
        <v>2767</v>
      </c>
      <c r="BL2" s="6" t="s">
        <v>59</v>
      </c>
      <c r="BM2" s="50"/>
      <c r="BN2" s="4">
        <v>1</v>
      </c>
      <c r="BO2" s="25">
        <v>105101</v>
      </c>
      <c r="BP2" s="5" t="s">
        <v>2768</v>
      </c>
      <c r="BQ2" s="6" t="s">
        <v>59</v>
      </c>
      <c r="BR2" s="50"/>
      <c r="BS2" s="4">
        <v>1</v>
      </c>
      <c r="BT2" s="25">
        <v>105201</v>
      </c>
      <c r="BU2" s="5" t="s">
        <v>2769</v>
      </c>
      <c r="BV2" s="6" t="s">
        <v>59</v>
      </c>
      <c r="BW2" s="138"/>
      <c r="BX2" s="4">
        <v>1</v>
      </c>
      <c r="BY2" s="25">
        <v>108101</v>
      </c>
      <c r="BZ2" s="5" t="s">
        <v>2770</v>
      </c>
      <c r="CA2" s="6" t="s">
        <v>59</v>
      </c>
      <c r="CB2" s="138"/>
      <c r="CC2" s="4">
        <v>1</v>
      </c>
      <c r="CD2" s="25">
        <v>108201</v>
      </c>
      <c r="CE2" s="5" t="s">
        <v>2771</v>
      </c>
      <c r="CF2" s="6" t="s">
        <v>60</v>
      </c>
      <c r="CG2" s="135"/>
      <c r="CH2" s="4">
        <v>1</v>
      </c>
      <c r="CI2" s="25">
        <v>106101</v>
      </c>
      <c r="CJ2" s="5" t="s">
        <v>2772</v>
      </c>
      <c r="CK2" s="6" t="s">
        <v>59</v>
      </c>
      <c r="CL2" s="7"/>
      <c r="CM2" s="4">
        <v>1</v>
      </c>
      <c r="CN2" s="25">
        <v>109101</v>
      </c>
      <c r="CO2" s="5" t="s">
        <v>2773</v>
      </c>
      <c r="CP2" s="6" t="s">
        <v>59</v>
      </c>
      <c r="CQ2" s="7"/>
      <c r="CR2" s="4">
        <v>1</v>
      </c>
      <c r="CS2" s="25">
        <v>107101</v>
      </c>
      <c r="CT2" s="5" t="s">
        <v>2774</v>
      </c>
      <c r="CU2" s="6" t="s">
        <v>59</v>
      </c>
      <c r="CV2" s="7"/>
    </row>
    <row r="3" spans="1:100" s="8" customFormat="1" ht="15" customHeight="1">
      <c r="A3" s="9">
        <v>2</v>
      </c>
      <c r="B3" s="26">
        <v>101102</v>
      </c>
      <c r="C3" s="10" t="s">
        <v>2775</v>
      </c>
      <c r="D3" s="11" t="s">
        <v>59</v>
      </c>
      <c r="E3" s="138"/>
      <c r="F3" s="9">
        <v>2</v>
      </c>
      <c r="G3" s="26">
        <v>101202</v>
      </c>
      <c r="H3" s="10" t="s">
        <v>2776</v>
      </c>
      <c r="I3" s="11" t="s">
        <v>59</v>
      </c>
      <c r="J3" s="138"/>
      <c r="K3" s="9">
        <v>2</v>
      </c>
      <c r="L3" s="26">
        <v>101302</v>
      </c>
      <c r="M3" s="10" t="s">
        <v>2777</v>
      </c>
      <c r="N3" s="11" t="s">
        <v>59</v>
      </c>
      <c r="O3" s="138"/>
      <c r="P3" s="9">
        <v>2</v>
      </c>
      <c r="Q3" s="26">
        <v>101402</v>
      </c>
      <c r="R3" s="10" t="s">
        <v>2778</v>
      </c>
      <c r="S3" s="11" t="s">
        <v>59</v>
      </c>
      <c r="T3" s="138"/>
      <c r="U3" s="9">
        <v>2</v>
      </c>
      <c r="V3" s="26">
        <v>102102</v>
      </c>
      <c r="W3" s="10" t="s">
        <v>2779</v>
      </c>
      <c r="X3" s="11" t="s">
        <v>59</v>
      </c>
      <c r="Y3" s="138"/>
      <c r="Z3" s="9">
        <v>2</v>
      </c>
      <c r="AA3" s="26">
        <v>102202</v>
      </c>
      <c r="AB3" s="10" t="s">
        <v>2780</v>
      </c>
      <c r="AC3" s="11" t="s">
        <v>59</v>
      </c>
      <c r="AD3" s="50"/>
      <c r="AE3" s="9">
        <v>2</v>
      </c>
      <c r="AF3" s="26">
        <v>102302</v>
      </c>
      <c r="AG3" s="10" t="s">
        <v>2781</v>
      </c>
      <c r="AH3" s="11" t="s">
        <v>59</v>
      </c>
      <c r="AI3" s="135"/>
      <c r="AJ3" s="9">
        <v>2</v>
      </c>
      <c r="AK3" s="26">
        <v>102402</v>
      </c>
      <c r="AL3" s="10" t="s">
        <v>2782</v>
      </c>
      <c r="AM3" s="11" t="s">
        <v>59</v>
      </c>
      <c r="AN3" s="135"/>
      <c r="AO3" s="9">
        <v>2</v>
      </c>
      <c r="AP3" s="26">
        <v>103102</v>
      </c>
      <c r="AQ3" s="10" t="s">
        <v>1456</v>
      </c>
      <c r="AR3" s="11" t="s">
        <v>59</v>
      </c>
      <c r="AS3" s="135"/>
      <c r="AT3" s="9">
        <v>2</v>
      </c>
      <c r="AU3" s="26">
        <v>103202</v>
      </c>
      <c r="AV3" s="10" t="s">
        <v>2783</v>
      </c>
      <c r="AW3" s="11" t="s">
        <v>59</v>
      </c>
      <c r="AX3" s="135"/>
      <c r="AY3" s="9">
        <v>2</v>
      </c>
      <c r="AZ3" s="26">
        <v>103302</v>
      </c>
      <c r="BA3" s="10" t="s">
        <v>2784</v>
      </c>
      <c r="BB3" s="11" t="s">
        <v>59</v>
      </c>
      <c r="BC3" s="50"/>
      <c r="BD3" s="9">
        <v>2</v>
      </c>
      <c r="BE3" s="26">
        <v>104102</v>
      </c>
      <c r="BF3" s="10" t="s">
        <v>2785</v>
      </c>
      <c r="BG3" s="11" t="s">
        <v>59</v>
      </c>
      <c r="BH3" s="50"/>
      <c r="BI3" s="9">
        <v>2</v>
      </c>
      <c r="BJ3" s="26">
        <v>104202</v>
      </c>
      <c r="BK3" s="10" t="s">
        <v>2786</v>
      </c>
      <c r="BL3" s="11" t="s">
        <v>59</v>
      </c>
      <c r="BM3" s="50"/>
      <c r="BN3" s="9">
        <v>2</v>
      </c>
      <c r="BO3" s="26">
        <v>105102</v>
      </c>
      <c r="BP3" s="10" t="s">
        <v>2787</v>
      </c>
      <c r="BQ3" s="11" t="s">
        <v>59</v>
      </c>
      <c r="BR3" s="135"/>
      <c r="BS3" s="9">
        <v>2</v>
      </c>
      <c r="BT3" s="26">
        <v>105202</v>
      </c>
      <c r="BU3" s="10" t="s">
        <v>2788</v>
      </c>
      <c r="BV3" s="11" t="s">
        <v>59</v>
      </c>
      <c r="BW3" s="135"/>
      <c r="BX3" s="9">
        <v>2</v>
      </c>
      <c r="BY3" s="26">
        <v>108102</v>
      </c>
      <c r="BZ3" s="10" t="s">
        <v>2789</v>
      </c>
      <c r="CA3" s="11" t="s">
        <v>60</v>
      </c>
      <c r="CB3" s="135"/>
      <c r="CC3" s="9">
        <v>2</v>
      </c>
      <c r="CD3" s="26">
        <v>108202</v>
      </c>
      <c r="CE3" s="10" t="s">
        <v>2790</v>
      </c>
      <c r="CF3" s="11" t="s">
        <v>59</v>
      </c>
      <c r="CG3" s="135"/>
      <c r="CH3" s="9">
        <v>2</v>
      </c>
      <c r="CI3" s="26">
        <v>106102</v>
      </c>
      <c r="CJ3" s="10" t="s">
        <v>2791</v>
      </c>
      <c r="CK3" s="11" t="s">
        <v>59</v>
      </c>
      <c r="CL3" s="7"/>
      <c r="CM3" s="9">
        <v>2</v>
      </c>
      <c r="CN3" s="26">
        <v>109102</v>
      </c>
      <c r="CO3" s="10" t="s">
        <v>2792</v>
      </c>
      <c r="CP3" s="11" t="s">
        <v>59</v>
      </c>
      <c r="CQ3" s="7"/>
      <c r="CR3" s="9">
        <v>2</v>
      </c>
      <c r="CS3" s="204">
        <v>107102</v>
      </c>
      <c r="CT3" s="205" t="s">
        <v>2793</v>
      </c>
      <c r="CU3" s="206" t="s">
        <v>60</v>
      </c>
      <c r="CV3" s="299" t="s">
        <v>4423</v>
      </c>
    </row>
    <row r="4" spans="1:100" s="8" customFormat="1" ht="15" customHeight="1">
      <c r="A4" s="9">
        <v>3</v>
      </c>
      <c r="B4" s="21">
        <v>101103</v>
      </c>
      <c r="C4" s="10" t="s">
        <v>2794</v>
      </c>
      <c r="D4" s="11" t="s">
        <v>59</v>
      </c>
      <c r="E4" s="138"/>
      <c r="F4" s="9">
        <v>3</v>
      </c>
      <c r="G4" s="21">
        <v>101204</v>
      </c>
      <c r="H4" s="10" t="s">
        <v>2813</v>
      </c>
      <c r="I4" s="11" t="s">
        <v>59</v>
      </c>
      <c r="J4" s="138"/>
      <c r="K4" s="9">
        <v>3</v>
      </c>
      <c r="L4" s="21">
        <v>101303</v>
      </c>
      <c r="M4" s="10" t="s">
        <v>2796</v>
      </c>
      <c r="N4" s="11" t="s">
        <v>59</v>
      </c>
      <c r="O4" s="135"/>
      <c r="P4" s="9">
        <v>3</v>
      </c>
      <c r="Q4" s="21">
        <v>101403</v>
      </c>
      <c r="R4" s="10" t="s">
        <v>2797</v>
      </c>
      <c r="S4" s="11" t="s">
        <v>60</v>
      </c>
      <c r="T4" s="138"/>
      <c r="U4" s="9">
        <v>3</v>
      </c>
      <c r="V4" s="21">
        <v>102103</v>
      </c>
      <c r="W4" s="10" t="s">
        <v>2798</v>
      </c>
      <c r="X4" s="11" t="s">
        <v>59</v>
      </c>
      <c r="Y4" s="138"/>
      <c r="Z4" s="9">
        <v>3</v>
      </c>
      <c r="AA4" s="21">
        <v>102203</v>
      </c>
      <c r="AB4" s="10" t="s">
        <v>2799</v>
      </c>
      <c r="AC4" s="11" t="s">
        <v>59</v>
      </c>
      <c r="AD4" s="138"/>
      <c r="AE4" s="9">
        <v>3</v>
      </c>
      <c r="AF4" s="21">
        <v>102303</v>
      </c>
      <c r="AG4" s="10" t="s">
        <v>2800</v>
      </c>
      <c r="AH4" s="11" t="s">
        <v>59</v>
      </c>
      <c r="AI4" s="135"/>
      <c r="AJ4" s="9">
        <v>3</v>
      </c>
      <c r="AK4" s="21">
        <v>102403</v>
      </c>
      <c r="AL4" s="10" t="s">
        <v>2801</v>
      </c>
      <c r="AM4" s="11" t="s">
        <v>59</v>
      </c>
      <c r="AN4" s="135"/>
      <c r="AO4" s="9">
        <v>3</v>
      </c>
      <c r="AP4" s="21">
        <v>103103</v>
      </c>
      <c r="AQ4" s="10" t="s">
        <v>2820</v>
      </c>
      <c r="AR4" s="11" t="s">
        <v>59</v>
      </c>
      <c r="AS4" s="135"/>
      <c r="AT4" s="9">
        <v>3</v>
      </c>
      <c r="AU4" s="21">
        <v>103203</v>
      </c>
      <c r="AV4" s="10" t="s">
        <v>2802</v>
      </c>
      <c r="AW4" s="11" t="s">
        <v>59</v>
      </c>
      <c r="AX4" s="135"/>
      <c r="AY4" s="9">
        <v>3</v>
      </c>
      <c r="AZ4" s="21">
        <v>103303</v>
      </c>
      <c r="BA4" s="10" t="s">
        <v>2803</v>
      </c>
      <c r="BB4" s="11" t="s">
        <v>59</v>
      </c>
      <c r="BC4" s="50"/>
      <c r="BD4" s="9">
        <v>3</v>
      </c>
      <c r="BE4" s="21">
        <v>104104</v>
      </c>
      <c r="BF4" s="10" t="s">
        <v>2823</v>
      </c>
      <c r="BG4" s="11" t="s">
        <v>59</v>
      </c>
      <c r="BH4" s="207"/>
      <c r="BI4" s="9">
        <v>3</v>
      </c>
      <c r="BJ4" s="21">
        <v>104205</v>
      </c>
      <c r="BK4" s="10" t="s">
        <v>2842</v>
      </c>
      <c r="BL4" s="11" t="s">
        <v>59</v>
      </c>
      <c r="BM4" s="50"/>
      <c r="BN4" s="9">
        <v>3</v>
      </c>
      <c r="BO4" s="21">
        <v>105104</v>
      </c>
      <c r="BP4" s="10" t="s">
        <v>2825</v>
      </c>
      <c r="BQ4" s="11" t="s">
        <v>59</v>
      </c>
      <c r="BR4" s="138"/>
      <c r="BS4" s="9">
        <v>3</v>
      </c>
      <c r="BT4" s="21">
        <v>105203</v>
      </c>
      <c r="BU4" s="10" t="s">
        <v>2806</v>
      </c>
      <c r="BV4" s="11" t="s">
        <v>59</v>
      </c>
      <c r="BW4" s="138"/>
      <c r="BX4" s="9">
        <v>3</v>
      </c>
      <c r="BY4" s="21">
        <v>108103</v>
      </c>
      <c r="BZ4" s="10" t="s">
        <v>2807</v>
      </c>
      <c r="CA4" s="11" t="s">
        <v>60</v>
      </c>
      <c r="CB4" s="135"/>
      <c r="CC4" s="9">
        <v>3</v>
      </c>
      <c r="CD4" s="21">
        <v>108203</v>
      </c>
      <c r="CE4" s="10" t="s">
        <v>2808</v>
      </c>
      <c r="CF4" s="11" t="s">
        <v>60</v>
      </c>
      <c r="CG4" s="135"/>
      <c r="CH4" s="9">
        <v>3</v>
      </c>
      <c r="CI4" s="21">
        <v>106103</v>
      </c>
      <c r="CJ4" s="10" t="s">
        <v>2809</v>
      </c>
      <c r="CK4" s="11" t="s">
        <v>59</v>
      </c>
      <c r="CL4" s="7"/>
      <c r="CM4" s="9">
        <v>3</v>
      </c>
      <c r="CN4" s="21">
        <v>109103</v>
      </c>
      <c r="CO4" s="10" t="s">
        <v>2810</v>
      </c>
      <c r="CP4" s="11" t="s">
        <v>60</v>
      </c>
      <c r="CQ4" s="7"/>
      <c r="CR4" s="9">
        <v>3</v>
      </c>
      <c r="CS4" s="21">
        <v>107103</v>
      </c>
      <c r="CT4" s="10" t="s">
        <v>2811</v>
      </c>
      <c r="CU4" s="11" t="s">
        <v>59</v>
      </c>
      <c r="CV4" s="7"/>
    </row>
    <row r="5" spans="1:100" s="8" customFormat="1" ht="15" customHeight="1">
      <c r="A5" s="9">
        <v>4</v>
      </c>
      <c r="B5" s="21">
        <v>101104</v>
      </c>
      <c r="C5" s="10" t="s">
        <v>2812</v>
      </c>
      <c r="D5" s="11" t="s">
        <v>59</v>
      </c>
      <c r="E5" s="138"/>
      <c r="F5" s="9">
        <v>4</v>
      </c>
      <c r="G5" s="21">
        <v>101206</v>
      </c>
      <c r="H5" s="10" t="s">
        <v>2851</v>
      </c>
      <c r="I5" s="11" t="s">
        <v>59</v>
      </c>
      <c r="J5" s="138"/>
      <c r="K5" s="9">
        <v>4</v>
      </c>
      <c r="L5" s="21">
        <v>101305</v>
      </c>
      <c r="M5" s="10" t="s">
        <v>2833</v>
      </c>
      <c r="N5" s="11" t="s">
        <v>59</v>
      </c>
      <c r="O5" s="263"/>
      <c r="P5" s="9">
        <v>4</v>
      </c>
      <c r="Q5" s="21">
        <v>101404</v>
      </c>
      <c r="R5" s="10" t="s">
        <v>2815</v>
      </c>
      <c r="S5" s="11" t="s">
        <v>59</v>
      </c>
      <c r="T5" s="138"/>
      <c r="U5" s="9">
        <v>4</v>
      </c>
      <c r="V5" s="21">
        <v>102104</v>
      </c>
      <c r="W5" s="10" t="s">
        <v>2816</v>
      </c>
      <c r="X5" s="11" t="s">
        <v>59</v>
      </c>
      <c r="Y5" s="138"/>
      <c r="Z5" s="9">
        <v>4</v>
      </c>
      <c r="AA5" s="21">
        <v>102204</v>
      </c>
      <c r="AB5" s="10" t="s">
        <v>2817</v>
      </c>
      <c r="AC5" s="11" t="s">
        <v>59</v>
      </c>
      <c r="AD5" s="138"/>
      <c r="AE5" s="9">
        <v>4</v>
      </c>
      <c r="AF5" s="21">
        <v>102304</v>
      </c>
      <c r="AG5" s="10" t="s">
        <v>2818</v>
      </c>
      <c r="AH5" s="11" t="s">
        <v>59</v>
      </c>
      <c r="AI5" s="135"/>
      <c r="AJ5" s="9">
        <v>4</v>
      </c>
      <c r="AK5" s="21">
        <v>102404</v>
      </c>
      <c r="AL5" s="10" t="s">
        <v>2819</v>
      </c>
      <c r="AM5" s="11" t="s">
        <v>59</v>
      </c>
      <c r="AN5" s="135"/>
      <c r="AO5" s="9">
        <v>4</v>
      </c>
      <c r="AP5" s="21">
        <v>103104</v>
      </c>
      <c r="AQ5" s="10" t="s">
        <v>2838</v>
      </c>
      <c r="AR5" s="11" t="s">
        <v>59</v>
      </c>
      <c r="AS5" s="135"/>
      <c r="AT5" s="9">
        <v>4</v>
      </c>
      <c r="AU5" s="21">
        <v>103204</v>
      </c>
      <c r="AV5" s="10" t="s">
        <v>2821</v>
      </c>
      <c r="AW5" s="11" t="s">
        <v>59</v>
      </c>
      <c r="AX5" s="135"/>
      <c r="AY5" s="9">
        <v>4</v>
      </c>
      <c r="AZ5" s="21">
        <v>103304</v>
      </c>
      <c r="BA5" s="10" t="s">
        <v>2822</v>
      </c>
      <c r="BB5" s="11" t="s">
        <v>59</v>
      </c>
      <c r="BC5" s="50"/>
      <c r="BD5" s="9">
        <v>4</v>
      </c>
      <c r="BE5" s="21">
        <v>104105</v>
      </c>
      <c r="BF5" s="10" t="s">
        <v>2841</v>
      </c>
      <c r="BG5" s="11" t="s">
        <v>59</v>
      </c>
      <c r="BH5" s="50"/>
      <c r="BI5" s="9">
        <v>4</v>
      </c>
      <c r="BJ5" s="21">
        <v>104206</v>
      </c>
      <c r="BK5" s="10" t="s">
        <v>2836</v>
      </c>
      <c r="BL5" s="11" t="s">
        <v>59</v>
      </c>
      <c r="BM5" s="50"/>
      <c r="BN5" s="9">
        <v>4</v>
      </c>
      <c r="BO5" s="21">
        <v>105105</v>
      </c>
      <c r="BP5" s="10" t="s">
        <v>2843</v>
      </c>
      <c r="BQ5" s="11" t="s">
        <v>60</v>
      </c>
      <c r="BR5" s="138"/>
      <c r="BS5" s="9">
        <v>4</v>
      </c>
      <c r="BT5" s="21">
        <v>105204</v>
      </c>
      <c r="BU5" s="10" t="s">
        <v>2826</v>
      </c>
      <c r="BV5" s="11" t="s">
        <v>59</v>
      </c>
      <c r="BW5" s="135"/>
      <c r="BX5" s="9">
        <v>4</v>
      </c>
      <c r="BY5" s="21">
        <v>108104</v>
      </c>
      <c r="BZ5" s="10" t="s">
        <v>2827</v>
      </c>
      <c r="CA5" s="11" t="s">
        <v>60</v>
      </c>
      <c r="CB5" s="138"/>
      <c r="CC5" s="9">
        <v>4</v>
      </c>
      <c r="CD5" s="21">
        <v>108204</v>
      </c>
      <c r="CE5" s="10" t="s">
        <v>2828</v>
      </c>
      <c r="CF5" s="11" t="s">
        <v>60</v>
      </c>
      <c r="CG5" s="135"/>
      <c r="CH5" s="9">
        <v>4</v>
      </c>
      <c r="CI5" s="21">
        <v>106105</v>
      </c>
      <c r="CJ5" s="10" t="s">
        <v>2847</v>
      </c>
      <c r="CK5" s="11" t="s">
        <v>59</v>
      </c>
      <c r="CL5" s="299"/>
      <c r="CM5" s="9">
        <v>4</v>
      </c>
      <c r="CN5" s="21">
        <v>109104</v>
      </c>
      <c r="CO5" s="10" t="s">
        <v>2830</v>
      </c>
      <c r="CP5" s="11" t="s">
        <v>59</v>
      </c>
      <c r="CQ5" s="7"/>
      <c r="CR5" s="9">
        <v>4</v>
      </c>
      <c r="CS5" s="21">
        <v>107104</v>
      </c>
      <c r="CT5" s="10" t="s">
        <v>2831</v>
      </c>
      <c r="CU5" s="11" t="s">
        <v>59</v>
      </c>
      <c r="CV5" s="7"/>
    </row>
    <row r="6" spans="1:100" s="8" customFormat="1" ht="15" customHeight="1" thickBot="1">
      <c r="A6" s="12">
        <v>5</v>
      </c>
      <c r="B6" s="27">
        <v>101105</v>
      </c>
      <c r="C6" s="13" t="s">
        <v>2832</v>
      </c>
      <c r="D6" s="14" t="s">
        <v>59</v>
      </c>
      <c r="E6" s="138"/>
      <c r="F6" s="12">
        <v>5</v>
      </c>
      <c r="G6" s="27">
        <v>101207</v>
      </c>
      <c r="H6" s="13" t="s">
        <v>2870</v>
      </c>
      <c r="I6" s="14" t="s">
        <v>59</v>
      </c>
      <c r="J6" s="138"/>
      <c r="K6" s="12">
        <v>5</v>
      </c>
      <c r="L6" s="27">
        <v>101306</v>
      </c>
      <c r="M6" s="13" t="s">
        <v>2852</v>
      </c>
      <c r="N6" s="14" t="s">
        <v>60</v>
      </c>
      <c r="O6" s="138"/>
      <c r="P6" s="12">
        <v>5</v>
      </c>
      <c r="Q6" s="27">
        <v>101405</v>
      </c>
      <c r="R6" s="13" t="s">
        <v>2834</v>
      </c>
      <c r="S6" s="14" t="s">
        <v>60</v>
      </c>
      <c r="T6" s="138"/>
      <c r="U6" s="12">
        <v>5</v>
      </c>
      <c r="V6" s="27">
        <v>102105</v>
      </c>
      <c r="W6" s="13" t="s">
        <v>554</v>
      </c>
      <c r="X6" s="14" t="s">
        <v>59</v>
      </c>
      <c r="Y6" s="138"/>
      <c r="Z6" s="12">
        <v>5</v>
      </c>
      <c r="AA6" s="27">
        <v>102205</v>
      </c>
      <c r="AB6" s="13" t="s">
        <v>2835</v>
      </c>
      <c r="AC6" s="14" t="s">
        <v>59</v>
      </c>
      <c r="AD6" s="138"/>
      <c r="AE6" s="12">
        <v>5</v>
      </c>
      <c r="AF6" s="27">
        <v>102305</v>
      </c>
      <c r="AG6" s="13" t="s">
        <v>2836</v>
      </c>
      <c r="AH6" s="14" t="s">
        <v>59</v>
      </c>
      <c r="AI6" s="135"/>
      <c r="AJ6" s="12">
        <v>5</v>
      </c>
      <c r="AK6" s="27">
        <v>102405</v>
      </c>
      <c r="AL6" s="13" t="s">
        <v>2837</v>
      </c>
      <c r="AM6" s="14" t="s">
        <v>59</v>
      </c>
      <c r="AN6" s="135"/>
      <c r="AO6" s="12">
        <v>5</v>
      </c>
      <c r="AP6" s="27">
        <v>103105</v>
      </c>
      <c r="AQ6" s="13" t="s">
        <v>2858</v>
      </c>
      <c r="AR6" s="14" t="s">
        <v>59</v>
      </c>
      <c r="AS6" s="135"/>
      <c r="AT6" s="12">
        <v>5</v>
      </c>
      <c r="AU6" s="27">
        <v>103205</v>
      </c>
      <c r="AV6" s="13" t="s">
        <v>2839</v>
      </c>
      <c r="AW6" s="14" t="s">
        <v>59</v>
      </c>
      <c r="AX6" s="135"/>
      <c r="AY6" s="12">
        <v>5</v>
      </c>
      <c r="AZ6" s="27">
        <v>103305</v>
      </c>
      <c r="BA6" s="13" t="s">
        <v>2840</v>
      </c>
      <c r="BB6" s="14" t="s">
        <v>59</v>
      </c>
      <c r="BC6" s="50"/>
      <c r="BD6" s="12">
        <v>5</v>
      </c>
      <c r="BE6" s="27">
        <v>104106</v>
      </c>
      <c r="BF6" s="13" t="s">
        <v>2861</v>
      </c>
      <c r="BG6" s="14" t="s">
        <v>59</v>
      </c>
      <c r="BH6" s="50"/>
      <c r="BI6" s="12">
        <v>5</v>
      </c>
      <c r="BJ6" s="27">
        <v>104207</v>
      </c>
      <c r="BK6" s="13" t="s">
        <v>2881</v>
      </c>
      <c r="BL6" s="14" t="s">
        <v>59</v>
      </c>
      <c r="BM6" s="50"/>
      <c r="BN6" s="12">
        <v>5</v>
      </c>
      <c r="BO6" s="27">
        <v>105106</v>
      </c>
      <c r="BP6" s="13" t="s">
        <v>2862</v>
      </c>
      <c r="BQ6" s="14" t="s">
        <v>59</v>
      </c>
      <c r="BR6" s="135"/>
      <c r="BS6" s="12">
        <v>5</v>
      </c>
      <c r="BT6" s="27">
        <v>105206</v>
      </c>
      <c r="BU6" s="13" t="s">
        <v>2863</v>
      </c>
      <c r="BV6" s="14" t="s">
        <v>59</v>
      </c>
      <c r="BW6" s="135"/>
      <c r="BX6" s="12">
        <v>5</v>
      </c>
      <c r="BY6" s="27">
        <v>108105</v>
      </c>
      <c r="BZ6" s="13" t="s">
        <v>2845</v>
      </c>
      <c r="CA6" s="14" t="s">
        <v>59</v>
      </c>
      <c r="CB6" s="135"/>
      <c r="CC6" s="12">
        <v>5</v>
      </c>
      <c r="CD6" s="27">
        <v>108205</v>
      </c>
      <c r="CE6" s="13" t="s">
        <v>2846</v>
      </c>
      <c r="CF6" s="14" t="s">
        <v>60</v>
      </c>
      <c r="CG6" s="135"/>
      <c r="CH6" s="12">
        <v>5</v>
      </c>
      <c r="CI6" s="27">
        <v>106106</v>
      </c>
      <c r="CJ6" s="13" t="s">
        <v>2866</v>
      </c>
      <c r="CK6" s="14" t="s">
        <v>59</v>
      </c>
      <c r="CL6" s="7"/>
      <c r="CM6" s="12">
        <v>5</v>
      </c>
      <c r="CN6" s="27">
        <v>109105</v>
      </c>
      <c r="CO6" s="13" t="s">
        <v>2848</v>
      </c>
      <c r="CP6" s="14" t="s">
        <v>59</v>
      </c>
      <c r="CQ6" s="7"/>
      <c r="CR6" s="12">
        <v>5</v>
      </c>
      <c r="CS6" s="27">
        <v>107105</v>
      </c>
      <c r="CT6" s="13" t="s">
        <v>2849</v>
      </c>
      <c r="CU6" s="14" t="s">
        <v>59</v>
      </c>
      <c r="CV6" s="7"/>
    </row>
    <row r="7" spans="1:100" s="8" customFormat="1" ht="15" customHeight="1" thickTop="1">
      <c r="A7" s="4">
        <v>6</v>
      </c>
      <c r="B7" s="25">
        <v>101106</v>
      </c>
      <c r="C7" s="5" t="s">
        <v>2850</v>
      </c>
      <c r="D7" s="6" t="s">
        <v>59</v>
      </c>
      <c r="E7" s="138"/>
      <c r="F7" s="4">
        <v>6</v>
      </c>
      <c r="G7" s="25">
        <v>101208</v>
      </c>
      <c r="H7" s="5" t="s">
        <v>2890</v>
      </c>
      <c r="I7" s="6" t="s">
        <v>59</v>
      </c>
      <c r="J7" s="138"/>
      <c r="K7" s="4">
        <v>6</v>
      </c>
      <c r="L7" s="25">
        <v>101307</v>
      </c>
      <c r="M7" s="5" t="s">
        <v>2871</v>
      </c>
      <c r="N7" s="6" t="s">
        <v>59</v>
      </c>
      <c r="O7" s="138"/>
      <c r="P7" s="4">
        <v>6</v>
      </c>
      <c r="Q7" s="25">
        <v>101406</v>
      </c>
      <c r="R7" s="5" t="s">
        <v>2853</v>
      </c>
      <c r="S7" s="6" t="s">
        <v>59</v>
      </c>
      <c r="T7" s="138"/>
      <c r="U7" s="4">
        <v>6</v>
      </c>
      <c r="V7" s="25">
        <v>102106</v>
      </c>
      <c r="W7" s="5" t="s">
        <v>2854</v>
      </c>
      <c r="X7" s="6" t="s">
        <v>59</v>
      </c>
      <c r="Y7" s="138"/>
      <c r="Z7" s="4">
        <v>6</v>
      </c>
      <c r="AA7" s="25">
        <v>102206</v>
      </c>
      <c r="AB7" s="5" t="s">
        <v>2855</v>
      </c>
      <c r="AC7" s="6" t="s">
        <v>59</v>
      </c>
      <c r="AD7" s="138"/>
      <c r="AE7" s="4">
        <v>6</v>
      </c>
      <c r="AF7" s="25">
        <v>102306</v>
      </c>
      <c r="AG7" s="5" t="s">
        <v>2856</v>
      </c>
      <c r="AH7" s="6" t="s">
        <v>59</v>
      </c>
      <c r="AI7" s="135"/>
      <c r="AJ7" s="4">
        <v>6</v>
      </c>
      <c r="AK7" s="25">
        <v>102406</v>
      </c>
      <c r="AL7" s="5" t="s">
        <v>2857</v>
      </c>
      <c r="AM7" s="6" t="s">
        <v>59</v>
      </c>
      <c r="AN7" s="50"/>
      <c r="AO7" s="4">
        <v>6</v>
      </c>
      <c r="AP7" s="25">
        <v>103106</v>
      </c>
      <c r="AQ7" s="5" t="s">
        <v>2877</v>
      </c>
      <c r="AR7" s="6" t="s">
        <v>60</v>
      </c>
      <c r="AS7" s="135"/>
      <c r="AT7" s="4">
        <v>6</v>
      </c>
      <c r="AU7" s="25">
        <v>103206</v>
      </c>
      <c r="AV7" s="5" t="s">
        <v>2859</v>
      </c>
      <c r="AW7" s="6" t="s">
        <v>59</v>
      </c>
      <c r="AX7" s="50"/>
      <c r="AY7" s="4">
        <v>6</v>
      </c>
      <c r="AZ7" s="25">
        <v>103306</v>
      </c>
      <c r="BA7" s="5" t="s">
        <v>2860</v>
      </c>
      <c r="BB7" s="6" t="s">
        <v>59</v>
      </c>
      <c r="BC7" s="50"/>
      <c r="BD7" s="4">
        <v>6</v>
      </c>
      <c r="BE7" s="25">
        <v>104107</v>
      </c>
      <c r="BF7" s="5" t="s">
        <v>2880</v>
      </c>
      <c r="BG7" s="6" t="s">
        <v>59</v>
      </c>
      <c r="BH7" s="50"/>
      <c r="BI7" s="4">
        <v>6</v>
      </c>
      <c r="BJ7" s="25">
        <v>104209</v>
      </c>
      <c r="BK7" s="5" t="s">
        <v>2919</v>
      </c>
      <c r="BL7" s="6" t="s">
        <v>59</v>
      </c>
      <c r="BM7" s="50"/>
      <c r="BN7" s="4">
        <v>6</v>
      </c>
      <c r="BO7" s="25">
        <v>105107</v>
      </c>
      <c r="BP7" s="5" t="s">
        <v>2882</v>
      </c>
      <c r="BQ7" s="6" t="s">
        <v>59</v>
      </c>
      <c r="BR7" s="135"/>
      <c r="BS7" s="4">
        <v>6</v>
      </c>
      <c r="BT7" s="25">
        <v>105207</v>
      </c>
      <c r="BU7" s="5" t="s">
        <v>2883</v>
      </c>
      <c r="BV7" s="6" t="s">
        <v>59</v>
      </c>
      <c r="BW7" s="135"/>
      <c r="BX7" s="4">
        <v>6</v>
      </c>
      <c r="BY7" s="25">
        <v>108106</v>
      </c>
      <c r="BZ7" s="5" t="s">
        <v>2864</v>
      </c>
      <c r="CA7" s="6" t="s">
        <v>59</v>
      </c>
      <c r="CB7" s="135"/>
      <c r="CC7" s="4">
        <v>6</v>
      </c>
      <c r="CD7" s="25">
        <v>108206</v>
      </c>
      <c r="CE7" s="5" t="s">
        <v>2865</v>
      </c>
      <c r="CF7" s="6" t="s">
        <v>59</v>
      </c>
      <c r="CG7" s="135"/>
      <c r="CH7" s="4">
        <v>6</v>
      </c>
      <c r="CI7" s="25">
        <v>106107</v>
      </c>
      <c r="CJ7" s="5" t="s">
        <v>2886</v>
      </c>
      <c r="CK7" s="6" t="s">
        <v>59</v>
      </c>
      <c r="CL7" s="7"/>
      <c r="CM7" s="4">
        <v>6</v>
      </c>
      <c r="CN7" s="25">
        <v>109106</v>
      </c>
      <c r="CO7" s="5" t="s">
        <v>2867</v>
      </c>
      <c r="CP7" s="6" t="s">
        <v>59</v>
      </c>
      <c r="CQ7" s="7"/>
      <c r="CR7" s="4">
        <v>6</v>
      </c>
      <c r="CS7" s="25">
        <v>107106</v>
      </c>
      <c r="CT7" s="5" t="s">
        <v>2868</v>
      </c>
      <c r="CU7" s="6" t="s">
        <v>60</v>
      </c>
      <c r="CV7" s="7"/>
    </row>
    <row r="8" spans="1:100" s="8" customFormat="1" ht="15" customHeight="1">
      <c r="A8" s="9">
        <v>7</v>
      </c>
      <c r="B8" s="26">
        <v>101107</v>
      </c>
      <c r="C8" s="10" t="s">
        <v>2869</v>
      </c>
      <c r="D8" s="11" t="s">
        <v>59</v>
      </c>
      <c r="E8" s="138"/>
      <c r="F8" s="9">
        <v>7</v>
      </c>
      <c r="G8" s="26">
        <v>101209</v>
      </c>
      <c r="H8" s="10" t="s">
        <v>2909</v>
      </c>
      <c r="I8" s="11" t="s">
        <v>59</v>
      </c>
      <c r="J8" s="138"/>
      <c r="K8" s="9">
        <v>7</v>
      </c>
      <c r="L8" s="26">
        <v>101308</v>
      </c>
      <c r="M8" s="10" t="s">
        <v>2891</v>
      </c>
      <c r="N8" s="11" t="s">
        <v>59</v>
      </c>
      <c r="O8" s="138"/>
      <c r="P8" s="9">
        <v>7</v>
      </c>
      <c r="Q8" s="26">
        <v>101407</v>
      </c>
      <c r="R8" s="10" t="s">
        <v>2872</v>
      </c>
      <c r="S8" s="11" t="s">
        <v>59</v>
      </c>
      <c r="T8" s="138"/>
      <c r="U8" s="9">
        <v>7</v>
      </c>
      <c r="V8" s="26">
        <v>102107</v>
      </c>
      <c r="W8" s="10" t="s">
        <v>2873</v>
      </c>
      <c r="X8" s="11" t="s">
        <v>60</v>
      </c>
      <c r="Y8" s="138"/>
      <c r="Z8" s="9">
        <v>7</v>
      </c>
      <c r="AA8" s="26">
        <v>102207</v>
      </c>
      <c r="AB8" s="10" t="s">
        <v>2874</v>
      </c>
      <c r="AC8" s="11" t="s">
        <v>59</v>
      </c>
      <c r="AD8" s="138"/>
      <c r="AE8" s="9">
        <v>7</v>
      </c>
      <c r="AF8" s="26">
        <v>102307</v>
      </c>
      <c r="AG8" s="10" t="s">
        <v>2875</v>
      </c>
      <c r="AH8" s="11" t="s">
        <v>59</v>
      </c>
      <c r="AI8" s="50"/>
      <c r="AJ8" s="9">
        <v>7</v>
      </c>
      <c r="AK8" s="26">
        <v>102407</v>
      </c>
      <c r="AL8" s="10" t="s">
        <v>2876</v>
      </c>
      <c r="AM8" s="11" t="s">
        <v>59</v>
      </c>
      <c r="AN8" s="135"/>
      <c r="AO8" s="9">
        <v>7</v>
      </c>
      <c r="AP8" s="26">
        <v>103107</v>
      </c>
      <c r="AQ8" s="10" t="s">
        <v>2897</v>
      </c>
      <c r="AR8" s="11" t="s">
        <v>59</v>
      </c>
      <c r="AS8" s="50"/>
      <c r="AT8" s="9">
        <v>7</v>
      </c>
      <c r="AU8" s="26">
        <v>103207</v>
      </c>
      <c r="AV8" s="10" t="s">
        <v>2878</v>
      </c>
      <c r="AW8" s="11" t="s">
        <v>59</v>
      </c>
      <c r="AX8" s="135"/>
      <c r="AY8" s="9">
        <v>7</v>
      </c>
      <c r="AZ8" s="26">
        <v>103307</v>
      </c>
      <c r="BA8" s="10" t="s">
        <v>2879</v>
      </c>
      <c r="BB8" s="11" t="s">
        <v>60</v>
      </c>
      <c r="BC8" s="50"/>
      <c r="BD8" s="9">
        <v>7</v>
      </c>
      <c r="BE8" s="26">
        <v>104108</v>
      </c>
      <c r="BF8" s="10" t="s">
        <v>2900</v>
      </c>
      <c r="BG8" s="11" t="s">
        <v>59</v>
      </c>
      <c r="BH8" s="50"/>
      <c r="BI8" s="9">
        <v>7</v>
      </c>
      <c r="BJ8" s="26">
        <v>104210</v>
      </c>
      <c r="BK8" s="10" t="s">
        <v>2937</v>
      </c>
      <c r="BL8" s="11" t="s">
        <v>59</v>
      </c>
      <c r="BM8" s="50"/>
      <c r="BN8" s="9">
        <v>7</v>
      </c>
      <c r="BO8" s="26">
        <v>105108</v>
      </c>
      <c r="BP8" s="10" t="s">
        <v>2902</v>
      </c>
      <c r="BQ8" s="11" t="s">
        <v>59</v>
      </c>
      <c r="BR8" s="135"/>
      <c r="BS8" s="9">
        <v>7</v>
      </c>
      <c r="BT8" s="26">
        <v>105208</v>
      </c>
      <c r="BU8" s="10" t="s">
        <v>2903</v>
      </c>
      <c r="BV8" s="11" t="s">
        <v>59</v>
      </c>
      <c r="BW8" s="135"/>
      <c r="BX8" s="9">
        <v>7</v>
      </c>
      <c r="BY8" s="26">
        <v>108107</v>
      </c>
      <c r="BZ8" s="10" t="s">
        <v>2884</v>
      </c>
      <c r="CA8" s="11" t="s">
        <v>60</v>
      </c>
      <c r="CB8" s="135"/>
      <c r="CC8" s="9">
        <v>7</v>
      </c>
      <c r="CD8" s="26">
        <v>108207</v>
      </c>
      <c r="CE8" s="10" t="s">
        <v>2885</v>
      </c>
      <c r="CF8" s="11" t="s">
        <v>60</v>
      </c>
      <c r="CG8" s="135"/>
      <c r="CH8" s="9">
        <v>7</v>
      </c>
      <c r="CI8" s="26">
        <v>106108</v>
      </c>
      <c r="CJ8" s="10" t="s">
        <v>2905</v>
      </c>
      <c r="CK8" s="11" t="s">
        <v>59</v>
      </c>
      <c r="CL8" s="7"/>
      <c r="CM8" s="9">
        <v>7</v>
      </c>
      <c r="CN8" s="26">
        <v>109107</v>
      </c>
      <c r="CO8" s="10" t="s">
        <v>2887</v>
      </c>
      <c r="CP8" s="11" t="s">
        <v>59</v>
      </c>
      <c r="CQ8" s="7"/>
      <c r="CR8" s="9">
        <v>7</v>
      </c>
      <c r="CS8" s="26">
        <v>107107</v>
      </c>
      <c r="CT8" s="10" t="s">
        <v>2888</v>
      </c>
      <c r="CU8" s="11" t="s">
        <v>59</v>
      </c>
      <c r="CV8" s="7"/>
    </row>
    <row r="9" spans="1:100" s="8" customFormat="1" ht="15" customHeight="1">
      <c r="A9" s="9">
        <v>8</v>
      </c>
      <c r="B9" s="21">
        <v>101108</v>
      </c>
      <c r="C9" s="10" t="s">
        <v>2889</v>
      </c>
      <c r="D9" s="11" t="s">
        <v>59</v>
      </c>
      <c r="E9" s="138"/>
      <c r="F9" s="9">
        <v>8</v>
      </c>
      <c r="G9" s="21">
        <v>101210</v>
      </c>
      <c r="H9" s="10" t="s">
        <v>2927</v>
      </c>
      <c r="I9" s="11" t="s">
        <v>59</v>
      </c>
      <c r="J9" s="138"/>
      <c r="K9" s="9">
        <v>8</v>
      </c>
      <c r="L9" s="21">
        <v>101309</v>
      </c>
      <c r="M9" s="10" t="s">
        <v>2910</v>
      </c>
      <c r="N9" s="11" t="s">
        <v>59</v>
      </c>
      <c r="O9" s="138"/>
      <c r="P9" s="9">
        <v>8</v>
      </c>
      <c r="Q9" s="21">
        <v>101408</v>
      </c>
      <c r="R9" s="331" t="s">
        <v>3516</v>
      </c>
      <c r="S9" s="11" t="s">
        <v>59</v>
      </c>
      <c r="T9" s="138"/>
      <c r="U9" s="9">
        <v>8</v>
      </c>
      <c r="V9" s="21">
        <v>102108</v>
      </c>
      <c r="W9" s="10" t="s">
        <v>2893</v>
      </c>
      <c r="X9" s="11" t="s">
        <v>60</v>
      </c>
      <c r="Y9" s="138"/>
      <c r="Z9" s="9">
        <v>8</v>
      </c>
      <c r="AA9" s="21">
        <v>102208</v>
      </c>
      <c r="AB9" s="10" t="s">
        <v>2894</v>
      </c>
      <c r="AC9" s="11" t="s">
        <v>59</v>
      </c>
      <c r="AD9" s="138"/>
      <c r="AE9" s="9">
        <v>8</v>
      </c>
      <c r="AF9" s="21">
        <v>102308</v>
      </c>
      <c r="AG9" s="10" t="s">
        <v>2895</v>
      </c>
      <c r="AH9" s="11" t="s">
        <v>59</v>
      </c>
      <c r="AI9" s="50"/>
      <c r="AJ9" s="9">
        <v>8</v>
      </c>
      <c r="AK9" s="21">
        <v>102408</v>
      </c>
      <c r="AL9" s="10" t="s">
        <v>2896</v>
      </c>
      <c r="AM9" s="11" t="s">
        <v>59</v>
      </c>
      <c r="AN9" s="135"/>
      <c r="AO9" s="9">
        <v>8</v>
      </c>
      <c r="AP9" s="21">
        <v>103108</v>
      </c>
      <c r="AQ9" s="10" t="s">
        <v>2915</v>
      </c>
      <c r="AR9" s="11" t="s">
        <v>59</v>
      </c>
      <c r="AS9" s="135"/>
      <c r="AT9" s="9">
        <v>8</v>
      </c>
      <c r="AU9" s="21">
        <v>103208</v>
      </c>
      <c r="AV9" s="10" t="s">
        <v>2898</v>
      </c>
      <c r="AW9" s="11" t="s">
        <v>59</v>
      </c>
      <c r="AX9" s="135"/>
      <c r="AY9" s="9">
        <v>8</v>
      </c>
      <c r="AZ9" s="21">
        <v>103308</v>
      </c>
      <c r="BA9" s="10" t="s">
        <v>2899</v>
      </c>
      <c r="BB9" s="11" t="s">
        <v>59</v>
      </c>
      <c r="BC9" s="50"/>
      <c r="BD9" s="9">
        <v>8</v>
      </c>
      <c r="BE9" s="21">
        <v>104109</v>
      </c>
      <c r="BF9" s="10" t="s">
        <v>2918</v>
      </c>
      <c r="BG9" s="11" t="s">
        <v>59</v>
      </c>
      <c r="BH9" s="50"/>
      <c r="BI9" s="9">
        <v>8</v>
      </c>
      <c r="BJ9" s="21">
        <v>104211</v>
      </c>
      <c r="BK9" s="10" t="s">
        <v>2956</v>
      </c>
      <c r="BL9" s="11" t="s">
        <v>59</v>
      </c>
      <c r="BM9" s="50"/>
      <c r="BN9" s="9">
        <v>8</v>
      </c>
      <c r="BO9" s="21">
        <v>105109</v>
      </c>
      <c r="BP9" s="10" t="s">
        <v>2920</v>
      </c>
      <c r="BQ9" s="11" t="s">
        <v>59</v>
      </c>
      <c r="BR9" s="138"/>
      <c r="BS9" s="9">
        <v>8</v>
      </c>
      <c r="BT9" s="21">
        <v>105209</v>
      </c>
      <c r="BU9" s="10" t="s">
        <v>2921</v>
      </c>
      <c r="BV9" s="11" t="s">
        <v>59</v>
      </c>
      <c r="BW9" s="135"/>
      <c r="BX9" s="9">
        <v>8</v>
      </c>
      <c r="BY9" s="21">
        <v>108108</v>
      </c>
      <c r="BZ9" s="10" t="s">
        <v>2904</v>
      </c>
      <c r="CA9" s="11" t="s">
        <v>60</v>
      </c>
      <c r="CB9" s="202"/>
      <c r="CC9" s="9">
        <v>8</v>
      </c>
      <c r="CD9" s="21">
        <v>108208</v>
      </c>
      <c r="CE9" s="10" t="s">
        <v>2904</v>
      </c>
      <c r="CF9" s="11" t="s">
        <v>60</v>
      </c>
      <c r="CG9" s="202"/>
      <c r="CH9" s="9">
        <v>8</v>
      </c>
      <c r="CI9" s="21">
        <v>106110</v>
      </c>
      <c r="CJ9" s="10" t="s">
        <v>2942</v>
      </c>
      <c r="CK9" s="11" t="s">
        <v>59</v>
      </c>
      <c r="CL9" s="299"/>
      <c r="CM9" s="9">
        <v>8</v>
      </c>
      <c r="CN9" s="21">
        <v>109108</v>
      </c>
      <c r="CO9" s="10" t="s">
        <v>2906</v>
      </c>
      <c r="CP9" s="11" t="s">
        <v>59</v>
      </c>
      <c r="CQ9" s="7"/>
      <c r="CR9" s="9">
        <v>8</v>
      </c>
      <c r="CS9" s="21">
        <v>107108</v>
      </c>
      <c r="CT9" s="10" t="s">
        <v>2907</v>
      </c>
      <c r="CU9" s="11" t="s">
        <v>59</v>
      </c>
      <c r="CV9" s="7"/>
    </row>
    <row r="10" spans="1:100" s="8" customFormat="1" ht="15" customHeight="1">
      <c r="A10" s="9">
        <v>9</v>
      </c>
      <c r="B10" s="21">
        <v>101109</v>
      </c>
      <c r="C10" s="10" t="s">
        <v>2908</v>
      </c>
      <c r="D10" s="11" t="s">
        <v>59</v>
      </c>
      <c r="E10" s="135"/>
      <c r="F10" s="9">
        <v>9</v>
      </c>
      <c r="G10" s="21">
        <v>101211</v>
      </c>
      <c r="H10" s="10" t="s">
        <v>2946</v>
      </c>
      <c r="I10" s="11" t="s">
        <v>59</v>
      </c>
      <c r="J10" s="138"/>
      <c r="K10" s="9">
        <v>9</v>
      </c>
      <c r="L10" s="21">
        <v>101310</v>
      </c>
      <c r="M10" s="10" t="s">
        <v>2928</v>
      </c>
      <c r="N10" s="11" t="s">
        <v>59</v>
      </c>
      <c r="O10" s="138"/>
      <c r="P10" s="9">
        <v>9</v>
      </c>
      <c r="Q10" s="21">
        <v>101409</v>
      </c>
      <c r="R10" s="10" t="s">
        <v>2911</v>
      </c>
      <c r="S10" s="11" t="s">
        <v>59</v>
      </c>
      <c r="T10" s="138"/>
      <c r="U10" s="9">
        <v>9</v>
      </c>
      <c r="V10" s="21">
        <v>102110</v>
      </c>
      <c r="W10" s="10" t="s">
        <v>2949</v>
      </c>
      <c r="X10" s="11" t="s">
        <v>59</v>
      </c>
      <c r="Y10" s="138"/>
      <c r="Z10" s="9">
        <v>9</v>
      </c>
      <c r="AA10" s="21">
        <v>102209</v>
      </c>
      <c r="AB10" s="10" t="s">
        <v>2913</v>
      </c>
      <c r="AC10" s="11" t="s">
        <v>59</v>
      </c>
      <c r="AD10" s="138"/>
      <c r="AE10" s="9">
        <v>9</v>
      </c>
      <c r="AF10" s="21">
        <v>102309</v>
      </c>
      <c r="AG10" s="10" t="s">
        <v>2914</v>
      </c>
      <c r="AH10" s="11" t="s">
        <v>59</v>
      </c>
      <c r="AI10" s="135"/>
      <c r="AJ10" s="9">
        <v>9</v>
      </c>
      <c r="AK10" s="21">
        <v>102409</v>
      </c>
      <c r="AL10" s="10" t="s">
        <v>1506</v>
      </c>
      <c r="AM10" s="11" t="s">
        <v>59</v>
      </c>
      <c r="AN10" s="50"/>
      <c r="AO10" s="9">
        <v>9</v>
      </c>
      <c r="AP10" s="21">
        <v>103109</v>
      </c>
      <c r="AQ10" s="10" t="s">
        <v>2933</v>
      </c>
      <c r="AR10" s="11" t="s">
        <v>59</v>
      </c>
      <c r="AS10" s="135"/>
      <c r="AT10" s="9">
        <v>9</v>
      </c>
      <c r="AU10" s="21">
        <v>103209</v>
      </c>
      <c r="AV10" s="10" t="s">
        <v>2916</v>
      </c>
      <c r="AW10" s="11" t="s">
        <v>59</v>
      </c>
      <c r="AX10" s="135"/>
      <c r="AY10" s="9">
        <v>9</v>
      </c>
      <c r="AZ10" s="21">
        <v>103309</v>
      </c>
      <c r="BA10" s="10" t="s">
        <v>2917</v>
      </c>
      <c r="BB10" s="11" t="s">
        <v>59</v>
      </c>
      <c r="BC10" s="50"/>
      <c r="BD10" s="9">
        <v>9</v>
      </c>
      <c r="BE10" s="21">
        <v>104110</v>
      </c>
      <c r="BF10" s="10" t="s">
        <v>2936</v>
      </c>
      <c r="BG10" s="11" t="s">
        <v>59</v>
      </c>
      <c r="BH10" s="50"/>
      <c r="BI10" s="9">
        <v>9</v>
      </c>
      <c r="BJ10" s="21">
        <v>104212</v>
      </c>
      <c r="BK10" s="10" t="s">
        <v>2975</v>
      </c>
      <c r="BL10" s="11" t="s">
        <v>59</v>
      </c>
      <c r="BM10" s="50"/>
      <c r="BN10" s="9">
        <v>9</v>
      </c>
      <c r="BO10" s="21">
        <v>105110</v>
      </c>
      <c r="BP10" s="10" t="s">
        <v>2938</v>
      </c>
      <c r="BQ10" s="11" t="s">
        <v>59</v>
      </c>
      <c r="BR10" s="138"/>
      <c r="BS10" s="9">
        <v>9</v>
      </c>
      <c r="BT10" s="21">
        <v>105210</v>
      </c>
      <c r="BU10" s="10" t="s">
        <v>2939</v>
      </c>
      <c r="BV10" s="11" t="s">
        <v>59</v>
      </c>
      <c r="BW10" s="135"/>
      <c r="BX10" s="9">
        <v>9</v>
      </c>
      <c r="BY10" s="21">
        <v>108109</v>
      </c>
      <c r="BZ10" s="10" t="s">
        <v>2922</v>
      </c>
      <c r="CA10" s="11" t="s">
        <v>59</v>
      </c>
      <c r="CB10" s="138"/>
      <c r="CC10" s="9">
        <v>9</v>
      </c>
      <c r="CD10" s="21">
        <v>108209</v>
      </c>
      <c r="CE10" s="10" t="s">
        <v>2923</v>
      </c>
      <c r="CF10" s="11" t="s">
        <v>59</v>
      </c>
      <c r="CG10" s="135"/>
      <c r="CH10" s="9">
        <v>9</v>
      </c>
      <c r="CI10" s="21">
        <v>106111</v>
      </c>
      <c r="CJ10" s="10" t="s">
        <v>2961</v>
      </c>
      <c r="CK10" s="11" t="s">
        <v>60</v>
      </c>
      <c r="CL10" s="7"/>
      <c r="CM10" s="9">
        <v>9</v>
      </c>
      <c r="CN10" s="21">
        <v>109109</v>
      </c>
      <c r="CO10" s="10" t="s">
        <v>2925</v>
      </c>
      <c r="CP10" s="11" t="s">
        <v>59</v>
      </c>
      <c r="CQ10" s="7"/>
      <c r="CR10" s="9">
        <v>9</v>
      </c>
      <c r="CS10" s="21">
        <v>107109</v>
      </c>
      <c r="CT10" s="10" t="s">
        <v>2926</v>
      </c>
      <c r="CU10" s="11" t="s">
        <v>59</v>
      </c>
      <c r="CV10" s="7"/>
    </row>
    <row r="11" spans="1:100" s="8" customFormat="1" ht="15" customHeight="1" thickBot="1">
      <c r="A11" s="12">
        <v>10</v>
      </c>
      <c r="B11" s="27">
        <v>101110</v>
      </c>
      <c r="C11" s="13" t="s">
        <v>937</v>
      </c>
      <c r="D11" s="14" t="s">
        <v>59</v>
      </c>
      <c r="E11" s="138"/>
      <c r="F11" s="12">
        <v>10</v>
      </c>
      <c r="G11" s="27">
        <v>101212</v>
      </c>
      <c r="H11" s="330" t="s">
        <v>2965</v>
      </c>
      <c r="I11" s="14" t="s">
        <v>59</v>
      </c>
      <c r="J11" s="138"/>
      <c r="K11" s="12">
        <v>10</v>
      </c>
      <c r="L11" s="27">
        <v>101311</v>
      </c>
      <c r="M11" s="13" t="s">
        <v>2947</v>
      </c>
      <c r="N11" s="14" t="s">
        <v>59</v>
      </c>
      <c r="O11" s="138"/>
      <c r="P11" s="12">
        <v>10</v>
      </c>
      <c r="Q11" s="27">
        <v>101410</v>
      </c>
      <c r="R11" s="13" t="s">
        <v>2929</v>
      </c>
      <c r="S11" s="14" t="s">
        <v>59</v>
      </c>
      <c r="T11" s="138"/>
      <c r="U11" s="12">
        <v>10</v>
      </c>
      <c r="V11" s="27">
        <v>102112</v>
      </c>
      <c r="W11" s="13" t="s">
        <v>2986</v>
      </c>
      <c r="X11" s="14" t="s">
        <v>60</v>
      </c>
      <c r="Y11" s="138"/>
      <c r="Z11" s="12">
        <v>10</v>
      </c>
      <c r="AA11" s="27">
        <v>102210</v>
      </c>
      <c r="AB11" s="13" t="s">
        <v>2930</v>
      </c>
      <c r="AC11" s="14" t="s">
        <v>59</v>
      </c>
      <c r="AD11" s="138"/>
      <c r="AE11" s="12">
        <v>10</v>
      </c>
      <c r="AF11" s="27">
        <v>102310</v>
      </c>
      <c r="AG11" s="13" t="s">
        <v>2931</v>
      </c>
      <c r="AH11" s="14" t="s">
        <v>59</v>
      </c>
      <c r="AI11" s="135"/>
      <c r="AJ11" s="12">
        <v>10</v>
      </c>
      <c r="AK11" s="27">
        <v>102410</v>
      </c>
      <c r="AL11" s="13" t="s">
        <v>2932</v>
      </c>
      <c r="AM11" s="14" t="s">
        <v>59</v>
      </c>
      <c r="AN11" s="50"/>
      <c r="AO11" s="12">
        <v>10</v>
      </c>
      <c r="AP11" s="27">
        <v>103110</v>
      </c>
      <c r="AQ11" s="13" t="s">
        <v>2952</v>
      </c>
      <c r="AR11" s="14" t="s">
        <v>59</v>
      </c>
      <c r="AS11" s="135"/>
      <c r="AT11" s="12">
        <v>10</v>
      </c>
      <c r="AU11" s="27">
        <v>103210</v>
      </c>
      <c r="AV11" s="13" t="s">
        <v>2934</v>
      </c>
      <c r="AW11" s="14" t="s">
        <v>59</v>
      </c>
      <c r="AX11" s="135"/>
      <c r="AY11" s="12">
        <v>10</v>
      </c>
      <c r="AZ11" s="27">
        <v>103310</v>
      </c>
      <c r="BA11" s="13" t="s">
        <v>2935</v>
      </c>
      <c r="BB11" s="14" t="s">
        <v>59</v>
      </c>
      <c r="BC11" s="50"/>
      <c r="BD11" s="12">
        <v>10</v>
      </c>
      <c r="BE11" s="27">
        <v>104111</v>
      </c>
      <c r="BF11" s="13" t="s">
        <v>2955</v>
      </c>
      <c r="BG11" s="14" t="s">
        <v>59</v>
      </c>
      <c r="BH11" s="50"/>
      <c r="BI11" s="12">
        <v>10</v>
      </c>
      <c r="BJ11" s="27">
        <v>104213</v>
      </c>
      <c r="BK11" s="13" t="s">
        <v>2994</v>
      </c>
      <c r="BL11" s="14" t="s">
        <v>59</v>
      </c>
      <c r="BM11" s="50"/>
      <c r="BN11" s="12">
        <v>10</v>
      </c>
      <c r="BO11" s="27">
        <v>105111</v>
      </c>
      <c r="BP11" s="13" t="s">
        <v>2957</v>
      </c>
      <c r="BQ11" s="14" t="s">
        <v>59</v>
      </c>
      <c r="BR11" s="138"/>
      <c r="BS11" s="12">
        <v>10</v>
      </c>
      <c r="BT11" s="27">
        <v>105211</v>
      </c>
      <c r="BU11" s="13" t="s">
        <v>2958</v>
      </c>
      <c r="BV11" s="14" t="s">
        <v>59</v>
      </c>
      <c r="BW11" s="138"/>
      <c r="BX11" s="12">
        <v>10</v>
      </c>
      <c r="BY11" s="27">
        <v>108110</v>
      </c>
      <c r="BZ11" s="13" t="s">
        <v>2940</v>
      </c>
      <c r="CA11" s="14" t="s">
        <v>60</v>
      </c>
      <c r="CB11" s="135"/>
      <c r="CC11" s="12">
        <v>10</v>
      </c>
      <c r="CD11" s="27">
        <v>108210</v>
      </c>
      <c r="CE11" s="13" t="s">
        <v>2941</v>
      </c>
      <c r="CF11" s="14" t="s">
        <v>59</v>
      </c>
      <c r="CG11" s="135"/>
      <c r="CH11" s="12">
        <v>10</v>
      </c>
      <c r="CI11" s="27" t="s">
        <v>945</v>
      </c>
      <c r="CJ11" s="13" t="s">
        <v>946</v>
      </c>
      <c r="CK11" s="14" t="s">
        <v>60</v>
      </c>
      <c r="CL11" s="7"/>
      <c r="CM11" s="12">
        <v>10</v>
      </c>
      <c r="CN11" s="27">
        <v>109110</v>
      </c>
      <c r="CO11" s="13" t="s">
        <v>2943</v>
      </c>
      <c r="CP11" s="14" t="s">
        <v>59</v>
      </c>
      <c r="CQ11" s="7"/>
      <c r="CR11" s="12">
        <v>10</v>
      </c>
      <c r="CS11" s="27">
        <v>107110</v>
      </c>
      <c r="CT11" s="13" t="s">
        <v>2944</v>
      </c>
      <c r="CU11" s="14" t="s">
        <v>59</v>
      </c>
      <c r="CV11" s="7"/>
    </row>
    <row r="12" spans="1:100" s="8" customFormat="1" ht="15" customHeight="1" thickTop="1">
      <c r="A12" s="4">
        <v>11</v>
      </c>
      <c r="B12" s="25">
        <v>101111</v>
      </c>
      <c r="C12" s="5" t="s">
        <v>2945</v>
      </c>
      <c r="D12" s="6" t="s">
        <v>59</v>
      </c>
      <c r="E12" s="138"/>
      <c r="F12" s="4">
        <v>11</v>
      </c>
      <c r="G12" s="25">
        <v>101213</v>
      </c>
      <c r="H12" s="5" t="s">
        <v>2983</v>
      </c>
      <c r="I12" s="6" t="s">
        <v>59</v>
      </c>
      <c r="J12" s="138"/>
      <c r="K12" s="4">
        <v>11</v>
      </c>
      <c r="L12" s="25">
        <v>101312</v>
      </c>
      <c r="M12" s="5" t="s">
        <v>2966</v>
      </c>
      <c r="N12" s="6" t="s">
        <v>59</v>
      </c>
      <c r="O12" s="138"/>
      <c r="P12" s="4">
        <v>11</v>
      </c>
      <c r="Q12" s="25">
        <v>101411</v>
      </c>
      <c r="R12" s="5" t="s">
        <v>2948</v>
      </c>
      <c r="S12" s="6" t="s">
        <v>59</v>
      </c>
      <c r="T12" s="138"/>
      <c r="U12" s="4">
        <v>11</v>
      </c>
      <c r="V12" s="25">
        <v>102113</v>
      </c>
      <c r="W12" s="5" t="s">
        <v>3005</v>
      </c>
      <c r="X12" s="6" t="s">
        <v>59</v>
      </c>
      <c r="Y12" s="263"/>
      <c r="Z12" s="4">
        <v>11</v>
      </c>
      <c r="AA12" s="25">
        <v>102211</v>
      </c>
      <c r="AB12" s="5" t="s">
        <v>2950</v>
      </c>
      <c r="AC12" s="6" t="s">
        <v>59</v>
      </c>
      <c r="AD12" s="263"/>
      <c r="AE12" s="4">
        <v>11</v>
      </c>
      <c r="AF12" s="25">
        <v>102311</v>
      </c>
      <c r="AG12" s="5" t="s">
        <v>971</v>
      </c>
      <c r="AH12" s="6" t="s">
        <v>59</v>
      </c>
      <c r="AI12" s="135"/>
      <c r="AJ12" s="4">
        <v>11</v>
      </c>
      <c r="AK12" s="25">
        <v>102411</v>
      </c>
      <c r="AL12" s="5" t="s">
        <v>2951</v>
      </c>
      <c r="AM12" s="6" t="s">
        <v>59</v>
      </c>
      <c r="AN12" s="135"/>
      <c r="AO12" s="4">
        <v>11</v>
      </c>
      <c r="AP12" s="25">
        <v>103112</v>
      </c>
      <c r="AQ12" s="5" t="s">
        <v>2990</v>
      </c>
      <c r="AR12" s="6" t="s">
        <v>59</v>
      </c>
      <c r="AS12" s="135"/>
      <c r="AT12" s="4">
        <v>11</v>
      </c>
      <c r="AU12" s="25">
        <v>103211</v>
      </c>
      <c r="AV12" s="5" t="s">
        <v>2953</v>
      </c>
      <c r="AW12" s="6" t="s">
        <v>59</v>
      </c>
      <c r="AX12" s="135"/>
      <c r="AY12" s="4">
        <v>11</v>
      </c>
      <c r="AZ12" s="25">
        <v>103311</v>
      </c>
      <c r="BA12" s="5" t="s">
        <v>2954</v>
      </c>
      <c r="BB12" s="6" t="s">
        <v>59</v>
      </c>
      <c r="BC12" s="50"/>
      <c r="BD12" s="4">
        <v>11</v>
      </c>
      <c r="BE12" s="25">
        <v>104112</v>
      </c>
      <c r="BF12" s="5" t="s">
        <v>2974</v>
      </c>
      <c r="BG12" s="6" t="s">
        <v>59</v>
      </c>
      <c r="BH12" s="50"/>
      <c r="BI12" s="4">
        <v>11</v>
      </c>
      <c r="BJ12" s="25">
        <v>104214</v>
      </c>
      <c r="BK12" s="5" t="s">
        <v>3013</v>
      </c>
      <c r="BL12" s="6" t="s">
        <v>59</v>
      </c>
      <c r="BM12" s="50"/>
      <c r="BN12" s="4">
        <v>11</v>
      </c>
      <c r="BO12" s="25">
        <v>105112</v>
      </c>
      <c r="BP12" s="5" t="s">
        <v>2976</v>
      </c>
      <c r="BQ12" s="6" t="s">
        <v>59</v>
      </c>
      <c r="BR12" s="138"/>
      <c r="BS12" s="4">
        <v>11</v>
      </c>
      <c r="BT12" s="25">
        <v>105212</v>
      </c>
      <c r="BU12" s="5" t="s">
        <v>2977</v>
      </c>
      <c r="BV12" s="6" t="s">
        <v>59</v>
      </c>
      <c r="BW12" s="135"/>
      <c r="BX12" s="4">
        <v>11</v>
      </c>
      <c r="BY12" s="25">
        <v>108111</v>
      </c>
      <c r="BZ12" s="5" t="s">
        <v>2959</v>
      </c>
      <c r="CA12" s="6" t="s">
        <v>60</v>
      </c>
      <c r="CB12" s="138"/>
      <c r="CC12" s="4">
        <v>11</v>
      </c>
      <c r="CD12" s="25">
        <v>108212</v>
      </c>
      <c r="CE12" s="5" t="s">
        <v>2979</v>
      </c>
      <c r="CF12" s="6" t="s">
        <v>59</v>
      </c>
      <c r="CG12" s="135"/>
      <c r="CH12" s="4"/>
      <c r="CI12" s="25"/>
      <c r="CJ12" s="5"/>
      <c r="CK12" s="6"/>
      <c r="CL12" s="7"/>
      <c r="CM12" s="4">
        <v>11</v>
      </c>
      <c r="CN12" s="25">
        <v>109111</v>
      </c>
      <c r="CO12" s="5" t="s">
        <v>2962</v>
      </c>
      <c r="CP12" s="6" t="s">
        <v>59</v>
      </c>
      <c r="CQ12" s="7"/>
      <c r="CR12" s="4">
        <v>11</v>
      </c>
      <c r="CS12" s="25">
        <v>107111</v>
      </c>
      <c r="CT12" s="5" t="s">
        <v>2963</v>
      </c>
      <c r="CU12" s="6" t="s">
        <v>59</v>
      </c>
      <c r="CV12" s="7"/>
    </row>
    <row r="13" spans="1:100" s="8" customFormat="1" ht="15" customHeight="1">
      <c r="A13" s="9">
        <v>12</v>
      </c>
      <c r="B13" s="26">
        <v>101112</v>
      </c>
      <c r="C13" s="10" t="s">
        <v>2964</v>
      </c>
      <c r="D13" s="11" t="s">
        <v>59</v>
      </c>
      <c r="E13" s="138"/>
      <c r="F13" s="9">
        <v>12</v>
      </c>
      <c r="G13" s="26">
        <v>101214</v>
      </c>
      <c r="H13" s="10" t="s">
        <v>3002</v>
      </c>
      <c r="I13" s="11" t="s">
        <v>60</v>
      </c>
      <c r="J13" s="138"/>
      <c r="K13" s="9">
        <v>12</v>
      </c>
      <c r="L13" s="26">
        <v>101313</v>
      </c>
      <c r="M13" s="10" t="s">
        <v>2984</v>
      </c>
      <c r="N13" s="11" t="s">
        <v>60</v>
      </c>
      <c r="O13" s="263"/>
      <c r="P13" s="9">
        <v>12</v>
      </c>
      <c r="Q13" s="26">
        <v>101413</v>
      </c>
      <c r="R13" s="10" t="s">
        <v>2985</v>
      </c>
      <c r="S13" s="11" t="s">
        <v>59</v>
      </c>
      <c r="T13" s="138"/>
      <c r="U13" s="9">
        <v>12</v>
      </c>
      <c r="V13" s="26">
        <v>102114</v>
      </c>
      <c r="W13" s="10" t="s">
        <v>3024</v>
      </c>
      <c r="X13" s="11" t="s">
        <v>59</v>
      </c>
      <c r="Y13" s="138"/>
      <c r="Z13" s="9">
        <v>12</v>
      </c>
      <c r="AA13" s="26">
        <v>102212</v>
      </c>
      <c r="AB13" s="10" t="s">
        <v>2968</v>
      </c>
      <c r="AC13" s="11" t="s">
        <v>59</v>
      </c>
      <c r="AD13" s="138"/>
      <c r="AE13" s="9">
        <v>12</v>
      </c>
      <c r="AF13" s="26">
        <v>102312</v>
      </c>
      <c r="AG13" s="10" t="s">
        <v>2969</v>
      </c>
      <c r="AH13" s="11" t="s">
        <v>59</v>
      </c>
      <c r="AI13" s="50"/>
      <c r="AJ13" s="9">
        <v>12</v>
      </c>
      <c r="AK13" s="26">
        <v>102412</v>
      </c>
      <c r="AL13" s="10" t="s">
        <v>2970</v>
      </c>
      <c r="AM13" s="11" t="s">
        <v>59</v>
      </c>
      <c r="AN13" s="50"/>
      <c r="AO13" s="9">
        <v>12</v>
      </c>
      <c r="AP13" s="26">
        <v>103113</v>
      </c>
      <c r="AQ13" s="10" t="s">
        <v>3009</v>
      </c>
      <c r="AR13" s="11" t="s">
        <v>59</v>
      </c>
      <c r="AS13" s="135"/>
      <c r="AT13" s="9">
        <v>12</v>
      </c>
      <c r="AU13" s="26">
        <v>103212</v>
      </c>
      <c r="AV13" s="10" t="s">
        <v>2972</v>
      </c>
      <c r="AW13" s="11" t="s">
        <v>59</v>
      </c>
      <c r="AX13" s="135"/>
      <c r="AY13" s="9">
        <v>12</v>
      </c>
      <c r="AZ13" s="26">
        <v>103312</v>
      </c>
      <c r="BA13" s="10" t="s">
        <v>2973</v>
      </c>
      <c r="BB13" s="11" t="s">
        <v>59</v>
      </c>
      <c r="BC13" s="50"/>
      <c r="BD13" s="9">
        <v>12</v>
      </c>
      <c r="BE13" s="26">
        <v>104113</v>
      </c>
      <c r="BF13" s="10" t="s">
        <v>2993</v>
      </c>
      <c r="BG13" s="11" t="s">
        <v>59</v>
      </c>
      <c r="BH13" s="50"/>
      <c r="BI13" s="9">
        <v>12</v>
      </c>
      <c r="BJ13" s="26">
        <v>104215</v>
      </c>
      <c r="BK13" s="10" t="s">
        <v>3032</v>
      </c>
      <c r="BL13" s="11" t="s">
        <v>59</v>
      </c>
      <c r="BM13" s="50"/>
      <c r="BN13" s="9">
        <v>12</v>
      </c>
      <c r="BO13" s="26">
        <v>105113</v>
      </c>
      <c r="BP13" s="10" t="s">
        <v>2995</v>
      </c>
      <c r="BQ13" s="11" t="s">
        <v>59</v>
      </c>
      <c r="BR13" s="138"/>
      <c r="BS13" s="9">
        <v>12</v>
      </c>
      <c r="BT13" s="26">
        <v>105213</v>
      </c>
      <c r="BU13" s="10" t="s">
        <v>2996</v>
      </c>
      <c r="BV13" s="11" t="s">
        <v>59</v>
      </c>
      <c r="BW13" s="135"/>
      <c r="BX13" s="9">
        <v>12</v>
      </c>
      <c r="BY13" s="26">
        <v>108112</v>
      </c>
      <c r="BZ13" s="10" t="s">
        <v>2978</v>
      </c>
      <c r="CA13" s="11" t="s">
        <v>59</v>
      </c>
      <c r="CB13" s="135"/>
      <c r="CC13" s="9">
        <v>12</v>
      </c>
      <c r="CD13" s="26">
        <v>108213</v>
      </c>
      <c r="CE13" s="10" t="s">
        <v>2998</v>
      </c>
      <c r="CF13" s="11" t="s">
        <v>59</v>
      </c>
      <c r="CG13" s="15"/>
      <c r="CH13" s="9"/>
      <c r="CI13" s="26"/>
      <c r="CJ13" s="10"/>
      <c r="CK13" s="11"/>
      <c r="CL13" s="7"/>
      <c r="CM13" s="9">
        <v>12</v>
      </c>
      <c r="CN13" s="26">
        <v>109112</v>
      </c>
      <c r="CO13" s="10" t="s">
        <v>2980</v>
      </c>
      <c r="CP13" s="11" t="s">
        <v>59</v>
      </c>
      <c r="CQ13" s="7"/>
      <c r="CR13" s="9">
        <v>12</v>
      </c>
      <c r="CS13" s="26">
        <v>107112</v>
      </c>
      <c r="CT13" s="10" t="s">
        <v>2981</v>
      </c>
      <c r="CU13" s="11" t="s">
        <v>59</v>
      </c>
      <c r="CV13" s="7"/>
    </row>
    <row r="14" spans="1:100" s="8" customFormat="1" ht="15" customHeight="1">
      <c r="A14" s="9">
        <v>13</v>
      </c>
      <c r="B14" s="21">
        <v>101113</v>
      </c>
      <c r="C14" s="10" t="s">
        <v>2982</v>
      </c>
      <c r="D14" s="11" t="s">
        <v>59</v>
      </c>
      <c r="E14" s="138"/>
      <c r="F14" s="9">
        <v>13</v>
      </c>
      <c r="G14" s="21">
        <v>101215</v>
      </c>
      <c r="H14" s="10" t="s">
        <v>3021</v>
      </c>
      <c r="I14" s="11" t="s">
        <v>59</v>
      </c>
      <c r="J14" s="138"/>
      <c r="K14" s="9">
        <v>13</v>
      </c>
      <c r="L14" s="21">
        <v>101314</v>
      </c>
      <c r="M14" s="10" t="s">
        <v>3003</v>
      </c>
      <c r="N14" s="11" t="s">
        <v>60</v>
      </c>
      <c r="O14" s="138"/>
      <c r="P14" s="9">
        <v>13</v>
      </c>
      <c r="Q14" s="21">
        <v>101414</v>
      </c>
      <c r="R14" s="10" t="s">
        <v>3004</v>
      </c>
      <c r="S14" s="11" t="s">
        <v>59</v>
      </c>
      <c r="T14" s="138"/>
      <c r="U14" s="9">
        <v>13</v>
      </c>
      <c r="V14" s="21">
        <v>102115</v>
      </c>
      <c r="W14" s="10" t="s">
        <v>3041</v>
      </c>
      <c r="X14" s="11" t="s">
        <v>59</v>
      </c>
      <c r="Y14" s="138"/>
      <c r="Z14" s="9">
        <v>13</v>
      </c>
      <c r="AA14" s="21">
        <v>102214</v>
      </c>
      <c r="AB14" s="10" t="s">
        <v>3006</v>
      </c>
      <c r="AC14" s="11" t="s">
        <v>59</v>
      </c>
      <c r="AD14" s="138"/>
      <c r="AE14" s="9">
        <v>13</v>
      </c>
      <c r="AF14" s="21">
        <v>102313</v>
      </c>
      <c r="AG14" s="10" t="s">
        <v>2988</v>
      </c>
      <c r="AH14" s="11" t="s">
        <v>59</v>
      </c>
      <c r="AI14" s="135"/>
      <c r="AJ14" s="9">
        <v>13</v>
      </c>
      <c r="AK14" s="21">
        <v>102413</v>
      </c>
      <c r="AL14" s="10" t="s">
        <v>2989</v>
      </c>
      <c r="AM14" s="11" t="s">
        <v>59</v>
      </c>
      <c r="AN14" s="135"/>
      <c r="AO14" s="9">
        <v>13</v>
      </c>
      <c r="AP14" s="21">
        <v>103114</v>
      </c>
      <c r="AQ14" s="10" t="s">
        <v>3028</v>
      </c>
      <c r="AR14" s="11" t="s">
        <v>59</v>
      </c>
      <c r="AS14" s="135"/>
      <c r="AT14" s="9">
        <v>13</v>
      </c>
      <c r="AU14" s="21">
        <v>103213</v>
      </c>
      <c r="AV14" s="10" t="s">
        <v>2991</v>
      </c>
      <c r="AW14" s="11" t="s">
        <v>59</v>
      </c>
      <c r="AX14" s="135"/>
      <c r="AY14" s="9">
        <v>13</v>
      </c>
      <c r="AZ14" s="21">
        <v>103314</v>
      </c>
      <c r="BA14" s="10" t="s">
        <v>3011</v>
      </c>
      <c r="BB14" s="11" t="s">
        <v>59</v>
      </c>
      <c r="BC14" s="50"/>
      <c r="BD14" s="9">
        <v>13</v>
      </c>
      <c r="BE14" s="21">
        <v>104114</v>
      </c>
      <c r="BF14" s="10" t="s">
        <v>3012</v>
      </c>
      <c r="BG14" s="11" t="s">
        <v>59</v>
      </c>
      <c r="BH14" s="50"/>
      <c r="BI14" s="9">
        <v>13</v>
      </c>
      <c r="BJ14" s="21">
        <v>104216</v>
      </c>
      <c r="BK14" s="10" t="s">
        <v>3048</v>
      </c>
      <c r="BL14" s="11" t="s">
        <v>60</v>
      </c>
      <c r="BM14" s="50"/>
      <c r="BN14" s="9">
        <v>13</v>
      </c>
      <c r="BO14" s="21">
        <v>105114</v>
      </c>
      <c r="BP14" s="10" t="s">
        <v>3014</v>
      </c>
      <c r="BQ14" s="11" t="s">
        <v>59</v>
      </c>
      <c r="BR14" s="135"/>
      <c r="BS14" s="9">
        <v>13</v>
      </c>
      <c r="BT14" s="21">
        <v>105214</v>
      </c>
      <c r="BU14" s="10" t="s">
        <v>3015</v>
      </c>
      <c r="BV14" s="11" t="s">
        <v>59</v>
      </c>
      <c r="BW14" s="138"/>
      <c r="BX14" s="9">
        <v>13</v>
      </c>
      <c r="BY14" s="21">
        <v>108113</v>
      </c>
      <c r="BZ14" s="10" t="s">
        <v>2997</v>
      </c>
      <c r="CA14" s="11" t="s">
        <v>60</v>
      </c>
      <c r="CB14" s="135"/>
      <c r="CC14" s="9">
        <v>13</v>
      </c>
      <c r="CD14" s="21">
        <v>108214</v>
      </c>
      <c r="CE14" s="10" t="s">
        <v>3017</v>
      </c>
      <c r="CF14" s="11" t="s">
        <v>60</v>
      </c>
      <c r="CG14" s="135"/>
      <c r="CH14" s="9"/>
      <c r="CI14" s="21"/>
      <c r="CJ14" s="10"/>
      <c r="CK14" s="11"/>
      <c r="CL14" s="7"/>
      <c r="CM14" s="9">
        <v>13</v>
      </c>
      <c r="CN14" s="21">
        <v>109114</v>
      </c>
      <c r="CO14" s="10" t="s">
        <v>3018</v>
      </c>
      <c r="CP14" s="11" t="s">
        <v>59</v>
      </c>
      <c r="CQ14" s="7"/>
      <c r="CR14" s="9">
        <v>13</v>
      </c>
      <c r="CS14" s="21">
        <v>107113</v>
      </c>
      <c r="CT14" s="10" t="s">
        <v>3000</v>
      </c>
      <c r="CU14" s="11" t="s">
        <v>59</v>
      </c>
      <c r="CV14" s="7"/>
    </row>
    <row r="15" spans="1:100" s="8" customFormat="1" ht="15" customHeight="1">
      <c r="A15" s="9">
        <v>14</v>
      </c>
      <c r="B15" s="26">
        <v>101114</v>
      </c>
      <c r="C15" s="10" t="s">
        <v>3001</v>
      </c>
      <c r="D15" s="11" t="s">
        <v>59</v>
      </c>
      <c r="E15" s="138"/>
      <c r="F15" s="9">
        <v>14</v>
      </c>
      <c r="G15" s="26">
        <v>101216</v>
      </c>
      <c r="H15" s="10" t="s">
        <v>3039</v>
      </c>
      <c r="I15" s="11" t="s">
        <v>59</v>
      </c>
      <c r="J15" s="138"/>
      <c r="K15" s="9">
        <v>14</v>
      </c>
      <c r="L15" s="26">
        <v>101315</v>
      </c>
      <c r="M15" s="10" t="s">
        <v>3022</v>
      </c>
      <c r="N15" s="11" t="s">
        <v>59</v>
      </c>
      <c r="O15" s="138"/>
      <c r="P15" s="9">
        <v>14</v>
      </c>
      <c r="Q15" s="26">
        <v>101415</v>
      </c>
      <c r="R15" s="10" t="s">
        <v>3023</v>
      </c>
      <c r="S15" s="11" t="s">
        <v>59</v>
      </c>
      <c r="T15" s="138"/>
      <c r="U15" s="9">
        <v>14</v>
      </c>
      <c r="V15" s="26">
        <v>102116</v>
      </c>
      <c r="W15" s="10" t="s">
        <v>3058</v>
      </c>
      <c r="X15" s="11" t="s">
        <v>59</v>
      </c>
      <c r="Y15" s="138"/>
      <c r="Z15" s="9">
        <v>14</v>
      </c>
      <c r="AA15" s="26">
        <v>102215</v>
      </c>
      <c r="AB15" s="10" t="s">
        <v>3025</v>
      </c>
      <c r="AC15" s="11" t="s">
        <v>59</v>
      </c>
      <c r="AD15" s="138"/>
      <c r="AE15" s="9">
        <v>14</v>
      </c>
      <c r="AF15" s="26">
        <v>102314</v>
      </c>
      <c r="AG15" s="10" t="s">
        <v>3007</v>
      </c>
      <c r="AH15" s="11" t="s">
        <v>59</v>
      </c>
      <c r="AI15" s="50"/>
      <c r="AJ15" s="9">
        <v>14</v>
      </c>
      <c r="AK15" s="26">
        <v>102414</v>
      </c>
      <c r="AL15" s="10" t="s">
        <v>3008</v>
      </c>
      <c r="AM15" s="11" t="s">
        <v>59</v>
      </c>
      <c r="AN15" s="135"/>
      <c r="AO15" s="9">
        <v>14</v>
      </c>
      <c r="AP15" s="26">
        <v>103115</v>
      </c>
      <c r="AQ15" s="10" t="s">
        <v>3044</v>
      </c>
      <c r="AR15" s="11" t="s">
        <v>59</v>
      </c>
      <c r="AS15" s="135"/>
      <c r="AT15" s="9">
        <v>14</v>
      </c>
      <c r="AU15" s="26">
        <v>103215</v>
      </c>
      <c r="AV15" s="10" t="s">
        <v>3029</v>
      </c>
      <c r="AW15" s="11" t="s">
        <v>59</v>
      </c>
      <c r="AX15" s="135"/>
      <c r="AY15" s="9">
        <v>14</v>
      </c>
      <c r="AZ15" s="26">
        <v>103315</v>
      </c>
      <c r="BA15" s="331" t="s">
        <v>3030</v>
      </c>
      <c r="BB15" s="11" t="s">
        <v>59</v>
      </c>
      <c r="BC15" s="207"/>
      <c r="BD15" s="9">
        <v>14</v>
      </c>
      <c r="BE15" s="26">
        <v>104115</v>
      </c>
      <c r="BF15" s="10" t="s">
        <v>3031</v>
      </c>
      <c r="BG15" s="11" t="s">
        <v>59</v>
      </c>
      <c r="BH15" s="50"/>
      <c r="BI15" s="9">
        <v>14</v>
      </c>
      <c r="BJ15" s="26">
        <v>104217</v>
      </c>
      <c r="BK15" s="10" t="s">
        <v>3066</v>
      </c>
      <c r="BL15" s="11" t="s">
        <v>60</v>
      </c>
      <c r="BM15" s="50"/>
      <c r="BN15" s="9">
        <v>14</v>
      </c>
      <c r="BO15" s="26">
        <v>105115</v>
      </c>
      <c r="BP15" s="331" t="s">
        <v>3033</v>
      </c>
      <c r="BQ15" s="11" t="s">
        <v>59</v>
      </c>
      <c r="BR15" s="135"/>
      <c r="BS15" s="9">
        <v>14</v>
      </c>
      <c r="BT15" s="26">
        <v>105215</v>
      </c>
      <c r="BU15" s="10" t="s">
        <v>3034</v>
      </c>
      <c r="BV15" s="11" t="s">
        <v>59</v>
      </c>
      <c r="BW15" s="135"/>
      <c r="BX15" s="9">
        <v>14</v>
      </c>
      <c r="BY15" s="26">
        <v>108114</v>
      </c>
      <c r="BZ15" s="10" t="s">
        <v>3016</v>
      </c>
      <c r="CA15" s="11" t="s">
        <v>60</v>
      </c>
      <c r="CB15" s="135"/>
      <c r="CC15" s="9">
        <v>14</v>
      </c>
      <c r="CD15" s="26">
        <v>108215</v>
      </c>
      <c r="CE15" s="10" t="s">
        <v>3036</v>
      </c>
      <c r="CF15" s="11" t="s">
        <v>59</v>
      </c>
      <c r="CG15" s="135"/>
      <c r="CH15" s="9"/>
      <c r="CI15" s="26"/>
      <c r="CJ15" s="10"/>
      <c r="CK15" s="11"/>
      <c r="CL15" s="7"/>
      <c r="CM15" s="9"/>
      <c r="CN15" s="26"/>
      <c r="CO15" s="10"/>
      <c r="CP15" s="11"/>
      <c r="CQ15" s="7"/>
      <c r="CR15" s="9">
        <v>14</v>
      </c>
      <c r="CS15" s="26">
        <v>107114</v>
      </c>
      <c r="CT15" s="10" t="s">
        <v>3019</v>
      </c>
      <c r="CU15" s="11" t="s">
        <v>59</v>
      </c>
      <c r="CV15" s="7"/>
    </row>
    <row r="16" spans="1:100" s="8" customFormat="1" ht="15" customHeight="1" thickBot="1">
      <c r="A16" s="16">
        <v>15</v>
      </c>
      <c r="B16" s="28">
        <v>101115</v>
      </c>
      <c r="C16" s="17" t="s">
        <v>3020</v>
      </c>
      <c r="D16" s="14" t="s">
        <v>59</v>
      </c>
      <c r="E16" s="138"/>
      <c r="F16" s="16">
        <v>15</v>
      </c>
      <c r="G16" s="28">
        <v>101217</v>
      </c>
      <c r="H16" s="17" t="s">
        <v>3055</v>
      </c>
      <c r="I16" s="14" t="s">
        <v>60</v>
      </c>
      <c r="J16" s="138"/>
      <c r="K16" s="16">
        <v>15</v>
      </c>
      <c r="L16" s="28">
        <v>101316</v>
      </c>
      <c r="M16" s="17" t="s">
        <v>594</v>
      </c>
      <c r="N16" s="14" t="s">
        <v>59</v>
      </c>
      <c r="O16" s="138"/>
      <c r="P16" s="16">
        <v>15</v>
      </c>
      <c r="Q16" s="28">
        <v>101416</v>
      </c>
      <c r="R16" s="17" t="s">
        <v>3040</v>
      </c>
      <c r="S16" s="14" t="s">
        <v>59</v>
      </c>
      <c r="T16" s="138"/>
      <c r="U16" s="16">
        <v>15</v>
      </c>
      <c r="V16" s="28">
        <v>102117</v>
      </c>
      <c r="W16" s="17" t="s">
        <v>3076</v>
      </c>
      <c r="X16" s="14" t="s">
        <v>59</v>
      </c>
      <c r="Y16" s="138"/>
      <c r="Z16" s="16">
        <v>15</v>
      </c>
      <c r="AA16" s="28">
        <v>102217</v>
      </c>
      <c r="AB16" s="17" t="s">
        <v>3059</v>
      </c>
      <c r="AC16" s="14" t="s">
        <v>59</v>
      </c>
      <c r="AD16" s="138"/>
      <c r="AE16" s="16">
        <v>15</v>
      </c>
      <c r="AF16" s="28">
        <v>102315</v>
      </c>
      <c r="AG16" s="17" t="s">
        <v>3026</v>
      </c>
      <c r="AH16" s="14" t="s">
        <v>59</v>
      </c>
      <c r="AI16" s="135"/>
      <c r="AJ16" s="16">
        <v>15</v>
      </c>
      <c r="AK16" s="28">
        <v>102415</v>
      </c>
      <c r="AL16" s="17" t="s">
        <v>3027</v>
      </c>
      <c r="AM16" s="14" t="s">
        <v>59</v>
      </c>
      <c r="AN16" s="135"/>
      <c r="AO16" s="16">
        <v>15</v>
      </c>
      <c r="AP16" s="28">
        <v>103116</v>
      </c>
      <c r="AQ16" s="17" t="s">
        <v>3062</v>
      </c>
      <c r="AR16" s="14" t="s">
        <v>59</v>
      </c>
      <c r="AS16" s="135"/>
      <c r="AT16" s="16">
        <v>15</v>
      </c>
      <c r="AU16" s="28">
        <v>103216</v>
      </c>
      <c r="AV16" s="17" t="s">
        <v>3045</v>
      </c>
      <c r="AW16" s="14" t="s">
        <v>59</v>
      </c>
      <c r="AX16" s="135"/>
      <c r="AY16" s="16">
        <v>15</v>
      </c>
      <c r="AZ16" s="28">
        <v>103316</v>
      </c>
      <c r="BA16" s="17" t="s">
        <v>3637</v>
      </c>
      <c r="BB16" s="14" t="s">
        <v>59</v>
      </c>
      <c r="BC16" s="50"/>
      <c r="BD16" s="16">
        <v>15</v>
      </c>
      <c r="BE16" s="28">
        <v>104116</v>
      </c>
      <c r="BF16" s="17" t="s">
        <v>3047</v>
      </c>
      <c r="BG16" s="14" t="s">
        <v>60</v>
      </c>
      <c r="BH16" s="50"/>
      <c r="BI16" s="16">
        <v>15</v>
      </c>
      <c r="BJ16" s="28">
        <v>104219</v>
      </c>
      <c r="BK16" s="17" t="s">
        <v>3100</v>
      </c>
      <c r="BL16" s="14" t="s">
        <v>59</v>
      </c>
      <c r="BM16" s="50"/>
      <c r="BN16" s="16">
        <v>15</v>
      </c>
      <c r="BO16" s="28">
        <v>105116</v>
      </c>
      <c r="BP16" s="17" t="s">
        <v>3049</v>
      </c>
      <c r="BQ16" s="14" t="s">
        <v>59</v>
      </c>
      <c r="BR16" s="135"/>
      <c r="BS16" s="16">
        <v>15</v>
      </c>
      <c r="BT16" s="28">
        <v>105216</v>
      </c>
      <c r="BU16" s="17" t="s">
        <v>3050</v>
      </c>
      <c r="BV16" s="14" t="s">
        <v>59</v>
      </c>
      <c r="BW16" s="138"/>
      <c r="BX16" s="16">
        <v>15</v>
      </c>
      <c r="BY16" s="28">
        <v>108115</v>
      </c>
      <c r="BZ16" s="17" t="s">
        <v>3035</v>
      </c>
      <c r="CA16" s="14" t="s">
        <v>59</v>
      </c>
      <c r="CB16" s="135"/>
      <c r="CC16" s="16">
        <v>15</v>
      </c>
      <c r="CD16" s="28">
        <v>108216</v>
      </c>
      <c r="CE16" s="17" t="s">
        <v>3052</v>
      </c>
      <c r="CF16" s="14" t="s">
        <v>60</v>
      </c>
      <c r="CG16" s="135"/>
      <c r="CH16" s="16"/>
      <c r="CI16" s="28"/>
      <c r="CJ16" s="17"/>
      <c r="CK16" s="14"/>
      <c r="CL16" s="7"/>
      <c r="CM16" s="16"/>
      <c r="CN16" s="28"/>
      <c r="CO16" s="17"/>
      <c r="CP16" s="14"/>
      <c r="CQ16" s="7"/>
      <c r="CR16" s="16">
        <v>15</v>
      </c>
      <c r="CS16" s="28">
        <v>107115</v>
      </c>
      <c r="CT16" s="17" t="s">
        <v>3037</v>
      </c>
      <c r="CU16" s="14" t="s">
        <v>59</v>
      </c>
      <c r="CV16" s="7"/>
    </row>
    <row r="17" spans="1:100" s="8" customFormat="1" ht="15" customHeight="1" thickTop="1">
      <c r="A17" s="4">
        <v>16</v>
      </c>
      <c r="B17" s="25">
        <v>101116</v>
      </c>
      <c r="C17" s="5" t="s">
        <v>3038</v>
      </c>
      <c r="D17" s="6" t="s">
        <v>59</v>
      </c>
      <c r="E17" s="138"/>
      <c r="F17" s="4">
        <v>16</v>
      </c>
      <c r="G17" s="25">
        <v>101218</v>
      </c>
      <c r="H17" s="5" t="s">
        <v>3073</v>
      </c>
      <c r="I17" s="6" t="s">
        <v>59</v>
      </c>
      <c r="J17" s="138"/>
      <c r="K17" s="4">
        <v>16</v>
      </c>
      <c r="L17" s="25">
        <v>101317</v>
      </c>
      <c r="M17" s="5" t="s">
        <v>3056</v>
      </c>
      <c r="N17" s="6" t="s">
        <v>60</v>
      </c>
      <c r="O17" s="138"/>
      <c r="P17" s="4">
        <v>16</v>
      </c>
      <c r="Q17" s="25">
        <v>101417</v>
      </c>
      <c r="R17" s="5" t="s">
        <v>3057</v>
      </c>
      <c r="S17" s="6" t="s">
        <v>59</v>
      </c>
      <c r="T17" s="138"/>
      <c r="U17" s="4">
        <v>16</v>
      </c>
      <c r="V17" s="25">
        <v>102118</v>
      </c>
      <c r="W17" s="5" t="s">
        <v>3094</v>
      </c>
      <c r="X17" s="6" t="s">
        <v>59</v>
      </c>
      <c r="Y17" s="138"/>
      <c r="Z17" s="4">
        <v>16</v>
      </c>
      <c r="AA17" s="25">
        <v>102218</v>
      </c>
      <c r="AB17" s="5" t="s">
        <v>3077</v>
      </c>
      <c r="AC17" s="6" t="s">
        <v>59</v>
      </c>
      <c r="AD17" s="263"/>
      <c r="AE17" s="4">
        <v>16</v>
      </c>
      <c r="AF17" s="25">
        <v>102316</v>
      </c>
      <c r="AG17" s="333" t="s">
        <v>3522</v>
      </c>
      <c r="AH17" s="6" t="s">
        <v>59</v>
      </c>
      <c r="AI17" s="135"/>
      <c r="AJ17" s="4">
        <v>16</v>
      </c>
      <c r="AK17" s="25">
        <v>102416</v>
      </c>
      <c r="AL17" s="5" t="s">
        <v>3043</v>
      </c>
      <c r="AM17" s="6" t="s">
        <v>59</v>
      </c>
      <c r="AN17" s="135"/>
      <c r="AO17" s="4">
        <v>16</v>
      </c>
      <c r="AP17" s="25">
        <v>103117</v>
      </c>
      <c r="AQ17" s="5" t="s">
        <v>3080</v>
      </c>
      <c r="AR17" s="6" t="s">
        <v>60</v>
      </c>
      <c r="AS17" s="50"/>
      <c r="AT17" s="4">
        <v>16</v>
      </c>
      <c r="AU17" s="25">
        <v>103218</v>
      </c>
      <c r="AV17" s="5" t="s">
        <v>3081</v>
      </c>
      <c r="AW17" s="6" t="s">
        <v>59</v>
      </c>
      <c r="AX17" s="135"/>
      <c r="AY17" s="4">
        <v>16</v>
      </c>
      <c r="AZ17" s="25">
        <v>103317</v>
      </c>
      <c r="BA17" s="5" t="s">
        <v>3064</v>
      </c>
      <c r="BB17" s="6" t="s">
        <v>59</v>
      </c>
      <c r="BC17" s="50"/>
      <c r="BD17" s="4">
        <v>16</v>
      </c>
      <c r="BE17" s="25">
        <v>104117</v>
      </c>
      <c r="BF17" s="5" t="s">
        <v>3065</v>
      </c>
      <c r="BG17" s="6" t="s">
        <v>59</v>
      </c>
      <c r="BH17" s="50"/>
      <c r="BI17" s="4">
        <v>16</v>
      </c>
      <c r="BJ17" s="25">
        <v>104220</v>
      </c>
      <c r="BK17" s="5" t="s">
        <v>3116</v>
      </c>
      <c r="BL17" s="6" t="s">
        <v>59</v>
      </c>
      <c r="BM17" s="50"/>
      <c r="BN17" s="4">
        <v>16</v>
      </c>
      <c r="BO17" s="25">
        <v>105117</v>
      </c>
      <c r="BP17" s="5" t="s">
        <v>3067</v>
      </c>
      <c r="BQ17" s="6" t="s">
        <v>59</v>
      </c>
      <c r="BR17" s="138"/>
      <c r="BS17" s="4">
        <v>16</v>
      </c>
      <c r="BT17" s="25">
        <v>105217</v>
      </c>
      <c r="BU17" s="5" t="s">
        <v>3068</v>
      </c>
      <c r="BV17" s="6" t="s">
        <v>59</v>
      </c>
      <c r="BW17" s="138"/>
      <c r="BX17" s="4">
        <v>16</v>
      </c>
      <c r="BY17" s="25">
        <v>108116</v>
      </c>
      <c r="BZ17" s="332" t="s">
        <v>3518</v>
      </c>
      <c r="CA17" s="6" t="s">
        <v>59</v>
      </c>
      <c r="CB17" s="138"/>
      <c r="CC17" s="4">
        <v>16</v>
      </c>
      <c r="CD17" s="25">
        <v>108217</v>
      </c>
      <c r="CE17" s="5" t="s">
        <v>3070</v>
      </c>
      <c r="CF17" s="6" t="s">
        <v>60</v>
      </c>
      <c r="CG17" s="15"/>
      <c r="CH17" s="4"/>
      <c r="CI17" s="25"/>
      <c r="CJ17" s="5"/>
      <c r="CK17" s="6"/>
      <c r="CL17" s="7"/>
      <c r="CM17" s="4"/>
      <c r="CN17" s="25"/>
      <c r="CO17" s="5"/>
      <c r="CP17" s="6"/>
      <c r="CQ17" s="7"/>
      <c r="CR17" s="4">
        <v>16</v>
      </c>
      <c r="CS17" s="25">
        <v>107116</v>
      </c>
      <c r="CT17" s="5" t="s">
        <v>3053</v>
      </c>
      <c r="CU17" s="6" t="s">
        <v>59</v>
      </c>
      <c r="CV17" s="7"/>
    </row>
    <row r="18" spans="1:100" s="8" customFormat="1" ht="15" customHeight="1">
      <c r="A18" s="9">
        <v>17</v>
      </c>
      <c r="B18" s="21">
        <v>101117</v>
      </c>
      <c r="C18" s="10" t="s">
        <v>3054</v>
      </c>
      <c r="D18" s="11" t="s">
        <v>59</v>
      </c>
      <c r="E18" s="138"/>
      <c r="F18" s="9">
        <v>17</v>
      </c>
      <c r="G18" s="21">
        <v>101219</v>
      </c>
      <c r="H18" s="10" t="s">
        <v>3091</v>
      </c>
      <c r="I18" s="11" t="s">
        <v>59</v>
      </c>
      <c r="J18" s="138"/>
      <c r="K18" s="9">
        <v>17</v>
      </c>
      <c r="L18" s="21">
        <v>101318</v>
      </c>
      <c r="M18" s="10" t="s">
        <v>3074</v>
      </c>
      <c r="N18" s="11" t="s">
        <v>59</v>
      </c>
      <c r="O18" s="138"/>
      <c r="P18" s="9">
        <v>17</v>
      </c>
      <c r="Q18" s="21">
        <v>101418</v>
      </c>
      <c r="R18" s="10" t="s">
        <v>3075</v>
      </c>
      <c r="S18" s="11" t="s">
        <v>59</v>
      </c>
      <c r="T18" s="135"/>
      <c r="U18" s="9">
        <v>17</v>
      </c>
      <c r="V18" s="21">
        <v>102119</v>
      </c>
      <c r="W18" s="10" t="s">
        <v>3109</v>
      </c>
      <c r="X18" s="11" t="s">
        <v>59</v>
      </c>
      <c r="Y18" s="138"/>
      <c r="Z18" s="9">
        <v>17</v>
      </c>
      <c r="AA18" s="21">
        <v>102219</v>
      </c>
      <c r="AB18" s="10" t="s">
        <v>3095</v>
      </c>
      <c r="AC18" s="11" t="s">
        <v>59</v>
      </c>
      <c r="AD18" s="138"/>
      <c r="AE18" s="9">
        <v>17</v>
      </c>
      <c r="AF18" s="21">
        <v>102317</v>
      </c>
      <c r="AG18" s="10" t="s">
        <v>3060</v>
      </c>
      <c r="AH18" s="11" t="s">
        <v>59</v>
      </c>
      <c r="AI18" s="135"/>
      <c r="AJ18" s="9">
        <v>17</v>
      </c>
      <c r="AK18" s="21">
        <v>102417</v>
      </c>
      <c r="AL18" s="10" t="s">
        <v>3061</v>
      </c>
      <c r="AM18" s="11" t="s">
        <v>59</v>
      </c>
      <c r="AN18" s="50"/>
      <c r="AO18" s="9">
        <v>17</v>
      </c>
      <c r="AP18" s="21">
        <v>103118</v>
      </c>
      <c r="AQ18" s="10" t="s">
        <v>3097</v>
      </c>
      <c r="AR18" s="11" t="s">
        <v>59</v>
      </c>
      <c r="AS18" s="50"/>
      <c r="AT18" s="9">
        <v>17</v>
      </c>
      <c r="AU18" s="21">
        <v>103219</v>
      </c>
      <c r="AV18" s="10" t="s">
        <v>3098</v>
      </c>
      <c r="AW18" s="11" t="s">
        <v>59</v>
      </c>
      <c r="AX18" s="135"/>
      <c r="AY18" s="9">
        <v>17</v>
      </c>
      <c r="AZ18" s="21">
        <v>103318</v>
      </c>
      <c r="BA18" s="10" t="s">
        <v>3082</v>
      </c>
      <c r="BB18" s="11" t="s">
        <v>59</v>
      </c>
      <c r="BC18" s="50"/>
      <c r="BD18" s="9">
        <v>17</v>
      </c>
      <c r="BE18" s="21">
        <v>104118</v>
      </c>
      <c r="BF18" s="10" t="s">
        <v>3083</v>
      </c>
      <c r="BG18" s="11" t="s">
        <v>59</v>
      </c>
      <c r="BH18" s="50"/>
      <c r="BI18" s="9">
        <v>17</v>
      </c>
      <c r="BJ18" s="21">
        <v>104221</v>
      </c>
      <c r="BK18" s="10" t="s">
        <v>3133</v>
      </c>
      <c r="BL18" s="11" t="s">
        <v>59</v>
      </c>
      <c r="BM18" s="50"/>
      <c r="BN18" s="9">
        <v>17</v>
      </c>
      <c r="BO18" s="21">
        <v>105119</v>
      </c>
      <c r="BP18" s="331" t="s">
        <v>0</v>
      </c>
      <c r="BQ18" s="11" t="s">
        <v>59</v>
      </c>
      <c r="BR18" s="135"/>
      <c r="BS18" s="9">
        <v>17</v>
      </c>
      <c r="BT18" s="21">
        <v>105218</v>
      </c>
      <c r="BU18" s="10" t="s">
        <v>3086</v>
      </c>
      <c r="BV18" s="11" t="s">
        <v>59</v>
      </c>
      <c r="BW18" s="138"/>
      <c r="BX18" s="9">
        <v>17</v>
      </c>
      <c r="BY18" s="21">
        <v>108117</v>
      </c>
      <c r="BZ18" s="10" t="s">
        <v>3069</v>
      </c>
      <c r="CA18" s="11" t="s">
        <v>60</v>
      </c>
      <c r="CB18" s="138"/>
      <c r="CC18" s="9">
        <v>17</v>
      </c>
      <c r="CD18" s="21">
        <v>108218</v>
      </c>
      <c r="CE18" s="10" t="s">
        <v>3088</v>
      </c>
      <c r="CF18" s="11" t="s">
        <v>59</v>
      </c>
      <c r="CG18" s="135"/>
      <c r="CH18" s="9"/>
      <c r="CI18" s="21"/>
      <c r="CJ18" s="10"/>
      <c r="CK18" s="11"/>
      <c r="CL18" s="7"/>
      <c r="CM18" s="9"/>
      <c r="CN18" s="21"/>
      <c r="CO18" s="10"/>
      <c r="CP18" s="11"/>
      <c r="CQ18" s="7"/>
      <c r="CR18" s="9">
        <v>17</v>
      </c>
      <c r="CS18" s="21">
        <v>107117</v>
      </c>
      <c r="CT18" s="10" t="s">
        <v>3071</v>
      </c>
      <c r="CU18" s="11" t="s">
        <v>59</v>
      </c>
      <c r="CV18" s="7"/>
    </row>
    <row r="19" spans="1:100" s="8" customFormat="1" ht="15" customHeight="1">
      <c r="A19" s="9">
        <v>18</v>
      </c>
      <c r="B19" s="21">
        <v>101118</v>
      </c>
      <c r="C19" s="10" t="s">
        <v>3072</v>
      </c>
      <c r="D19" s="11" t="s">
        <v>60</v>
      </c>
      <c r="E19" s="138"/>
      <c r="F19" s="9">
        <v>18</v>
      </c>
      <c r="G19" s="21">
        <v>101220</v>
      </c>
      <c r="H19" s="10" t="s">
        <v>3106</v>
      </c>
      <c r="I19" s="11" t="s">
        <v>59</v>
      </c>
      <c r="J19" s="138"/>
      <c r="K19" s="9">
        <v>18</v>
      </c>
      <c r="L19" s="21">
        <v>101319</v>
      </c>
      <c r="M19" s="10" t="s">
        <v>3092</v>
      </c>
      <c r="N19" s="11" t="s">
        <v>59</v>
      </c>
      <c r="O19" s="138"/>
      <c r="P19" s="9">
        <v>18</v>
      </c>
      <c r="Q19" s="21">
        <v>101420</v>
      </c>
      <c r="R19" s="10" t="s">
        <v>3108</v>
      </c>
      <c r="S19" s="11" t="s">
        <v>59</v>
      </c>
      <c r="T19" s="138"/>
      <c r="U19" s="9">
        <v>18</v>
      </c>
      <c r="V19" s="21">
        <v>102121</v>
      </c>
      <c r="W19" s="10" t="s">
        <v>3143</v>
      </c>
      <c r="X19" s="11" t="s">
        <v>59</v>
      </c>
      <c r="Y19" s="138"/>
      <c r="Z19" s="9">
        <v>18</v>
      </c>
      <c r="AA19" s="21">
        <v>102220</v>
      </c>
      <c r="AB19" s="10" t="s">
        <v>3110</v>
      </c>
      <c r="AC19" s="11" t="s">
        <v>59</v>
      </c>
      <c r="AD19" s="138"/>
      <c r="AE19" s="9">
        <v>18</v>
      </c>
      <c r="AF19" s="21">
        <v>102318</v>
      </c>
      <c r="AG19" s="10" t="s">
        <v>3078</v>
      </c>
      <c r="AH19" s="11" t="s">
        <v>59</v>
      </c>
      <c r="AI19" s="135"/>
      <c r="AJ19" s="9">
        <v>18</v>
      </c>
      <c r="AK19" s="21">
        <v>102418</v>
      </c>
      <c r="AL19" s="10" t="s">
        <v>3079</v>
      </c>
      <c r="AM19" s="11" t="s">
        <v>59</v>
      </c>
      <c r="AN19" s="50"/>
      <c r="AO19" s="9">
        <v>18</v>
      </c>
      <c r="AP19" s="21">
        <v>103119</v>
      </c>
      <c r="AQ19" s="10" t="s">
        <v>3113</v>
      </c>
      <c r="AR19" s="11" t="s">
        <v>59</v>
      </c>
      <c r="AS19" s="135"/>
      <c r="AT19" s="9">
        <v>18</v>
      </c>
      <c r="AU19" s="21">
        <v>103220</v>
      </c>
      <c r="AV19" s="10" t="s">
        <v>3114</v>
      </c>
      <c r="AW19" s="11" t="s">
        <v>59</v>
      </c>
      <c r="AX19" s="135"/>
      <c r="AY19" s="9">
        <v>18</v>
      </c>
      <c r="AZ19" s="21">
        <v>103319</v>
      </c>
      <c r="BA19" s="10" t="s">
        <v>3073</v>
      </c>
      <c r="BB19" s="11" t="s">
        <v>59</v>
      </c>
      <c r="BC19" s="50"/>
      <c r="BD19" s="9">
        <v>18</v>
      </c>
      <c r="BE19" s="21">
        <v>104119</v>
      </c>
      <c r="BF19" s="10" t="s">
        <v>3099</v>
      </c>
      <c r="BG19" s="11" t="s">
        <v>59</v>
      </c>
      <c r="BH19" s="50"/>
      <c r="BI19" s="9">
        <v>18</v>
      </c>
      <c r="BJ19" s="21">
        <v>104222</v>
      </c>
      <c r="BK19" s="10" t="s">
        <v>3151</v>
      </c>
      <c r="BL19" s="11" t="s">
        <v>59</v>
      </c>
      <c r="BM19" s="50"/>
      <c r="BN19" s="9">
        <v>18</v>
      </c>
      <c r="BO19" s="21">
        <v>105120</v>
      </c>
      <c r="BP19" s="10" t="s">
        <v>3391</v>
      </c>
      <c r="BQ19" s="11" t="s">
        <v>59</v>
      </c>
      <c r="BR19" s="202"/>
      <c r="BS19" s="9">
        <v>18</v>
      </c>
      <c r="BT19" s="21">
        <v>105219</v>
      </c>
      <c r="BU19" s="10" t="s">
        <v>3101</v>
      </c>
      <c r="BV19" s="11" t="s">
        <v>59</v>
      </c>
      <c r="BW19" s="138"/>
      <c r="BX19" s="9">
        <v>18</v>
      </c>
      <c r="BY19" s="21">
        <v>108118</v>
      </c>
      <c r="BZ19" s="10" t="s">
        <v>3087</v>
      </c>
      <c r="CA19" s="11" t="s">
        <v>59</v>
      </c>
      <c r="CB19" s="135"/>
      <c r="CC19" s="9">
        <v>18</v>
      </c>
      <c r="CD19" s="21">
        <v>108220</v>
      </c>
      <c r="CE19" s="10" t="s">
        <v>3119</v>
      </c>
      <c r="CF19" s="11" t="s">
        <v>59</v>
      </c>
      <c r="CG19" s="135"/>
      <c r="CH19" s="9"/>
      <c r="CI19" s="21"/>
      <c r="CJ19" s="10"/>
      <c r="CK19" s="11"/>
      <c r="CL19" s="7"/>
      <c r="CM19" s="9"/>
      <c r="CN19" s="21"/>
      <c r="CO19" s="10"/>
      <c r="CP19" s="11"/>
      <c r="CQ19" s="7"/>
      <c r="CR19" s="9">
        <v>18</v>
      </c>
      <c r="CS19" s="21">
        <v>107118</v>
      </c>
      <c r="CT19" s="10" t="s">
        <v>3089</v>
      </c>
      <c r="CU19" s="11" t="s">
        <v>59</v>
      </c>
      <c r="CV19" s="7"/>
    </row>
    <row r="20" spans="1:100" s="8" customFormat="1" ht="15" customHeight="1">
      <c r="A20" s="9">
        <v>19</v>
      </c>
      <c r="B20" s="26">
        <v>101119</v>
      </c>
      <c r="C20" s="10" t="s">
        <v>3090</v>
      </c>
      <c r="D20" s="11" t="s">
        <v>59</v>
      </c>
      <c r="E20" s="138"/>
      <c r="F20" s="9">
        <v>19</v>
      </c>
      <c r="G20" s="26">
        <v>101221</v>
      </c>
      <c r="H20" s="10" t="s">
        <v>3122</v>
      </c>
      <c r="I20" s="11" t="s">
        <v>59</v>
      </c>
      <c r="J20" s="138"/>
      <c r="K20" s="9">
        <v>19</v>
      </c>
      <c r="L20" s="26">
        <v>101320</v>
      </c>
      <c r="M20" s="10" t="s">
        <v>3107</v>
      </c>
      <c r="N20" s="11" t="s">
        <v>59</v>
      </c>
      <c r="O20" s="138"/>
      <c r="P20" s="9">
        <v>19</v>
      </c>
      <c r="Q20" s="26">
        <v>101421</v>
      </c>
      <c r="R20" s="10" t="s">
        <v>3124</v>
      </c>
      <c r="S20" s="11" t="s">
        <v>60</v>
      </c>
      <c r="T20" s="135"/>
      <c r="U20" s="9">
        <v>19</v>
      </c>
      <c r="V20" s="26">
        <v>102122</v>
      </c>
      <c r="W20" s="10" t="s">
        <v>3160</v>
      </c>
      <c r="X20" s="11" t="s">
        <v>59</v>
      </c>
      <c r="Y20" s="138"/>
      <c r="Z20" s="9">
        <v>19</v>
      </c>
      <c r="AA20" s="26">
        <v>102221</v>
      </c>
      <c r="AB20" s="10" t="s">
        <v>3126</v>
      </c>
      <c r="AC20" s="11" t="s">
        <v>59</v>
      </c>
      <c r="AD20" s="135"/>
      <c r="AE20" s="9">
        <v>19</v>
      </c>
      <c r="AF20" s="26">
        <v>102320</v>
      </c>
      <c r="AG20" s="10" t="s">
        <v>3111</v>
      </c>
      <c r="AH20" s="11" t="s">
        <v>59</v>
      </c>
      <c r="AI20" s="207"/>
      <c r="AJ20" s="9">
        <v>19</v>
      </c>
      <c r="AK20" s="26">
        <v>102419</v>
      </c>
      <c r="AL20" s="10" t="s">
        <v>588</v>
      </c>
      <c r="AM20" s="11" t="s">
        <v>59</v>
      </c>
      <c r="AN20" s="135"/>
      <c r="AO20" s="9">
        <v>19</v>
      </c>
      <c r="AP20" s="26">
        <v>103120</v>
      </c>
      <c r="AQ20" s="10" t="s">
        <v>3129</v>
      </c>
      <c r="AR20" s="11" t="s">
        <v>59</v>
      </c>
      <c r="AS20" s="57"/>
      <c r="AT20" s="9">
        <v>19</v>
      </c>
      <c r="AU20" s="26">
        <v>103221</v>
      </c>
      <c r="AV20" s="10" t="s">
        <v>3130</v>
      </c>
      <c r="AW20" s="11" t="s">
        <v>59</v>
      </c>
      <c r="AX20" s="135"/>
      <c r="AY20" s="9">
        <v>19</v>
      </c>
      <c r="AZ20" s="26">
        <v>103320</v>
      </c>
      <c r="BA20" s="10" t="s">
        <v>3106</v>
      </c>
      <c r="BB20" s="11" t="s">
        <v>59</v>
      </c>
      <c r="BC20" s="50"/>
      <c r="BD20" s="9">
        <v>19</v>
      </c>
      <c r="BE20" s="26">
        <v>104120</v>
      </c>
      <c r="BF20" s="10" t="s">
        <v>3115</v>
      </c>
      <c r="BG20" s="11" t="s">
        <v>59</v>
      </c>
      <c r="BH20" s="50"/>
      <c r="BI20" s="9">
        <v>19</v>
      </c>
      <c r="BJ20" s="26">
        <v>104223</v>
      </c>
      <c r="BK20" s="10" t="s">
        <v>3166</v>
      </c>
      <c r="BL20" s="11" t="s">
        <v>59</v>
      </c>
      <c r="BM20" s="50"/>
      <c r="BN20" s="9">
        <v>19</v>
      </c>
      <c r="BO20" s="26">
        <v>105121</v>
      </c>
      <c r="BP20" s="10" t="s">
        <v>3134</v>
      </c>
      <c r="BQ20" s="11" t="s">
        <v>59</v>
      </c>
      <c r="BR20" s="135"/>
      <c r="BS20" s="9">
        <v>19</v>
      </c>
      <c r="BT20" s="26">
        <v>105220</v>
      </c>
      <c r="BU20" s="10" t="s">
        <v>3117</v>
      </c>
      <c r="BV20" s="11" t="s">
        <v>59</v>
      </c>
      <c r="BW20" s="135"/>
      <c r="BX20" s="9">
        <v>19</v>
      </c>
      <c r="BY20" s="26">
        <v>108119</v>
      </c>
      <c r="BZ20" s="10" t="s">
        <v>3102</v>
      </c>
      <c r="CA20" s="11" t="s">
        <v>60</v>
      </c>
      <c r="CB20" s="135"/>
      <c r="CC20" s="9">
        <v>19</v>
      </c>
      <c r="CD20" s="26">
        <v>108221</v>
      </c>
      <c r="CE20" s="10" t="s">
        <v>3137</v>
      </c>
      <c r="CF20" s="11" t="s">
        <v>60</v>
      </c>
      <c r="CG20" s="135"/>
      <c r="CH20" s="9"/>
      <c r="CI20" s="26"/>
      <c r="CJ20" s="10"/>
      <c r="CK20" s="11"/>
      <c r="CL20" s="7"/>
      <c r="CM20" s="9"/>
      <c r="CN20" s="26"/>
      <c r="CO20" s="10"/>
      <c r="CP20" s="11"/>
      <c r="CQ20" s="7"/>
      <c r="CR20" s="9">
        <v>19</v>
      </c>
      <c r="CS20" s="26">
        <v>107119</v>
      </c>
      <c r="CT20" s="10" t="s">
        <v>3519</v>
      </c>
      <c r="CU20" s="11" t="s">
        <v>60</v>
      </c>
      <c r="CV20" s="7"/>
    </row>
    <row r="21" spans="1:100" s="8" customFormat="1" ht="15" customHeight="1" thickBot="1">
      <c r="A21" s="16">
        <v>20</v>
      </c>
      <c r="B21" s="28">
        <v>101120</v>
      </c>
      <c r="C21" s="17" t="s">
        <v>3105</v>
      </c>
      <c r="D21" s="14" t="s">
        <v>59</v>
      </c>
      <c r="E21" s="138"/>
      <c r="F21" s="16">
        <v>20</v>
      </c>
      <c r="G21" s="28">
        <v>101222</v>
      </c>
      <c r="H21" s="17" t="s">
        <v>3140</v>
      </c>
      <c r="I21" s="14" t="s">
        <v>59</v>
      </c>
      <c r="J21" s="138"/>
      <c r="K21" s="16">
        <v>20</v>
      </c>
      <c r="L21" s="28">
        <v>101321</v>
      </c>
      <c r="M21" s="17" t="s">
        <v>3123</v>
      </c>
      <c r="N21" s="14" t="s">
        <v>59</v>
      </c>
      <c r="O21" s="138"/>
      <c r="P21" s="16">
        <v>20</v>
      </c>
      <c r="Q21" s="28">
        <v>101422</v>
      </c>
      <c r="R21" s="17" t="s">
        <v>3142</v>
      </c>
      <c r="S21" s="14" t="s">
        <v>59</v>
      </c>
      <c r="T21" s="138"/>
      <c r="U21" s="16">
        <v>20</v>
      </c>
      <c r="V21" s="28">
        <v>102123</v>
      </c>
      <c r="W21" s="17" t="s">
        <v>3176</v>
      </c>
      <c r="X21" s="14" t="s">
        <v>60</v>
      </c>
      <c r="Y21" s="138"/>
      <c r="Z21" s="16">
        <v>20</v>
      </c>
      <c r="AA21" s="28">
        <v>102222</v>
      </c>
      <c r="AB21" s="17" t="s">
        <v>3144</v>
      </c>
      <c r="AC21" s="14" t="s">
        <v>59</v>
      </c>
      <c r="AD21" s="138"/>
      <c r="AE21" s="16">
        <v>20</v>
      </c>
      <c r="AF21" s="28">
        <v>102321</v>
      </c>
      <c r="AG21" s="17" t="s">
        <v>3127</v>
      </c>
      <c r="AH21" s="14" t="s">
        <v>59</v>
      </c>
      <c r="AI21" s="135"/>
      <c r="AJ21" s="16">
        <v>20</v>
      </c>
      <c r="AK21" s="28">
        <v>102420</v>
      </c>
      <c r="AL21" s="17" t="s">
        <v>3112</v>
      </c>
      <c r="AM21" s="14" t="s">
        <v>59</v>
      </c>
      <c r="AN21" s="135"/>
      <c r="AO21" s="16">
        <v>20</v>
      </c>
      <c r="AP21" s="28">
        <v>103121</v>
      </c>
      <c r="AQ21" s="17" t="s">
        <v>3147</v>
      </c>
      <c r="AR21" s="14" t="s">
        <v>59</v>
      </c>
      <c r="AS21" s="50"/>
      <c r="AT21" s="16">
        <v>20</v>
      </c>
      <c r="AU21" s="28">
        <v>103222</v>
      </c>
      <c r="AV21" s="17" t="s">
        <v>3148</v>
      </c>
      <c r="AW21" s="14" t="s">
        <v>59</v>
      </c>
      <c r="AX21" s="135"/>
      <c r="AY21" s="16">
        <v>20</v>
      </c>
      <c r="AZ21" s="28">
        <v>103321</v>
      </c>
      <c r="BA21" s="17" t="s">
        <v>3131</v>
      </c>
      <c r="BB21" s="14" t="s">
        <v>59</v>
      </c>
      <c r="BC21" s="50"/>
      <c r="BD21" s="16">
        <v>20</v>
      </c>
      <c r="BE21" s="28">
        <v>104121</v>
      </c>
      <c r="BF21" s="17" t="s">
        <v>3132</v>
      </c>
      <c r="BG21" s="14" t="s">
        <v>59</v>
      </c>
      <c r="BH21" s="50"/>
      <c r="BI21" s="16">
        <v>20</v>
      </c>
      <c r="BJ21" s="28">
        <v>104224</v>
      </c>
      <c r="BK21" s="17" t="s">
        <v>3183</v>
      </c>
      <c r="BL21" s="14" t="s">
        <v>59</v>
      </c>
      <c r="BM21" s="50"/>
      <c r="BN21" s="16">
        <v>20</v>
      </c>
      <c r="BO21" s="28">
        <v>105122</v>
      </c>
      <c r="BP21" s="17" t="s">
        <v>3152</v>
      </c>
      <c r="BQ21" s="14" t="s">
        <v>59</v>
      </c>
      <c r="BR21" s="50"/>
      <c r="BS21" s="16">
        <v>20</v>
      </c>
      <c r="BT21" s="28">
        <v>105221</v>
      </c>
      <c r="BU21" s="17" t="s">
        <v>3135</v>
      </c>
      <c r="BV21" s="14" t="s">
        <v>59</v>
      </c>
      <c r="BW21" s="135"/>
      <c r="BX21" s="16">
        <v>20</v>
      </c>
      <c r="BY21" s="28">
        <v>108120</v>
      </c>
      <c r="BZ21" s="17" t="s">
        <v>3118</v>
      </c>
      <c r="CA21" s="14" t="s">
        <v>59</v>
      </c>
      <c r="CB21" s="138"/>
      <c r="CC21" s="16">
        <v>20</v>
      </c>
      <c r="CD21" s="28">
        <v>108222</v>
      </c>
      <c r="CE21" s="17" t="s">
        <v>3155</v>
      </c>
      <c r="CF21" s="14" t="s">
        <v>60</v>
      </c>
      <c r="CG21" s="57"/>
      <c r="CH21" s="16"/>
      <c r="CI21" s="28"/>
      <c r="CJ21" s="17"/>
      <c r="CK21" s="14"/>
      <c r="CL21" s="7"/>
      <c r="CM21" s="16"/>
      <c r="CN21" s="28"/>
      <c r="CO21" s="17"/>
      <c r="CP21" s="14"/>
      <c r="CQ21" s="7"/>
      <c r="CR21" s="16">
        <v>20</v>
      </c>
      <c r="CS21" s="28">
        <v>107120</v>
      </c>
      <c r="CT21" s="17" t="s">
        <v>3120</v>
      </c>
      <c r="CU21" s="14" t="s">
        <v>59</v>
      </c>
      <c r="CV21" s="7"/>
    </row>
    <row r="22" spans="1:100" s="8" customFormat="1" ht="15" customHeight="1" thickTop="1">
      <c r="A22" s="4">
        <v>21</v>
      </c>
      <c r="B22" s="29">
        <v>101121</v>
      </c>
      <c r="C22" s="5" t="s">
        <v>3121</v>
      </c>
      <c r="D22" s="6" t="s">
        <v>59</v>
      </c>
      <c r="E22" s="138"/>
      <c r="F22" s="4">
        <v>21</v>
      </c>
      <c r="G22" s="29">
        <v>101224</v>
      </c>
      <c r="H22" s="5" t="s">
        <v>3173</v>
      </c>
      <c r="I22" s="6" t="s">
        <v>59</v>
      </c>
      <c r="J22" s="138"/>
      <c r="K22" s="4">
        <v>21</v>
      </c>
      <c r="L22" s="29">
        <v>101322</v>
      </c>
      <c r="M22" s="5" t="s">
        <v>3141</v>
      </c>
      <c r="N22" s="6" t="s">
        <v>59</v>
      </c>
      <c r="O22" s="138"/>
      <c r="P22" s="4">
        <v>21</v>
      </c>
      <c r="Q22" s="29">
        <v>101423</v>
      </c>
      <c r="R22" s="5" t="s">
        <v>3159</v>
      </c>
      <c r="S22" s="6" t="s">
        <v>59</v>
      </c>
      <c r="T22" s="138"/>
      <c r="U22" s="4">
        <v>21</v>
      </c>
      <c r="V22" s="29">
        <v>102124</v>
      </c>
      <c r="W22" s="5" t="s">
        <v>3193</v>
      </c>
      <c r="X22" s="6" t="s">
        <v>59</v>
      </c>
      <c r="Y22" s="138"/>
      <c r="Z22" s="4">
        <v>21</v>
      </c>
      <c r="AA22" s="29">
        <v>102223</v>
      </c>
      <c r="AB22" s="5" t="s">
        <v>3161</v>
      </c>
      <c r="AC22" s="6" t="s">
        <v>59</v>
      </c>
      <c r="AD22" s="138"/>
      <c r="AE22" s="4">
        <v>21</v>
      </c>
      <c r="AF22" s="29">
        <v>102322</v>
      </c>
      <c r="AG22" s="5" t="s">
        <v>3145</v>
      </c>
      <c r="AH22" s="6" t="s">
        <v>59</v>
      </c>
      <c r="AI22" s="135"/>
      <c r="AJ22" s="4">
        <v>21</v>
      </c>
      <c r="AK22" s="29">
        <v>102421</v>
      </c>
      <c r="AL22" s="5" t="s">
        <v>3128</v>
      </c>
      <c r="AM22" s="6" t="s">
        <v>59</v>
      </c>
      <c r="AN22" s="135"/>
      <c r="AO22" s="4">
        <v>21</v>
      </c>
      <c r="AP22" s="29">
        <v>103122</v>
      </c>
      <c r="AQ22" s="5" t="s">
        <v>3164</v>
      </c>
      <c r="AR22" s="6" t="s">
        <v>60</v>
      </c>
      <c r="AS22" s="135"/>
      <c r="AT22" s="4">
        <v>21</v>
      </c>
      <c r="AU22" s="29">
        <v>103223</v>
      </c>
      <c r="AV22" s="5" t="s">
        <v>3131</v>
      </c>
      <c r="AW22" s="6" t="s">
        <v>59</v>
      </c>
      <c r="AX22" s="135"/>
      <c r="AY22" s="4">
        <v>21</v>
      </c>
      <c r="AZ22" s="29">
        <v>103322</v>
      </c>
      <c r="BA22" s="5" t="s">
        <v>3149</v>
      </c>
      <c r="BB22" s="6" t="s">
        <v>59</v>
      </c>
      <c r="BC22" s="207"/>
      <c r="BD22" s="4">
        <v>21</v>
      </c>
      <c r="BE22" s="29">
        <v>104122</v>
      </c>
      <c r="BF22" s="5" t="s">
        <v>3150</v>
      </c>
      <c r="BG22" s="6" t="s">
        <v>59</v>
      </c>
      <c r="BH22" s="50"/>
      <c r="BI22" s="4">
        <v>21</v>
      </c>
      <c r="BJ22" s="29">
        <v>104225</v>
      </c>
      <c r="BK22" s="5" t="s">
        <v>3201</v>
      </c>
      <c r="BL22" s="6" t="s">
        <v>59</v>
      </c>
      <c r="BM22" s="50"/>
      <c r="BN22" s="4">
        <v>21</v>
      </c>
      <c r="BO22" s="29">
        <v>105123</v>
      </c>
      <c r="BP22" s="5" t="s">
        <v>3167</v>
      </c>
      <c r="BQ22" s="6" t="s">
        <v>59</v>
      </c>
      <c r="BR22" s="135"/>
      <c r="BS22" s="4">
        <v>21</v>
      </c>
      <c r="BT22" s="29">
        <v>105222</v>
      </c>
      <c r="BU22" s="5" t="s">
        <v>3153</v>
      </c>
      <c r="BV22" s="6" t="s">
        <v>59</v>
      </c>
      <c r="BW22" s="138"/>
      <c r="BX22" s="4">
        <v>21</v>
      </c>
      <c r="BY22" s="29">
        <v>108121</v>
      </c>
      <c r="BZ22" s="5" t="s">
        <v>3136</v>
      </c>
      <c r="CA22" s="6" t="s">
        <v>60</v>
      </c>
      <c r="CB22" s="138"/>
      <c r="CC22" s="4">
        <v>21</v>
      </c>
      <c r="CD22" s="29">
        <v>108223</v>
      </c>
      <c r="CE22" s="332" t="s">
        <v>3170</v>
      </c>
      <c r="CF22" s="6" t="s">
        <v>60</v>
      </c>
      <c r="CG22" s="139"/>
      <c r="CH22" s="4"/>
      <c r="CI22" s="29"/>
      <c r="CJ22" s="5"/>
      <c r="CK22" s="6"/>
      <c r="CL22" s="7"/>
      <c r="CM22" s="4"/>
      <c r="CN22" s="29"/>
      <c r="CO22" s="5"/>
      <c r="CP22" s="6"/>
      <c r="CQ22" s="7"/>
      <c r="CR22" s="4">
        <v>21</v>
      </c>
      <c r="CS22" s="29">
        <v>107121</v>
      </c>
      <c r="CT22" s="5" t="s">
        <v>3138</v>
      </c>
      <c r="CU22" s="6" t="s">
        <v>59</v>
      </c>
      <c r="CV22" s="7"/>
    </row>
    <row r="23" spans="1:100" s="8" customFormat="1" ht="15" customHeight="1">
      <c r="A23" s="9">
        <v>22</v>
      </c>
      <c r="B23" s="21">
        <v>101122</v>
      </c>
      <c r="C23" s="10" t="s">
        <v>3139</v>
      </c>
      <c r="D23" s="11" t="s">
        <v>59</v>
      </c>
      <c r="E23" s="138"/>
      <c r="F23" s="9">
        <v>22</v>
      </c>
      <c r="G23" s="21">
        <v>101225</v>
      </c>
      <c r="H23" s="10" t="s">
        <v>3190</v>
      </c>
      <c r="I23" s="11" t="s">
        <v>59</v>
      </c>
      <c r="J23" s="138"/>
      <c r="K23" s="9">
        <v>22</v>
      </c>
      <c r="L23" s="21">
        <v>101323</v>
      </c>
      <c r="M23" s="10" t="s">
        <v>3101</v>
      </c>
      <c r="N23" s="11" t="s">
        <v>59</v>
      </c>
      <c r="O23" s="138"/>
      <c r="P23" s="9">
        <v>22</v>
      </c>
      <c r="Q23" s="21">
        <v>101424</v>
      </c>
      <c r="R23" s="10" t="s">
        <v>3175</v>
      </c>
      <c r="S23" s="11" t="s">
        <v>59</v>
      </c>
      <c r="T23" s="138"/>
      <c r="U23" s="9">
        <v>22</v>
      </c>
      <c r="V23" s="21">
        <v>102125</v>
      </c>
      <c r="W23" s="10" t="s">
        <v>980</v>
      </c>
      <c r="X23" s="11" t="s">
        <v>59</v>
      </c>
      <c r="Y23" s="138"/>
      <c r="Z23" s="9">
        <v>22</v>
      </c>
      <c r="AA23" s="21">
        <v>102224</v>
      </c>
      <c r="AB23" s="10" t="s">
        <v>150</v>
      </c>
      <c r="AC23" s="11" t="s">
        <v>59</v>
      </c>
      <c r="AD23" s="15"/>
      <c r="AE23" s="9">
        <v>22</v>
      </c>
      <c r="AF23" s="21">
        <v>102323</v>
      </c>
      <c r="AG23" s="10" t="s">
        <v>3162</v>
      </c>
      <c r="AH23" s="11" t="s">
        <v>59</v>
      </c>
      <c r="AI23" s="202"/>
      <c r="AJ23" s="9">
        <v>22</v>
      </c>
      <c r="AK23" s="21">
        <v>102422</v>
      </c>
      <c r="AL23" s="10" t="s">
        <v>3146</v>
      </c>
      <c r="AM23" s="11" t="s">
        <v>59</v>
      </c>
      <c r="AN23" s="135"/>
      <c r="AO23" s="9">
        <v>22</v>
      </c>
      <c r="AP23" s="21">
        <v>103123</v>
      </c>
      <c r="AQ23" s="10" t="s">
        <v>3179</v>
      </c>
      <c r="AR23" s="11" t="s">
        <v>59</v>
      </c>
      <c r="AS23" s="135"/>
      <c r="AT23" s="9">
        <v>22</v>
      </c>
      <c r="AU23" s="21">
        <v>103224</v>
      </c>
      <c r="AV23" s="10" t="s">
        <v>3180</v>
      </c>
      <c r="AW23" s="11" t="s">
        <v>59</v>
      </c>
      <c r="AX23" s="135"/>
      <c r="AY23" s="9">
        <v>22</v>
      </c>
      <c r="AZ23" s="21">
        <v>103323</v>
      </c>
      <c r="BA23" s="10" t="s">
        <v>119</v>
      </c>
      <c r="BB23" s="11" t="s">
        <v>59</v>
      </c>
      <c r="BC23" s="50"/>
      <c r="BD23" s="9">
        <v>22</v>
      </c>
      <c r="BE23" s="21">
        <v>104124</v>
      </c>
      <c r="BF23" s="10" t="s">
        <v>3182</v>
      </c>
      <c r="BG23" s="11" t="s">
        <v>60</v>
      </c>
      <c r="BH23" s="50"/>
      <c r="BI23" s="9">
        <v>22</v>
      </c>
      <c r="BJ23" s="21">
        <v>104226</v>
      </c>
      <c r="BK23" s="10" t="s">
        <v>3215</v>
      </c>
      <c r="BL23" s="11" t="s">
        <v>59</v>
      </c>
      <c r="BM23" s="50"/>
      <c r="BN23" s="9">
        <v>22</v>
      </c>
      <c r="BO23" s="21">
        <v>105124</v>
      </c>
      <c r="BP23" s="10" t="s">
        <v>3184</v>
      </c>
      <c r="BQ23" s="11" t="s">
        <v>59</v>
      </c>
      <c r="BR23" s="135"/>
      <c r="BS23" s="9">
        <v>22</v>
      </c>
      <c r="BT23" s="21">
        <v>105223</v>
      </c>
      <c r="BU23" s="10" t="s">
        <v>3168</v>
      </c>
      <c r="BV23" s="11" t="s">
        <v>59</v>
      </c>
      <c r="BW23" s="202"/>
      <c r="BX23" s="9">
        <v>22</v>
      </c>
      <c r="BY23" s="21">
        <v>108122</v>
      </c>
      <c r="BZ23" s="10" t="s">
        <v>3154</v>
      </c>
      <c r="CA23" s="11" t="s">
        <v>59</v>
      </c>
      <c r="CB23" s="138"/>
      <c r="CC23" s="9">
        <v>22</v>
      </c>
      <c r="CD23" s="21">
        <v>108224</v>
      </c>
      <c r="CE23" s="10" t="s">
        <v>3187</v>
      </c>
      <c r="CF23" s="11" t="s">
        <v>60</v>
      </c>
      <c r="CG23" s="135"/>
      <c r="CH23" s="9"/>
      <c r="CI23" s="21"/>
      <c r="CJ23" s="10"/>
      <c r="CK23" s="11"/>
      <c r="CL23" s="7"/>
      <c r="CM23" s="9"/>
      <c r="CN23" s="21"/>
      <c r="CO23" s="10"/>
      <c r="CP23" s="11"/>
      <c r="CQ23" s="7"/>
      <c r="CR23" s="9">
        <v>22</v>
      </c>
      <c r="CS23" s="21">
        <v>107122</v>
      </c>
      <c r="CT23" s="10" t="s">
        <v>3156</v>
      </c>
      <c r="CU23" s="11" t="s">
        <v>60</v>
      </c>
      <c r="CV23" s="7"/>
    </row>
    <row r="24" spans="1:100" s="8" customFormat="1" ht="15" customHeight="1">
      <c r="A24" s="9">
        <v>23</v>
      </c>
      <c r="B24" s="26">
        <v>101123</v>
      </c>
      <c r="C24" s="10" t="s">
        <v>3157</v>
      </c>
      <c r="D24" s="11" t="s">
        <v>59</v>
      </c>
      <c r="E24" s="138"/>
      <c r="F24" s="9">
        <v>23</v>
      </c>
      <c r="G24" s="26">
        <v>101226</v>
      </c>
      <c r="H24" s="10" t="s">
        <v>3206</v>
      </c>
      <c r="I24" s="11" t="s">
        <v>59</v>
      </c>
      <c r="J24" s="138"/>
      <c r="K24" s="9">
        <v>23</v>
      </c>
      <c r="L24" s="26">
        <v>101324</v>
      </c>
      <c r="M24" s="10" t="s">
        <v>3174</v>
      </c>
      <c r="N24" s="11" t="s">
        <v>59</v>
      </c>
      <c r="O24" s="138"/>
      <c r="P24" s="9">
        <v>23</v>
      </c>
      <c r="Q24" s="26">
        <v>101426</v>
      </c>
      <c r="R24" s="10" t="s">
        <v>3208</v>
      </c>
      <c r="S24" s="11" t="s">
        <v>59</v>
      </c>
      <c r="T24" s="138"/>
      <c r="U24" s="9">
        <v>23</v>
      </c>
      <c r="V24" s="26">
        <v>102126</v>
      </c>
      <c r="W24" s="10" t="s">
        <v>3224</v>
      </c>
      <c r="X24" s="11" t="s">
        <v>60</v>
      </c>
      <c r="Y24" s="138"/>
      <c r="Z24" s="9">
        <v>23</v>
      </c>
      <c r="AA24" s="26">
        <v>102225</v>
      </c>
      <c r="AB24" s="10" t="s">
        <v>3194</v>
      </c>
      <c r="AC24" s="11" t="s">
        <v>59</v>
      </c>
      <c r="AD24" s="140"/>
      <c r="AE24" s="9">
        <v>23</v>
      </c>
      <c r="AF24" s="26">
        <v>102324</v>
      </c>
      <c r="AG24" s="10" t="s">
        <v>3177</v>
      </c>
      <c r="AH24" s="11" t="s">
        <v>59</v>
      </c>
      <c r="AI24" s="135"/>
      <c r="AJ24" s="9">
        <v>23</v>
      </c>
      <c r="AK24" s="26">
        <v>102423</v>
      </c>
      <c r="AL24" s="10" t="s">
        <v>3163</v>
      </c>
      <c r="AM24" s="11" t="s">
        <v>59</v>
      </c>
      <c r="AN24" s="135"/>
      <c r="AO24" s="9">
        <v>23</v>
      </c>
      <c r="AP24" s="26">
        <v>103124</v>
      </c>
      <c r="AQ24" s="10" t="s">
        <v>3197</v>
      </c>
      <c r="AR24" s="11" t="s">
        <v>59</v>
      </c>
      <c r="AS24" s="135"/>
      <c r="AT24" s="9">
        <v>23</v>
      </c>
      <c r="AU24" s="26">
        <v>103225</v>
      </c>
      <c r="AV24" s="10" t="s">
        <v>3198</v>
      </c>
      <c r="AW24" s="11" t="s">
        <v>59</v>
      </c>
      <c r="AX24" s="202"/>
      <c r="AY24" s="9">
        <v>23</v>
      </c>
      <c r="AZ24" s="26">
        <v>103324</v>
      </c>
      <c r="BA24" s="10" t="s">
        <v>3181</v>
      </c>
      <c r="BB24" s="11" t="s">
        <v>59</v>
      </c>
      <c r="BC24" s="50"/>
      <c r="BD24" s="9">
        <v>23</v>
      </c>
      <c r="BE24" s="26">
        <v>104125</v>
      </c>
      <c r="BF24" s="10" t="s">
        <v>3200</v>
      </c>
      <c r="BG24" s="11" t="s">
        <v>59</v>
      </c>
      <c r="BH24" s="50"/>
      <c r="BI24" s="9">
        <v>23</v>
      </c>
      <c r="BJ24" s="26">
        <v>104227</v>
      </c>
      <c r="BK24" s="10" t="s">
        <v>3232</v>
      </c>
      <c r="BL24" s="11" t="s">
        <v>59</v>
      </c>
      <c r="BM24" s="50"/>
      <c r="BN24" s="9">
        <v>23</v>
      </c>
      <c r="BO24" s="26">
        <v>105126</v>
      </c>
      <c r="BP24" s="10" t="s">
        <v>3216</v>
      </c>
      <c r="BQ24" s="11" t="s">
        <v>60</v>
      </c>
      <c r="BR24" s="138"/>
      <c r="BS24" s="9">
        <v>23</v>
      </c>
      <c r="BT24" s="26">
        <v>105224</v>
      </c>
      <c r="BU24" s="10" t="s">
        <v>3185</v>
      </c>
      <c r="BV24" s="11" t="s">
        <v>59</v>
      </c>
      <c r="BW24" s="135"/>
      <c r="BX24" s="9">
        <v>23</v>
      </c>
      <c r="BY24" s="26">
        <v>108123</v>
      </c>
      <c r="BZ24" s="10" t="s">
        <v>3169</v>
      </c>
      <c r="CA24" s="11" t="s">
        <v>59</v>
      </c>
      <c r="CB24" s="135"/>
      <c r="CC24" s="9">
        <v>23</v>
      </c>
      <c r="CD24" s="26">
        <v>108225</v>
      </c>
      <c r="CE24" s="10" t="s">
        <v>3204</v>
      </c>
      <c r="CF24" s="11" t="s">
        <v>59</v>
      </c>
      <c r="CG24" s="135"/>
      <c r="CH24" s="9"/>
      <c r="CI24" s="26"/>
      <c r="CJ24" s="10"/>
      <c r="CK24" s="11"/>
      <c r="CL24" s="7"/>
      <c r="CM24" s="9"/>
      <c r="CN24" s="26"/>
      <c r="CO24" s="10"/>
      <c r="CP24" s="11"/>
      <c r="CQ24" s="7"/>
      <c r="CR24" s="9">
        <v>23</v>
      </c>
      <c r="CS24" s="26">
        <v>107123</v>
      </c>
      <c r="CT24" s="10" t="s">
        <v>3171</v>
      </c>
      <c r="CU24" s="11" t="s">
        <v>59</v>
      </c>
      <c r="CV24" s="7"/>
    </row>
    <row r="25" spans="1:100" s="8" customFormat="1" ht="15" customHeight="1">
      <c r="A25" s="9">
        <v>24</v>
      </c>
      <c r="B25" s="26">
        <v>101124</v>
      </c>
      <c r="C25" s="10" t="s">
        <v>3172</v>
      </c>
      <c r="D25" s="11" t="s">
        <v>59</v>
      </c>
      <c r="E25" s="138"/>
      <c r="F25" s="9">
        <v>24</v>
      </c>
      <c r="G25" s="26">
        <v>101227</v>
      </c>
      <c r="H25" s="10" t="s">
        <v>3221</v>
      </c>
      <c r="I25" s="11" t="s">
        <v>60</v>
      </c>
      <c r="J25" s="138"/>
      <c r="K25" s="9">
        <v>24</v>
      </c>
      <c r="L25" s="26">
        <v>101325</v>
      </c>
      <c r="M25" s="10" t="s">
        <v>3191</v>
      </c>
      <c r="N25" s="11" t="s">
        <v>59</v>
      </c>
      <c r="O25" s="138"/>
      <c r="P25" s="9">
        <v>24</v>
      </c>
      <c r="Q25" s="26">
        <v>101427</v>
      </c>
      <c r="R25" s="10" t="s">
        <v>3223</v>
      </c>
      <c r="S25" s="11" t="s">
        <v>59</v>
      </c>
      <c r="T25" s="138"/>
      <c r="U25" s="9">
        <v>24</v>
      </c>
      <c r="V25" s="26">
        <v>102127</v>
      </c>
      <c r="W25" s="10" t="s">
        <v>3241</v>
      </c>
      <c r="X25" s="11" t="s">
        <v>59</v>
      </c>
      <c r="Y25" s="138"/>
      <c r="Z25" s="9">
        <v>24</v>
      </c>
      <c r="AA25" s="26">
        <v>102226</v>
      </c>
      <c r="AB25" s="10" t="s">
        <v>610</v>
      </c>
      <c r="AC25" s="11" t="s">
        <v>59</v>
      </c>
      <c r="AD25" s="138"/>
      <c r="AE25" s="9">
        <v>24</v>
      </c>
      <c r="AF25" s="26">
        <v>102325</v>
      </c>
      <c r="AG25" s="10" t="s">
        <v>3195</v>
      </c>
      <c r="AH25" s="11" t="s">
        <v>59</v>
      </c>
      <c r="AI25" s="135"/>
      <c r="AJ25" s="9">
        <v>24</v>
      </c>
      <c r="AK25" s="26">
        <v>102424</v>
      </c>
      <c r="AL25" s="10" t="s">
        <v>3178</v>
      </c>
      <c r="AM25" s="11" t="s">
        <v>59</v>
      </c>
      <c r="AN25" s="135"/>
      <c r="AO25" s="9">
        <v>24</v>
      </c>
      <c r="AP25" s="26">
        <v>103125</v>
      </c>
      <c r="AQ25" s="10" t="s">
        <v>3211</v>
      </c>
      <c r="AR25" s="11" t="s">
        <v>59</v>
      </c>
      <c r="AS25" s="135"/>
      <c r="AT25" s="9">
        <v>24</v>
      </c>
      <c r="AU25" s="26">
        <v>103226</v>
      </c>
      <c r="AV25" s="10" t="s">
        <v>3212</v>
      </c>
      <c r="AW25" s="11" t="s">
        <v>59</v>
      </c>
      <c r="AX25" s="135"/>
      <c r="AY25" s="9">
        <v>24</v>
      </c>
      <c r="AZ25" s="26">
        <v>103325</v>
      </c>
      <c r="BA25" s="10" t="s">
        <v>3199</v>
      </c>
      <c r="BB25" s="11" t="s">
        <v>59</v>
      </c>
      <c r="BC25" s="50"/>
      <c r="BD25" s="9">
        <v>24</v>
      </c>
      <c r="BE25" s="26">
        <v>104126</v>
      </c>
      <c r="BF25" s="10" t="s">
        <v>3214</v>
      </c>
      <c r="BG25" s="11" t="s">
        <v>60</v>
      </c>
      <c r="BH25" s="50"/>
      <c r="BI25" s="9">
        <v>24</v>
      </c>
      <c r="BJ25" s="26">
        <v>104229</v>
      </c>
      <c r="BK25" s="10" t="s">
        <v>3266</v>
      </c>
      <c r="BL25" s="11" t="s">
        <v>59</v>
      </c>
      <c r="BM25" s="50"/>
      <c r="BN25" s="9">
        <v>24</v>
      </c>
      <c r="BO25" s="26">
        <v>105127</v>
      </c>
      <c r="BP25" s="10" t="s">
        <v>3233</v>
      </c>
      <c r="BQ25" s="11" t="s">
        <v>59</v>
      </c>
      <c r="BR25" s="138"/>
      <c r="BS25" s="9">
        <v>24</v>
      </c>
      <c r="BT25" s="26">
        <v>105225</v>
      </c>
      <c r="BU25" s="10" t="s">
        <v>3202</v>
      </c>
      <c r="BV25" s="11" t="s">
        <v>59</v>
      </c>
      <c r="BW25" s="135"/>
      <c r="BX25" s="9">
        <v>24</v>
      </c>
      <c r="BY25" s="26">
        <v>108124</v>
      </c>
      <c r="BZ25" s="10" t="s">
        <v>3186</v>
      </c>
      <c r="CA25" s="11" t="s">
        <v>59</v>
      </c>
      <c r="CB25" s="138"/>
      <c r="CC25" s="9">
        <v>24</v>
      </c>
      <c r="CD25" s="26">
        <v>108226</v>
      </c>
      <c r="CE25" s="10" t="s">
        <v>3219</v>
      </c>
      <c r="CF25" s="11" t="s">
        <v>59</v>
      </c>
      <c r="CG25" s="135"/>
      <c r="CH25" s="9"/>
      <c r="CI25" s="26"/>
      <c r="CJ25" s="10"/>
      <c r="CK25" s="11"/>
      <c r="CL25" s="7"/>
      <c r="CM25" s="9"/>
      <c r="CN25" s="26"/>
      <c r="CO25" s="10"/>
      <c r="CP25" s="11"/>
      <c r="CQ25" s="7"/>
      <c r="CR25" s="9">
        <v>24</v>
      </c>
      <c r="CS25" s="26">
        <v>107124</v>
      </c>
      <c r="CT25" s="10" t="s">
        <v>3188</v>
      </c>
      <c r="CU25" s="11" t="s">
        <v>59</v>
      </c>
      <c r="CV25" s="7"/>
    </row>
    <row r="26" spans="1:100" s="8" customFormat="1" ht="15" customHeight="1" thickBot="1">
      <c r="A26" s="16">
        <v>25</v>
      </c>
      <c r="B26" s="28">
        <v>101125</v>
      </c>
      <c r="C26" s="17" t="s">
        <v>3189</v>
      </c>
      <c r="D26" s="14" t="s">
        <v>59</v>
      </c>
      <c r="E26" s="138"/>
      <c r="F26" s="16">
        <v>25</v>
      </c>
      <c r="G26" s="28">
        <v>101228</v>
      </c>
      <c r="H26" s="17" t="s">
        <v>3238</v>
      </c>
      <c r="I26" s="14" t="s">
        <v>59</v>
      </c>
      <c r="J26" s="138"/>
      <c r="K26" s="16">
        <v>25</v>
      </c>
      <c r="L26" s="28">
        <v>101326</v>
      </c>
      <c r="M26" s="17" t="s">
        <v>3207</v>
      </c>
      <c r="N26" s="14" t="s">
        <v>59</v>
      </c>
      <c r="O26" s="138"/>
      <c r="P26" s="16">
        <v>25</v>
      </c>
      <c r="Q26" s="28">
        <v>101428</v>
      </c>
      <c r="R26" s="17" t="s">
        <v>3240</v>
      </c>
      <c r="S26" s="14" t="s">
        <v>60</v>
      </c>
      <c r="T26" s="138"/>
      <c r="U26" s="16">
        <v>25</v>
      </c>
      <c r="V26" s="28">
        <v>102128</v>
      </c>
      <c r="W26" s="17" t="s">
        <v>3258</v>
      </c>
      <c r="X26" s="14" t="s">
        <v>59</v>
      </c>
      <c r="Y26" s="138"/>
      <c r="Z26" s="16">
        <v>25</v>
      </c>
      <c r="AA26" s="28">
        <v>102227</v>
      </c>
      <c r="AB26" s="17" t="s">
        <v>3225</v>
      </c>
      <c r="AC26" s="14" t="s">
        <v>59</v>
      </c>
      <c r="AD26" s="138"/>
      <c r="AE26" s="16">
        <v>25</v>
      </c>
      <c r="AF26" s="28">
        <v>102326</v>
      </c>
      <c r="AG26" s="17" t="s">
        <v>3209</v>
      </c>
      <c r="AH26" s="14" t="s">
        <v>59</v>
      </c>
      <c r="AI26" s="50"/>
      <c r="AJ26" s="16">
        <v>25</v>
      </c>
      <c r="AK26" s="28">
        <v>102425</v>
      </c>
      <c r="AL26" s="17" t="s">
        <v>3196</v>
      </c>
      <c r="AM26" s="14" t="s">
        <v>59</v>
      </c>
      <c r="AN26" s="135"/>
      <c r="AO26" s="16">
        <v>25</v>
      </c>
      <c r="AP26" s="28">
        <v>103126</v>
      </c>
      <c r="AQ26" s="17" t="s">
        <v>3228</v>
      </c>
      <c r="AR26" s="14" t="s">
        <v>60</v>
      </c>
      <c r="AS26" s="135"/>
      <c r="AT26" s="16">
        <v>25</v>
      </c>
      <c r="AU26" s="28">
        <v>103227</v>
      </c>
      <c r="AV26" s="17" t="s">
        <v>3229</v>
      </c>
      <c r="AW26" s="14" t="s">
        <v>59</v>
      </c>
      <c r="AX26" s="135"/>
      <c r="AY26" s="16">
        <v>25</v>
      </c>
      <c r="AZ26" s="28">
        <v>103326</v>
      </c>
      <c r="BA26" s="17" t="s">
        <v>3213</v>
      </c>
      <c r="BB26" s="14" t="s">
        <v>59</v>
      </c>
      <c r="BC26" s="50"/>
      <c r="BD26" s="16">
        <v>25</v>
      </c>
      <c r="BE26" s="28">
        <v>104127</v>
      </c>
      <c r="BF26" s="17" t="s">
        <v>3231</v>
      </c>
      <c r="BG26" s="14" t="s">
        <v>59</v>
      </c>
      <c r="BH26" s="50"/>
      <c r="BI26" s="16">
        <v>25</v>
      </c>
      <c r="BJ26" s="28">
        <v>104230</v>
      </c>
      <c r="BK26" s="17" t="s">
        <v>3283</v>
      </c>
      <c r="BL26" s="14" t="s">
        <v>59</v>
      </c>
      <c r="BM26" s="50"/>
      <c r="BN26" s="16">
        <v>25</v>
      </c>
      <c r="BO26" s="28">
        <v>105128</v>
      </c>
      <c r="BP26" s="17" t="s">
        <v>3250</v>
      </c>
      <c r="BQ26" s="14" t="s">
        <v>59</v>
      </c>
      <c r="BR26" s="57"/>
      <c r="BS26" s="16">
        <v>25</v>
      </c>
      <c r="BT26" s="28">
        <v>105226</v>
      </c>
      <c r="BU26" s="17" t="s">
        <v>3217</v>
      </c>
      <c r="BV26" s="14" t="s">
        <v>59</v>
      </c>
      <c r="BW26" s="138"/>
      <c r="BX26" s="16">
        <v>25</v>
      </c>
      <c r="BY26" s="28">
        <v>108125</v>
      </c>
      <c r="BZ26" s="17" t="s">
        <v>3203</v>
      </c>
      <c r="CA26" s="14" t="s">
        <v>60</v>
      </c>
      <c r="CB26" s="135"/>
      <c r="CC26" s="16">
        <v>25</v>
      </c>
      <c r="CD26" s="28">
        <v>108227</v>
      </c>
      <c r="CE26" s="17" t="s">
        <v>3236</v>
      </c>
      <c r="CF26" s="14" t="s">
        <v>60</v>
      </c>
      <c r="CG26" s="135"/>
      <c r="CH26" s="16"/>
      <c r="CI26" s="28"/>
      <c r="CJ26" s="17"/>
      <c r="CK26" s="14"/>
      <c r="CL26" s="7"/>
      <c r="CM26" s="16"/>
      <c r="CN26" s="28"/>
      <c r="CO26" s="17"/>
      <c r="CP26" s="14"/>
      <c r="CQ26" s="7"/>
      <c r="CR26" s="16"/>
      <c r="CS26" s="28"/>
      <c r="CT26" s="17"/>
      <c r="CU26" s="14"/>
      <c r="CV26" s="7"/>
    </row>
    <row r="27" spans="1:100" s="8" customFormat="1" ht="15" customHeight="1" thickTop="1">
      <c r="A27" s="4">
        <v>26</v>
      </c>
      <c r="B27" s="29">
        <v>101126</v>
      </c>
      <c r="C27" s="5" t="s">
        <v>3205</v>
      </c>
      <c r="D27" s="6" t="s">
        <v>60</v>
      </c>
      <c r="E27" s="138"/>
      <c r="F27" s="4">
        <v>26</v>
      </c>
      <c r="G27" s="29">
        <v>101229</v>
      </c>
      <c r="H27" s="5" t="s">
        <v>3255</v>
      </c>
      <c r="I27" s="6" t="s">
        <v>59</v>
      </c>
      <c r="J27" s="138"/>
      <c r="K27" s="4">
        <v>26</v>
      </c>
      <c r="L27" s="29">
        <v>101327</v>
      </c>
      <c r="M27" s="5" t="s">
        <v>3222</v>
      </c>
      <c r="N27" s="6" t="s">
        <v>59</v>
      </c>
      <c r="O27" s="138"/>
      <c r="P27" s="4">
        <v>26</v>
      </c>
      <c r="Q27" s="29">
        <v>101429</v>
      </c>
      <c r="R27" s="5" t="s">
        <v>3257</v>
      </c>
      <c r="S27" s="6" t="s">
        <v>59</v>
      </c>
      <c r="T27" s="138"/>
      <c r="U27" s="4">
        <v>26</v>
      </c>
      <c r="V27" s="29">
        <v>102129</v>
      </c>
      <c r="W27" s="5" t="s">
        <v>3275</v>
      </c>
      <c r="X27" s="6" t="s">
        <v>59</v>
      </c>
      <c r="Y27" s="138"/>
      <c r="Z27" s="4">
        <v>26</v>
      </c>
      <c r="AA27" s="29">
        <v>102228</v>
      </c>
      <c r="AB27" s="5" t="s">
        <v>3242</v>
      </c>
      <c r="AC27" s="6" t="s">
        <v>59</v>
      </c>
      <c r="AD27" s="138"/>
      <c r="AE27" s="4">
        <v>26</v>
      </c>
      <c r="AF27" s="29">
        <v>102327</v>
      </c>
      <c r="AG27" s="5" t="s">
        <v>3226</v>
      </c>
      <c r="AH27" s="6" t="s">
        <v>59</v>
      </c>
      <c r="AI27" s="135"/>
      <c r="AJ27" s="4">
        <v>26</v>
      </c>
      <c r="AK27" s="29">
        <v>102426</v>
      </c>
      <c r="AL27" s="5" t="s">
        <v>3210</v>
      </c>
      <c r="AM27" s="6" t="s">
        <v>59</v>
      </c>
      <c r="AN27" s="135"/>
      <c r="AO27" s="4">
        <v>26</v>
      </c>
      <c r="AP27" s="29">
        <v>103127</v>
      </c>
      <c r="AQ27" s="5" t="s">
        <v>3245</v>
      </c>
      <c r="AR27" s="6" t="s">
        <v>59</v>
      </c>
      <c r="AS27" s="50"/>
      <c r="AT27" s="4">
        <v>26</v>
      </c>
      <c r="AU27" s="29">
        <v>103228</v>
      </c>
      <c r="AV27" s="5" t="s">
        <v>3246</v>
      </c>
      <c r="AW27" s="6" t="s">
        <v>60</v>
      </c>
      <c r="AX27" s="135"/>
      <c r="AY27" s="4">
        <v>26</v>
      </c>
      <c r="AZ27" s="29">
        <v>103327</v>
      </c>
      <c r="BA27" s="5" t="s">
        <v>3230</v>
      </c>
      <c r="BB27" s="6" t="s">
        <v>60</v>
      </c>
      <c r="BC27" s="50"/>
      <c r="BD27" s="4">
        <v>26</v>
      </c>
      <c r="BE27" s="29">
        <v>104128</v>
      </c>
      <c r="BF27" s="337" t="s">
        <v>3248</v>
      </c>
      <c r="BG27" s="6" t="s">
        <v>59</v>
      </c>
      <c r="BH27" s="135"/>
      <c r="BI27" s="4">
        <v>26</v>
      </c>
      <c r="BJ27" s="29">
        <v>104231</v>
      </c>
      <c r="BK27" s="5" t="s">
        <v>3300</v>
      </c>
      <c r="BL27" s="6" t="s">
        <v>59</v>
      </c>
      <c r="BM27" s="50"/>
      <c r="BN27" s="4">
        <v>26</v>
      </c>
      <c r="BO27" s="29">
        <v>105129</v>
      </c>
      <c r="BP27" s="5" t="s">
        <v>3267</v>
      </c>
      <c r="BQ27" s="6" t="s">
        <v>59</v>
      </c>
      <c r="BR27" s="135"/>
      <c r="BS27" s="4">
        <v>26</v>
      </c>
      <c r="BT27" s="29">
        <v>105227</v>
      </c>
      <c r="BU27" s="5" t="s">
        <v>3234</v>
      </c>
      <c r="BV27" s="6" t="s">
        <v>59</v>
      </c>
      <c r="BW27" s="138"/>
      <c r="BX27" s="4">
        <v>26</v>
      </c>
      <c r="BY27" s="29">
        <v>108126</v>
      </c>
      <c r="BZ27" s="5" t="s">
        <v>3218</v>
      </c>
      <c r="CA27" s="6" t="s">
        <v>60</v>
      </c>
      <c r="CB27" s="135"/>
      <c r="CC27" s="4">
        <v>26</v>
      </c>
      <c r="CD27" s="29">
        <v>108228</v>
      </c>
      <c r="CE27" s="5" t="s">
        <v>3253</v>
      </c>
      <c r="CF27" s="6" t="s">
        <v>59</v>
      </c>
      <c r="CG27" s="135"/>
      <c r="CH27" s="4"/>
      <c r="CI27" s="29"/>
      <c r="CJ27" s="5"/>
      <c r="CK27" s="6"/>
      <c r="CL27" s="7"/>
      <c r="CM27" s="4"/>
      <c r="CN27" s="29"/>
      <c r="CO27" s="5"/>
      <c r="CP27" s="6"/>
      <c r="CQ27" s="7"/>
      <c r="CR27" s="4"/>
      <c r="CS27" s="29"/>
      <c r="CT27" s="5"/>
      <c r="CU27" s="6"/>
      <c r="CV27" s="136"/>
    </row>
    <row r="28" spans="1:100" s="8" customFormat="1" ht="15" customHeight="1">
      <c r="A28" s="9">
        <v>27</v>
      </c>
      <c r="B28" s="21">
        <v>101127</v>
      </c>
      <c r="C28" s="10" t="s">
        <v>3220</v>
      </c>
      <c r="D28" s="11" t="s">
        <v>60</v>
      </c>
      <c r="E28" s="138"/>
      <c r="F28" s="9">
        <v>27</v>
      </c>
      <c r="G28" s="21">
        <v>101230</v>
      </c>
      <c r="H28" s="10" t="s">
        <v>3272</v>
      </c>
      <c r="I28" s="11" t="s">
        <v>59</v>
      </c>
      <c r="J28" s="138"/>
      <c r="K28" s="9">
        <v>27</v>
      </c>
      <c r="L28" s="21">
        <v>101328</v>
      </c>
      <c r="M28" s="10" t="s">
        <v>3239</v>
      </c>
      <c r="N28" s="11" t="s">
        <v>59</v>
      </c>
      <c r="O28" s="138"/>
      <c r="P28" s="9">
        <v>27</v>
      </c>
      <c r="Q28" s="21">
        <v>101430</v>
      </c>
      <c r="R28" s="10" t="s">
        <v>3274</v>
      </c>
      <c r="S28" s="11" t="s">
        <v>59</v>
      </c>
      <c r="T28" s="138"/>
      <c r="U28" s="9">
        <v>27</v>
      </c>
      <c r="V28" s="21">
        <v>102130</v>
      </c>
      <c r="W28" s="10" t="s">
        <v>3292</v>
      </c>
      <c r="X28" s="11" t="s">
        <v>59</v>
      </c>
      <c r="Y28" s="138"/>
      <c r="Z28" s="9">
        <v>27</v>
      </c>
      <c r="AA28" s="21">
        <v>102231</v>
      </c>
      <c r="AB28" s="10" t="s">
        <v>3293</v>
      </c>
      <c r="AC28" s="11" t="s">
        <v>59</v>
      </c>
      <c r="AD28" s="15"/>
      <c r="AE28" s="9">
        <v>27</v>
      </c>
      <c r="AF28" s="21">
        <v>102328</v>
      </c>
      <c r="AG28" s="10" t="s">
        <v>3243</v>
      </c>
      <c r="AH28" s="11" t="s">
        <v>59</v>
      </c>
      <c r="AI28" s="135"/>
      <c r="AJ28" s="9">
        <v>27</v>
      </c>
      <c r="AK28" s="21">
        <v>102427</v>
      </c>
      <c r="AL28" s="10" t="s">
        <v>3227</v>
      </c>
      <c r="AM28" s="11" t="s">
        <v>59</v>
      </c>
      <c r="AN28" s="135"/>
      <c r="AO28" s="9">
        <v>27</v>
      </c>
      <c r="AP28" s="21">
        <v>103128</v>
      </c>
      <c r="AQ28" s="10" t="s">
        <v>3262</v>
      </c>
      <c r="AR28" s="11" t="s">
        <v>59</v>
      </c>
      <c r="AS28" s="135"/>
      <c r="AT28" s="9">
        <v>27</v>
      </c>
      <c r="AU28" s="21">
        <v>103229</v>
      </c>
      <c r="AV28" s="10" t="s">
        <v>3263</v>
      </c>
      <c r="AW28" s="11" t="s">
        <v>60</v>
      </c>
      <c r="AX28" s="135"/>
      <c r="AY28" s="9">
        <v>27</v>
      </c>
      <c r="AZ28" s="21">
        <v>103328</v>
      </c>
      <c r="BA28" s="10" t="s">
        <v>3247</v>
      </c>
      <c r="BB28" s="11" t="s">
        <v>59</v>
      </c>
      <c r="BC28" s="50"/>
      <c r="BD28" s="9">
        <v>27</v>
      </c>
      <c r="BE28" s="21">
        <v>104130</v>
      </c>
      <c r="BF28" s="10" t="s">
        <v>3282</v>
      </c>
      <c r="BG28" s="11" t="s">
        <v>59</v>
      </c>
      <c r="BH28" s="207"/>
      <c r="BI28" s="9">
        <v>27</v>
      </c>
      <c r="BJ28" s="21">
        <v>104232</v>
      </c>
      <c r="BK28" s="10" t="s">
        <v>3316</v>
      </c>
      <c r="BL28" s="11" t="s">
        <v>59</v>
      </c>
      <c r="BM28" s="50"/>
      <c r="BN28" s="9">
        <v>27</v>
      </c>
      <c r="BO28" s="21">
        <v>105131</v>
      </c>
      <c r="BP28" s="10" t="s">
        <v>3301</v>
      </c>
      <c r="BQ28" s="11" t="s">
        <v>59</v>
      </c>
      <c r="BR28" s="138"/>
      <c r="BS28" s="9">
        <v>27</v>
      </c>
      <c r="BT28" s="21">
        <v>105228</v>
      </c>
      <c r="BU28" s="10" t="s">
        <v>3251</v>
      </c>
      <c r="BV28" s="11" t="s">
        <v>59</v>
      </c>
      <c r="BW28" s="135"/>
      <c r="BX28" s="9">
        <v>27</v>
      </c>
      <c r="BY28" s="21">
        <v>108127</v>
      </c>
      <c r="BZ28" s="10" t="s">
        <v>3235</v>
      </c>
      <c r="CA28" s="11" t="s">
        <v>60</v>
      </c>
      <c r="CB28" s="135"/>
      <c r="CC28" s="9">
        <v>27</v>
      </c>
      <c r="CD28" s="21">
        <v>108229</v>
      </c>
      <c r="CE28" s="10" t="s">
        <v>3270</v>
      </c>
      <c r="CF28" s="11" t="s">
        <v>59</v>
      </c>
      <c r="CG28" s="135"/>
      <c r="CH28" s="9"/>
      <c r="CI28" s="21"/>
      <c r="CJ28" s="10"/>
      <c r="CK28" s="11"/>
      <c r="CL28" s="7"/>
      <c r="CM28" s="9"/>
      <c r="CN28" s="21"/>
      <c r="CO28" s="10"/>
      <c r="CP28" s="11"/>
      <c r="CQ28" s="7"/>
      <c r="CR28" s="9"/>
      <c r="CS28" s="21"/>
      <c r="CT28" s="10"/>
      <c r="CU28" s="11"/>
      <c r="CV28" s="136"/>
    </row>
    <row r="29" spans="1:100" s="8" customFormat="1" ht="15" customHeight="1">
      <c r="A29" s="9">
        <v>28</v>
      </c>
      <c r="B29" s="26">
        <v>101128</v>
      </c>
      <c r="C29" s="10" t="s">
        <v>3237</v>
      </c>
      <c r="D29" s="11" t="s">
        <v>59</v>
      </c>
      <c r="E29" s="138"/>
      <c r="F29" s="9">
        <v>28</v>
      </c>
      <c r="G29" s="26">
        <v>101232</v>
      </c>
      <c r="H29" s="10" t="s">
        <v>3305</v>
      </c>
      <c r="I29" s="11" t="s">
        <v>59</v>
      </c>
      <c r="J29" s="138"/>
      <c r="K29" s="9">
        <v>28</v>
      </c>
      <c r="L29" s="26">
        <v>101329</v>
      </c>
      <c r="M29" s="10" t="s">
        <v>3256</v>
      </c>
      <c r="N29" s="11" t="s">
        <v>59</v>
      </c>
      <c r="O29" s="138"/>
      <c r="P29" s="9">
        <v>28</v>
      </c>
      <c r="Q29" s="26">
        <v>101431</v>
      </c>
      <c r="R29" s="10" t="s">
        <v>3291</v>
      </c>
      <c r="S29" s="11" t="s">
        <v>59</v>
      </c>
      <c r="T29" s="138"/>
      <c r="U29" s="9">
        <v>28</v>
      </c>
      <c r="V29" s="26">
        <v>102131</v>
      </c>
      <c r="W29" s="10" t="s">
        <v>3308</v>
      </c>
      <c r="X29" s="11" t="s">
        <v>59</v>
      </c>
      <c r="Y29" s="138"/>
      <c r="Z29" s="9">
        <v>28</v>
      </c>
      <c r="AA29" s="26">
        <v>102232</v>
      </c>
      <c r="AB29" s="10" t="s">
        <v>3309</v>
      </c>
      <c r="AC29" s="11" t="s">
        <v>59</v>
      </c>
      <c r="AD29" s="140"/>
      <c r="AE29" s="9">
        <v>28</v>
      </c>
      <c r="AF29" s="26">
        <v>102329</v>
      </c>
      <c r="AG29" s="10" t="s">
        <v>3260</v>
      </c>
      <c r="AH29" s="11" t="s">
        <v>59</v>
      </c>
      <c r="AI29" s="50"/>
      <c r="AJ29" s="9">
        <v>28</v>
      </c>
      <c r="AK29" s="26">
        <v>102428</v>
      </c>
      <c r="AL29" s="10" t="s">
        <v>3244</v>
      </c>
      <c r="AM29" s="11" t="s">
        <v>59</v>
      </c>
      <c r="AN29" s="135"/>
      <c r="AO29" s="9">
        <v>28</v>
      </c>
      <c r="AP29" s="26">
        <v>103129</v>
      </c>
      <c r="AQ29" s="10" t="s">
        <v>3279</v>
      </c>
      <c r="AR29" s="11" t="s">
        <v>59</v>
      </c>
      <c r="AS29" s="135"/>
      <c r="AT29" s="9">
        <v>28</v>
      </c>
      <c r="AU29" s="26">
        <v>103231</v>
      </c>
      <c r="AV29" s="10" t="s">
        <v>3297</v>
      </c>
      <c r="AW29" s="11" t="s">
        <v>60</v>
      </c>
      <c r="AX29" s="135"/>
      <c r="AY29" s="9">
        <v>28</v>
      </c>
      <c r="AZ29" s="26">
        <v>103329</v>
      </c>
      <c r="BA29" s="10" t="s">
        <v>3264</v>
      </c>
      <c r="BB29" s="11" t="s">
        <v>60</v>
      </c>
      <c r="BC29" s="50"/>
      <c r="BD29" s="9">
        <v>28</v>
      </c>
      <c r="BE29" s="26">
        <v>104131</v>
      </c>
      <c r="BF29" s="10" t="s">
        <v>3299</v>
      </c>
      <c r="BG29" s="11" t="s">
        <v>59</v>
      </c>
      <c r="BH29" s="50"/>
      <c r="BI29" s="9">
        <v>28</v>
      </c>
      <c r="BJ29" s="26">
        <v>104233</v>
      </c>
      <c r="BK29" s="10" t="s">
        <v>3331</v>
      </c>
      <c r="BL29" s="11" t="s">
        <v>59</v>
      </c>
      <c r="BM29" s="50"/>
      <c r="BN29" s="9">
        <v>28</v>
      </c>
      <c r="BO29" s="26">
        <v>105132</v>
      </c>
      <c r="BP29" s="10" t="s">
        <v>3317</v>
      </c>
      <c r="BQ29" s="11" t="s">
        <v>59</v>
      </c>
      <c r="BR29" s="135"/>
      <c r="BS29" s="9">
        <v>28</v>
      </c>
      <c r="BT29" s="26">
        <v>105229</v>
      </c>
      <c r="BU29" s="10" t="s">
        <v>3268</v>
      </c>
      <c r="BV29" s="11" t="s">
        <v>59</v>
      </c>
      <c r="BW29" s="138"/>
      <c r="BX29" s="9">
        <v>28</v>
      </c>
      <c r="BY29" s="26">
        <v>108128</v>
      </c>
      <c r="BZ29" s="10" t="s">
        <v>3252</v>
      </c>
      <c r="CA29" s="11" t="s">
        <v>60</v>
      </c>
      <c r="CB29" s="138"/>
      <c r="CC29" s="9">
        <v>28</v>
      </c>
      <c r="CD29" s="26">
        <v>108230</v>
      </c>
      <c r="CE29" s="10" t="s">
        <v>3287</v>
      </c>
      <c r="CF29" s="11" t="s">
        <v>59</v>
      </c>
      <c r="CG29" s="135"/>
      <c r="CH29" s="9"/>
      <c r="CI29" s="26"/>
      <c r="CJ29" s="10"/>
      <c r="CK29" s="11"/>
      <c r="CL29" s="7"/>
      <c r="CM29" s="9"/>
      <c r="CN29" s="26"/>
      <c r="CO29" s="10"/>
      <c r="CP29" s="11"/>
      <c r="CQ29" s="7"/>
      <c r="CR29" s="9"/>
      <c r="CS29" s="26"/>
      <c r="CT29" s="10"/>
      <c r="CU29" s="11"/>
      <c r="CV29" s="136"/>
    </row>
    <row r="30" spans="1:100" s="8" customFormat="1" ht="15" customHeight="1">
      <c r="A30" s="9">
        <v>29</v>
      </c>
      <c r="B30" s="26">
        <v>101130</v>
      </c>
      <c r="C30" s="10" t="s">
        <v>3271</v>
      </c>
      <c r="D30" s="11" t="s">
        <v>59</v>
      </c>
      <c r="E30" s="138"/>
      <c r="F30" s="9">
        <v>29</v>
      </c>
      <c r="G30" s="26">
        <v>101233</v>
      </c>
      <c r="H30" s="10" t="s">
        <v>3320</v>
      </c>
      <c r="I30" s="11" t="s">
        <v>59</v>
      </c>
      <c r="J30" s="138"/>
      <c r="K30" s="9">
        <v>29</v>
      </c>
      <c r="L30" s="26">
        <v>101330</v>
      </c>
      <c r="M30" s="10" t="s">
        <v>3273</v>
      </c>
      <c r="N30" s="11" t="s">
        <v>59</v>
      </c>
      <c r="O30" s="50"/>
      <c r="P30" s="9">
        <v>29</v>
      </c>
      <c r="Q30" s="26">
        <v>101432</v>
      </c>
      <c r="R30" s="10" t="s">
        <v>3307</v>
      </c>
      <c r="S30" s="11" t="s">
        <v>59</v>
      </c>
      <c r="T30" s="138"/>
      <c r="U30" s="9">
        <v>29</v>
      </c>
      <c r="V30" s="26">
        <v>102132</v>
      </c>
      <c r="W30" s="10" t="s">
        <v>3323</v>
      </c>
      <c r="X30" s="11" t="s">
        <v>59</v>
      </c>
      <c r="Y30" s="138"/>
      <c r="Z30" s="9">
        <v>29</v>
      </c>
      <c r="AA30" s="26">
        <v>102233</v>
      </c>
      <c r="AB30" s="10" t="s">
        <v>3324</v>
      </c>
      <c r="AC30" s="11" t="s">
        <v>59</v>
      </c>
      <c r="AD30" s="299"/>
      <c r="AE30" s="9">
        <v>29</v>
      </c>
      <c r="AF30" s="26">
        <v>102330</v>
      </c>
      <c r="AG30" s="10" t="s">
        <v>3277</v>
      </c>
      <c r="AH30" s="11" t="s">
        <v>59</v>
      </c>
      <c r="AI30" s="135"/>
      <c r="AJ30" s="9">
        <v>29</v>
      </c>
      <c r="AK30" s="26">
        <v>102429</v>
      </c>
      <c r="AL30" s="10" t="s">
        <v>3261</v>
      </c>
      <c r="AM30" s="11" t="s">
        <v>59</v>
      </c>
      <c r="AN30" s="135"/>
      <c r="AO30" s="9">
        <v>29</v>
      </c>
      <c r="AP30" s="26">
        <v>103130</v>
      </c>
      <c r="AQ30" s="10" t="s">
        <v>3296</v>
      </c>
      <c r="AR30" s="11" t="s">
        <v>59</v>
      </c>
      <c r="AS30" s="50"/>
      <c r="AT30" s="9">
        <v>29</v>
      </c>
      <c r="AU30" s="26">
        <v>103232</v>
      </c>
      <c r="AV30" s="10" t="s">
        <v>3313</v>
      </c>
      <c r="AW30" s="11" t="s">
        <v>59</v>
      </c>
      <c r="AX30" s="135"/>
      <c r="AY30" s="9">
        <v>29</v>
      </c>
      <c r="AZ30" s="26">
        <v>103330</v>
      </c>
      <c r="BA30" s="10" t="s">
        <v>3281</v>
      </c>
      <c r="BB30" s="11" t="s">
        <v>59</v>
      </c>
      <c r="BC30" s="50"/>
      <c r="BD30" s="9">
        <v>29</v>
      </c>
      <c r="BE30" s="26">
        <v>104132</v>
      </c>
      <c r="BF30" s="10" t="s">
        <v>3315</v>
      </c>
      <c r="BG30" s="11" t="s">
        <v>59</v>
      </c>
      <c r="BH30" s="207"/>
      <c r="BI30" s="9">
        <v>29</v>
      </c>
      <c r="BJ30" s="26">
        <v>104234</v>
      </c>
      <c r="BK30" s="10" t="s">
        <v>3344</v>
      </c>
      <c r="BL30" s="11" t="s">
        <v>59</v>
      </c>
      <c r="BM30" s="50"/>
      <c r="BN30" s="9">
        <v>29</v>
      </c>
      <c r="BO30" s="26">
        <v>105133</v>
      </c>
      <c r="BP30" s="10" t="s">
        <v>3332</v>
      </c>
      <c r="BQ30" s="11" t="s">
        <v>60</v>
      </c>
      <c r="BR30" s="138"/>
      <c r="BS30" s="9">
        <v>29</v>
      </c>
      <c r="BT30" s="26">
        <v>105230</v>
      </c>
      <c r="BU30" s="10" t="s">
        <v>3285</v>
      </c>
      <c r="BV30" s="11" t="s">
        <v>59</v>
      </c>
      <c r="BW30" s="138"/>
      <c r="BX30" s="9">
        <v>29</v>
      </c>
      <c r="BY30" s="26">
        <v>108129</v>
      </c>
      <c r="BZ30" s="10" t="s">
        <v>3269</v>
      </c>
      <c r="CA30" s="11" t="s">
        <v>59</v>
      </c>
      <c r="CB30" s="138"/>
      <c r="CC30" s="9">
        <v>29</v>
      </c>
      <c r="CD30" s="26">
        <v>108231</v>
      </c>
      <c r="CE30" s="10" t="s">
        <v>3303</v>
      </c>
      <c r="CF30" s="11" t="s">
        <v>60</v>
      </c>
      <c r="CG30" s="135"/>
      <c r="CH30" s="9"/>
      <c r="CI30" s="26"/>
      <c r="CJ30" s="10"/>
      <c r="CK30" s="11"/>
      <c r="CL30" s="7"/>
      <c r="CM30" s="9"/>
      <c r="CN30" s="26"/>
      <c r="CO30" s="10"/>
      <c r="CP30" s="11"/>
      <c r="CQ30" s="7"/>
      <c r="CR30" s="9"/>
      <c r="CS30" s="26"/>
      <c r="CT30" s="10"/>
      <c r="CU30" s="11"/>
      <c r="CV30" s="136"/>
    </row>
    <row r="31" spans="1:100" s="8" customFormat="1" ht="15" customHeight="1" thickBot="1">
      <c r="A31" s="12">
        <v>30</v>
      </c>
      <c r="B31" s="27">
        <v>101131</v>
      </c>
      <c r="C31" s="13" t="s">
        <v>3288</v>
      </c>
      <c r="D31" s="18" t="s">
        <v>59</v>
      </c>
      <c r="E31" s="138"/>
      <c r="F31" s="12">
        <v>30</v>
      </c>
      <c r="G31" s="27">
        <v>101234</v>
      </c>
      <c r="H31" s="13" t="s">
        <v>2480</v>
      </c>
      <c r="I31" s="18" t="s">
        <v>59</v>
      </c>
      <c r="J31" s="138"/>
      <c r="K31" s="12">
        <v>30</v>
      </c>
      <c r="L31" s="27">
        <v>101331</v>
      </c>
      <c r="M31" s="13" t="s">
        <v>3290</v>
      </c>
      <c r="N31" s="18" t="s">
        <v>59</v>
      </c>
      <c r="O31" s="138"/>
      <c r="P31" s="12">
        <v>30</v>
      </c>
      <c r="Q31" s="27">
        <v>101433</v>
      </c>
      <c r="R31" s="13" t="s">
        <v>3322</v>
      </c>
      <c r="S31" s="18" t="s">
        <v>60</v>
      </c>
      <c r="T31" s="138"/>
      <c r="U31" s="12">
        <v>30</v>
      </c>
      <c r="V31" s="27">
        <v>102134</v>
      </c>
      <c r="W31" s="13" t="s">
        <v>3347</v>
      </c>
      <c r="X31" s="18" t="s">
        <v>59</v>
      </c>
      <c r="Y31" s="138"/>
      <c r="Z31" s="12">
        <v>30</v>
      </c>
      <c r="AA31" s="27">
        <v>102234</v>
      </c>
      <c r="AB31" s="13" t="s">
        <v>3337</v>
      </c>
      <c r="AC31" s="18" t="s">
        <v>59</v>
      </c>
      <c r="AD31" s="138"/>
      <c r="AE31" s="12">
        <v>30</v>
      </c>
      <c r="AF31" s="27">
        <v>102331</v>
      </c>
      <c r="AG31" s="13" t="s">
        <v>3294</v>
      </c>
      <c r="AH31" s="18" t="s">
        <v>59</v>
      </c>
      <c r="AI31" s="135"/>
      <c r="AJ31" s="12">
        <v>30</v>
      </c>
      <c r="AK31" s="27">
        <v>102430</v>
      </c>
      <c r="AL31" s="13" t="s">
        <v>3278</v>
      </c>
      <c r="AM31" s="18" t="s">
        <v>59</v>
      </c>
      <c r="AN31" s="135"/>
      <c r="AO31" s="12">
        <v>30</v>
      </c>
      <c r="AP31" s="27">
        <v>103131</v>
      </c>
      <c r="AQ31" s="13" t="s">
        <v>3312</v>
      </c>
      <c r="AR31" s="18" t="s">
        <v>59</v>
      </c>
      <c r="AS31" s="135"/>
      <c r="AT31" s="12">
        <v>30</v>
      </c>
      <c r="AU31" s="27">
        <v>103233</v>
      </c>
      <c r="AV31" s="13" t="s">
        <v>3328</v>
      </c>
      <c r="AW31" s="18" t="s">
        <v>60</v>
      </c>
      <c r="AX31" s="135"/>
      <c r="AY31" s="12">
        <v>30</v>
      </c>
      <c r="AZ31" s="27">
        <v>103331</v>
      </c>
      <c r="BA31" s="13" t="s">
        <v>3298</v>
      </c>
      <c r="BB31" s="18" t="s">
        <v>59</v>
      </c>
      <c r="BC31" s="50"/>
      <c r="BD31" s="12">
        <v>30</v>
      </c>
      <c r="BE31" s="27">
        <v>104133</v>
      </c>
      <c r="BF31" s="13" t="s">
        <v>3330</v>
      </c>
      <c r="BG31" s="18" t="s">
        <v>59</v>
      </c>
      <c r="BH31" s="50"/>
      <c r="BI31" s="12"/>
      <c r="BJ31" s="27"/>
      <c r="BK31" s="13"/>
      <c r="BL31" s="18"/>
      <c r="BM31" s="50"/>
      <c r="BN31" s="12">
        <v>30</v>
      </c>
      <c r="BO31" s="27">
        <v>105134</v>
      </c>
      <c r="BP31" s="13" t="s">
        <v>3345</v>
      </c>
      <c r="BQ31" s="18" t="s">
        <v>59</v>
      </c>
      <c r="BR31" s="135"/>
      <c r="BS31" s="12">
        <v>30</v>
      </c>
      <c r="BT31" s="27">
        <v>105231</v>
      </c>
      <c r="BU31" s="13" t="s">
        <v>3302</v>
      </c>
      <c r="BV31" s="18" t="s">
        <v>59</v>
      </c>
      <c r="BW31" s="138"/>
      <c r="BX31" s="12">
        <v>30</v>
      </c>
      <c r="BY31" s="27">
        <v>108130</v>
      </c>
      <c r="BZ31" s="13" t="s">
        <v>3286</v>
      </c>
      <c r="CA31" s="18" t="s">
        <v>59</v>
      </c>
      <c r="CB31" s="138"/>
      <c r="CC31" s="12">
        <v>30</v>
      </c>
      <c r="CD31" s="27" t="s">
        <v>3567</v>
      </c>
      <c r="CE31" s="13" t="s">
        <v>2805</v>
      </c>
      <c r="CF31" s="18" t="s">
        <v>59</v>
      </c>
      <c r="CG31" s="135"/>
      <c r="CH31" s="12"/>
      <c r="CI31" s="27"/>
      <c r="CJ31" s="13"/>
      <c r="CK31" s="18"/>
      <c r="CL31" s="7"/>
      <c r="CM31" s="12"/>
      <c r="CN31" s="27"/>
      <c r="CO31" s="13"/>
      <c r="CP31" s="18"/>
      <c r="CQ31" s="7"/>
      <c r="CR31" s="12"/>
      <c r="CS31" s="27"/>
      <c r="CT31" s="13"/>
      <c r="CU31" s="18"/>
      <c r="CV31" s="136"/>
    </row>
    <row r="32" spans="1:100" s="8" customFormat="1" ht="15" customHeight="1" thickTop="1">
      <c r="A32" s="4">
        <v>31</v>
      </c>
      <c r="B32" s="29">
        <v>101132</v>
      </c>
      <c r="C32" s="5" t="s">
        <v>3304</v>
      </c>
      <c r="D32" s="6" t="s">
        <v>59</v>
      </c>
      <c r="E32" s="138"/>
      <c r="F32" s="4">
        <v>31</v>
      </c>
      <c r="G32" s="327" t="s">
        <v>2432</v>
      </c>
      <c r="H32" s="300" t="s">
        <v>2433</v>
      </c>
      <c r="I32" s="301" t="s">
        <v>59</v>
      </c>
      <c r="J32" s="263"/>
      <c r="K32" s="4">
        <v>31</v>
      </c>
      <c r="L32" s="29">
        <v>101332</v>
      </c>
      <c r="M32" s="5" t="s">
        <v>3306</v>
      </c>
      <c r="N32" s="6" t="s">
        <v>59</v>
      </c>
      <c r="O32" s="138"/>
      <c r="P32" s="4">
        <v>31</v>
      </c>
      <c r="Q32" s="327" t="s">
        <v>936</v>
      </c>
      <c r="R32" s="300" t="s">
        <v>1069</v>
      </c>
      <c r="S32" s="301" t="s">
        <v>59</v>
      </c>
      <c r="T32" s="263"/>
      <c r="U32" s="4">
        <v>31</v>
      </c>
      <c r="V32" s="29">
        <v>102135</v>
      </c>
      <c r="W32" s="5" t="s">
        <v>3356</v>
      </c>
      <c r="X32" s="6" t="s">
        <v>59</v>
      </c>
      <c r="Y32" s="138"/>
      <c r="Z32" s="4">
        <v>31</v>
      </c>
      <c r="AA32" s="29">
        <v>102235</v>
      </c>
      <c r="AB32" s="5" t="s">
        <v>3348</v>
      </c>
      <c r="AC32" s="6" t="s">
        <v>59</v>
      </c>
      <c r="AD32" s="138"/>
      <c r="AE32" s="4">
        <v>31</v>
      </c>
      <c r="AF32" s="29">
        <v>102332</v>
      </c>
      <c r="AG32" s="5" t="s">
        <v>3310</v>
      </c>
      <c r="AH32" s="6" t="s">
        <v>59</v>
      </c>
      <c r="AI32" s="135"/>
      <c r="AJ32" s="4">
        <v>31</v>
      </c>
      <c r="AK32" s="29">
        <v>102431</v>
      </c>
      <c r="AL32" s="5" t="s">
        <v>3295</v>
      </c>
      <c r="AM32" s="6" t="s">
        <v>59</v>
      </c>
      <c r="AN32" s="135"/>
      <c r="AO32" s="4">
        <v>31</v>
      </c>
      <c r="AP32" s="29">
        <v>103132</v>
      </c>
      <c r="AQ32" s="5" t="s">
        <v>3327</v>
      </c>
      <c r="AR32" s="6" t="s">
        <v>59</v>
      </c>
      <c r="AS32" s="135"/>
      <c r="AT32" s="4">
        <v>31</v>
      </c>
      <c r="AU32" s="29">
        <v>103234</v>
      </c>
      <c r="AV32" s="5" t="s">
        <v>3341</v>
      </c>
      <c r="AW32" s="6" t="s">
        <v>59</v>
      </c>
      <c r="AX32" s="135"/>
      <c r="AY32" s="4">
        <v>31</v>
      </c>
      <c r="AZ32" s="29">
        <v>103332</v>
      </c>
      <c r="BA32" s="5" t="s">
        <v>3314</v>
      </c>
      <c r="BB32" s="6" t="s">
        <v>59</v>
      </c>
      <c r="BC32" s="50"/>
      <c r="BD32" s="4">
        <v>31</v>
      </c>
      <c r="BE32" s="29">
        <v>104134</v>
      </c>
      <c r="BF32" s="5" t="s">
        <v>3343</v>
      </c>
      <c r="BG32" s="6" t="s">
        <v>59</v>
      </c>
      <c r="BH32" s="50"/>
      <c r="BI32" s="4"/>
      <c r="BJ32" s="29"/>
      <c r="BK32" s="5"/>
      <c r="BL32" s="6"/>
      <c r="BM32" s="50"/>
      <c r="BN32" s="4">
        <v>31</v>
      </c>
      <c r="BO32" s="29">
        <v>105135</v>
      </c>
      <c r="BP32" s="5" t="s">
        <v>3354</v>
      </c>
      <c r="BQ32" s="6" t="s">
        <v>59</v>
      </c>
      <c r="BR32" s="135"/>
      <c r="BS32" s="4">
        <v>31</v>
      </c>
      <c r="BT32" s="29">
        <v>105233</v>
      </c>
      <c r="BU32" s="5" t="s">
        <v>3333</v>
      </c>
      <c r="BV32" s="6" t="s">
        <v>59</v>
      </c>
      <c r="BW32" s="135"/>
      <c r="BX32" s="4">
        <v>31</v>
      </c>
      <c r="BY32" s="29" t="s">
        <v>1992</v>
      </c>
      <c r="BZ32" s="5" t="s">
        <v>1993</v>
      </c>
      <c r="CA32" s="6" t="s">
        <v>59</v>
      </c>
      <c r="CB32" s="138"/>
      <c r="CC32" s="4">
        <v>31</v>
      </c>
      <c r="CD32" s="29" t="s">
        <v>3568</v>
      </c>
      <c r="CE32" s="5" t="s">
        <v>3165</v>
      </c>
      <c r="CF32" s="6" t="s">
        <v>59</v>
      </c>
      <c r="CG32" s="135"/>
      <c r="CH32" s="4"/>
      <c r="CI32" s="29"/>
      <c r="CJ32" s="5"/>
      <c r="CK32" s="6"/>
      <c r="CL32" s="7"/>
      <c r="CM32" s="4"/>
      <c r="CN32" s="29"/>
      <c r="CO32" s="5"/>
      <c r="CP32" s="6"/>
      <c r="CQ32" s="7"/>
      <c r="CR32" s="4"/>
      <c r="CS32" s="29"/>
      <c r="CT32" s="5"/>
      <c r="CU32" s="6"/>
      <c r="CV32" s="136"/>
    </row>
    <row r="33" spans="1:100" s="8" customFormat="1" ht="15" customHeight="1">
      <c r="A33" s="9">
        <v>32</v>
      </c>
      <c r="B33" s="21">
        <v>101133</v>
      </c>
      <c r="C33" s="10" t="s">
        <v>3319</v>
      </c>
      <c r="D33" s="11" t="s">
        <v>60</v>
      </c>
      <c r="E33" s="138"/>
      <c r="F33" s="9"/>
      <c r="G33" s="262"/>
      <c r="H33" s="205"/>
      <c r="I33" s="206"/>
      <c r="J33" s="263"/>
      <c r="K33" s="9">
        <v>32</v>
      </c>
      <c r="L33" s="21">
        <v>101333</v>
      </c>
      <c r="M33" s="10" t="s">
        <v>3321</v>
      </c>
      <c r="N33" s="11" t="s">
        <v>59</v>
      </c>
      <c r="O33" s="138"/>
      <c r="P33" s="9"/>
      <c r="Q33" s="21"/>
      <c r="R33" s="10"/>
      <c r="S33" s="11"/>
      <c r="T33" s="138"/>
      <c r="U33" s="9">
        <v>32</v>
      </c>
      <c r="V33" s="21">
        <v>102136</v>
      </c>
      <c r="W33" s="10" t="s">
        <v>3365</v>
      </c>
      <c r="X33" s="11" t="s">
        <v>59</v>
      </c>
      <c r="Y33" s="138"/>
      <c r="Z33" s="9">
        <v>32</v>
      </c>
      <c r="AA33" s="21">
        <v>102237</v>
      </c>
      <c r="AB33" s="10" t="s">
        <v>3366</v>
      </c>
      <c r="AC33" s="11" t="s">
        <v>59</v>
      </c>
      <c r="AD33" s="138"/>
      <c r="AE33" s="9">
        <v>32</v>
      </c>
      <c r="AF33" s="21">
        <v>102333</v>
      </c>
      <c r="AG33" s="10" t="s">
        <v>3325</v>
      </c>
      <c r="AH33" s="11" t="s">
        <v>59</v>
      </c>
      <c r="AI33" s="50"/>
      <c r="AJ33" s="9">
        <v>32</v>
      </c>
      <c r="AK33" s="21">
        <v>102432</v>
      </c>
      <c r="AL33" s="10" t="s">
        <v>3311</v>
      </c>
      <c r="AM33" s="11" t="s">
        <v>59</v>
      </c>
      <c r="AN33" s="135"/>
      <c r="AO33" s="9">
        <v>32</v>
      </c>
      <c r="AP33" s="21">
        <v>103133</v>
      </c>
      <c r="AQ33" s="10" t="s">
        <v>3340</v>
      </c>
      <c r="AR33" s="11" t="s">
        <v>59</v>
      </c>
      <c r="AS33" s="135"/>
      <c r="AT33" s="9">
        <v>32</v>
      </c>
      <c r="AU33" s="21">
        <v>103235</v>
      </c>
      <c r="AV33" s="10" t="s">
        <v>3351</v>
      </c>
      <c r="AW33" s="11" t="s">
        <v>59</v>
      </c>
      <c r="AX33" s="135"/>
      <c r="AY33" s="9">
        <v>32</v>
      </c>
      <c r="AZ33" s="21">
        <v>103333</v>
      </c>
      <c r="BA33" s="10" t="s">
        <v>3329</v>
      </c>
      <c r="BB33" s="11" t="s">
        <v>59</v>
      </c>
      <c r="BC33" s="135"/>
      <c r="BD33" s="9">
        <v>32</v>
      </c>
      <c r="BE33" s="21">
        <v>104135</v>
      </c>
      <c r="BF33" s="10" t="s">
        <v>3353</v>
      </c>
      <c r="BG33" s="11" t="s">
        <v>59</v>
      </c>
      <c r="BH33" s="50"/>
      <c r="BI33" s="9"/>
      <c r="BJ33" s="21"/>
      <c r="BK33" s="10"/>
      <c r="BL33" s="11"/>
      <c r="BM33" s="50"/>
      <c r="BN33" s="9">
        <v>32</v>
      </c>
      <c r="BO33" s="21">
        <v>105136</v>
      </c>
      <c r="BP33" s="10" t="s">
        <v>3363</v>
      </c>
      <c r="BQ33" s="11" t="s">
        <v>59</v>
      </c>
      <c r="BR33" s="135"/>
      <c r="BS33" s="9">
        <v>32</v>
      </c>
      <c r="BT33" s="21">
        <v>105234</v>
      </c>
      <c r="BU33" s="10" t="s">
        <v>3346</v>
      </c>
      <c r="BV33" s="11" t="s">
        <v>59</v>
      </c>
      <c r="BW33" s="138"/>
      <c r="BX33" s="9">
        <v>32</v>
      </c>
      <c r="BY33" s="21" t="s">
        <v>3450</v>
      </c>
      <c r="BZ33" s="10" t="s">
        <v>3520</v>
      </c>
      <c r="CA33" s="11" t="s">
        <v>59</v>
      </c>
      <c r="CB33" s="57"/>
      <c r="CC33" s="9">
        <v>32</v>
      </c>
      <c r="CD33" s="262" t="s">
        <v>4377</v>
      </c>
      <c r="CE33" s="205" t="s">
        <v>4400</v>
      </c>
      <c r="CF33" s="206" t="s">
        <v>59</v>
      </c>
      <c r="CG33" s="335"/>
      <c r="CH33" s="9"/>
      <c r="CI33" s="21"/>
      <c r="CJ33" s="10"/>
      <c r="CK33" s="11"/>
      <c r="CL33" s="7"/>
      <c r="CM33" s="9"/>
      <c r="CN33" s="21"/>
      <c r="CO33" s="10"/>
      <c r="CP33" s="11"/>
      <c r="CQ33" s="7"/>
      <c r="CR33" s="9"/>
      <c r="CS33" s="21"/>
      <c r="CT33" s="10"/>
      <c r="CU33" s="11"/>
      <c r="CV33" s="136"/>
    </row>
    <row r="34" spans="1:100" s="8" customFormat="1" ht="15" customHeight="1">
      <c r="A34" s="9">
        <v>33</v>
      </c>
      <c r="B34" s="26">
        <v>101134</v>
      </c>
      <c r="C34" s="10" t="s">
        <v>3334</v>
      </c>
      <c r="D34" s="11" t="s">
        <v>59</v>
      </c>
      <c r="E34" s="138"/>
      <c r="F34" s="9"/>
      <c r="G34" s="26"/>
      <c r="H34" s="10"/>
      <c r="I34" s="11"/>
      <c r="J34" s="138"/>
      <c r="K34" s="9">
        <v>33</v>
      </c>
      <c r="L34" s="26">
        <v>101334</v>
      </c>
      <c r="M34" s="10" t="s">
        <v>3335</v>
      </c>
      <c r="N34" s="11" t="s">
        <v>59</v>
      </c>
      <c r="O34" s="138"/>
      <c r="P34" s="9"/>
      <c r="Q34" s="26"/>
      <c r="R34" s="10"/>
      <c r="S34" s="11"/>
      <c r="T34" s="138"/>
      <c r="U34" s="9">
        <v>33</v>
      </c>
      <c r="V34" s="26">
        <v>102137</v>
      </c>
      <c r="W34" s="10" t="s">
        <v>3369</v>
      </c>
      <c r="X34" s="11" t="s">
        <v>59</v>
      </c>
      <c r="Y34" s="138"/>
      <c r="Z34" s="9"/>
      <c r="AA34" s="26"/>
      <c r="AB34" s="10"/>
      <c r="AC34" s="11"/>
      <c r="AD34" s="138"/>
      <c r="AE34" s="9">
        <v>33</v>
      </c>
      <c r="AF34" s="26">
        <v>102335</v>
      </c>
      <c r="AG34" s="10" t="s">
        <v>3283</v>
      </c>
      <c r="AH34" s="11" t="s">
        <v>59</v>
      </c>
      <c r="AI34" s="50"/>
      <c r="AJ34" s="9">
        <v>33</v>
      </c>
      <c r="AK34" s="26">
        <v>102433</v>
      </c>
      <c r="AL34" s="10" t="s">
        <v>3326</v>
      </c>
      <c r="AM34" s="11" t="s">
        <v>59</v>
      </c>
      <c r="AN34" s="135"/>
      <c r="AO34" s="9">
        <v>33</v>
      </c>
      <c r="AP34" s="26">
        <v>103135</v>
      </c>
      <c r="AQ34" s="10" t="s">
        <v>3360</v>
      </c>
      <c r="AR34" s="11" t="s">
        <v>60</v>
      </c>
      <c r="AS34" s="135"/>
      <c r="AT34" s="9">
        <v>33</v>
      </c>
      <c r="AU34" s="26">
        <v>103236</v>
      </c>
      <c r="AV34" s="10" t="s">
        <v>3361</v>
      </c>
      <c r="AW34" s="11" t="s">
        <v>60</v>
      </c>
      <c r="AX34" s="135"/>
      <c r="AY34" s="9">
        <v>33</v>
      </c>
      <c r="AZ34" s="26">
        <v>103334</v>
      </c>
      <c r="BA34" s="10" t="s">
        <v>3342</v>
      </c>
      <c r="BB34" s="11" t="s">
        <v>60</v>
      </c>
      <c r="BC34" s="50"/>
      <c r="BD34" s="9"/>
      <c r="BE34" s="26"/>
      <c r="BF34" s="10"/>
      <c r="BG34" s="11"/>
      <c r="BH34" s="50"/>
      <c r="BI34" s="9"/>
      <c r="BJ34" s="26"/>
      <c r="BK34" s="10"/>
      <c r="BL34" s="11"/>
      <c r="BM34" s="50"/>
      <c r="BN34" s="9">
        <v>33</v>
      </c>
      <c r="BO34" s="204" t="s">
        <v>1056</v>
      </c>
      <c r="BP34" s="205" t="s">
        <v>4403</v>
      </c>
      <c r="BQ34" s="206" t="s">
        <v>59</v>
      </c>
      <c r="BR34" s="202"/>
      <c r="BS34" s="9">
        <v>33</v>
      </c>
      <c r="BT34" s="26">
        <v>105235</v>
      </c>
      <c r="BU34" s="10" t="s">
        <v>3355</v>
      </c>
      <c r="BV34" s="11" t="s">
        <v>59</v>
      </c>
      <c r="BW34" s="135"/>
      <c r="BX34" s="9"/>
      <c r="BY34" s="26"/>
      <c r="BZ34" s="10"/>
      <c r="CA34" s="11"/>
      <c r="CB34" s="138"/>
      <c r="CC34" s="9"/>
      <c r="CD34" s="204"/>
      <c r="CE34" s="205"/>
      <c r="CF34" s="206"/>
      <c r="CG34" s="336"/>
      <c r="CH34" s="9"/>
      <c r="CI34" s="26"/>
      <c r="CJ34" s="10"/>
      <c r="CK34" s="11"/>
      <c r="CL34" s="7"/>
      <c r="CM34" s="9"/>
      <c r="CN34" s="26"/>
      <c r="CO34" s="10"/>
      <c r="CP34" s="11"/>
      <c r="CQ34" s="7"/>
      <c r="CR34" s="9"/>
      <c r="CS34" s="26"/>
      <c r="CT34" s="10"/>
      <c r="CU34" s="11"/>
      <c r="CV34" s="136"/>
    </row>
    <row r="35" spans="1:100" s="8" customFormat="1" ht="15" customHeight="1">
      <c r="A35" s="9"/>
      <c r="B35" s="26"/>
      <c r="C35" s="10"/>
      <c r="D35" s="11"/>
      <c r="E35" s="138"/>
      <c r="F35" s="9"/>
      <c r="G35" s="26"/>
      <c r="H35" s="10"/>
      <c r="I35" s="11"/>
      <c r="J35" s="138"/>
      <c r="K35" s="9"/>
      <c r="L35" s="26"/>
      <c r="M35" s="10"/>
      <c r="N35" s="11"/>
      <c r="O35" s="138"/>
      <c r="P35" s="9"/>
      <c r="Q35" s="26"/>
      <c r="R35" s="10"/>
      <c r="S35" s="11"/>
      <c r="T35" s="138"/>
      <c r="U35" s="9">
        <v>34</v>
      </c>
      <c r="V35" s="204" t="s">
        <v>2002</v>
      </c>
      <c r="W35" s="205" t="s">
        <v>2035</v>
      </c>
      <c r="X35" s="206" t="s">
        <v>59</v>
      </c>
      <c r="Y35" s="263"/>
      <c r="Z35" s="9"/>
      <c r="AA35" s="26"/>
      <c r="AB35" s="10"/>
      <c r="AC35" s="11"/>
      <c r="AD35" s="138"/>
      <c r="AE35" s="9">
        <v>34</v>
      </c>
      <c r="AF35" s="26">
        <v>102336</v>
      </c>
      <c r="AG35" s="10" t="s">
        <v>3358</v>
      </c>
      <c r="AH35" s="11" t="s">
        <v>59</v>
      </c>
      <c r="AI35" s="135"/>
      <c r="AJ35" s="9">
        <v>34</v>
      </c>
      <c r="AK35" s="26">
        <v>102434</v>
      </c>
      <c r="AL35" s="10" t="s">
        <v>3339</v>
      </c>
      <c r="AM35" s="11" t="s">
        <v>59</v>
      </c>
      <c r="AN35" s="135"/>
      <c r="AO35" s="9">
        <v>34</v>
      </c>
      <c r="AP35" s="26" t="s">
        <v>1695</v>
      </c>
      <c r="AQ35" s="10" t="s">
        <v>1696</v>
      </c>
      <c r="AR35" s="11" t="s">
        <v>59</v>
      </c>
      <c r="AS35" s="135"/>
      <c r="AT35" s="9">
        <v>34</v>
      </c>
      <c r="AU35" s="26">
        <v>103237</v>
      </c>
      <c r="AV35" s="10" t="s">
        <v>3368</v>
      </c>
      <c r="AW35" s="11" t="s">
        <v>59</v>
      </c>
      <c r="AX35" s="135"/>
      <c r="AY35" s="9">
        <v>34</v>
      </c>
      <c r="AZ35" s="26">
        <v>103336</v>
      </c>
      <c r="BA35" s="10" t="s">
        <v>3362</v>
      </c>
      <c r="BB35" s="11" t="s">
        <v>60</v>
      </c>
      <c r="BC35" s="50"/>
      <c r="BD35" s="9"/>
      <c r="BE35" s="26"/>
      <c r="BF35" s="10"/>
      <c r="BG35" s="11"/>
      <c r="BH35" s="50"/>
      <c r="BI35" s="9"/>
      <c r="BJ35" s="26"/>
      <c r="BK35" s="10"/>
      <c r="BL35" s="11"/>
      <c r="BM35" s="50"/>
      <c r="BN35" s="9"/>
      <c r="BO35" s="204"/>
      <c r="BP35" s="205"/>
      <c r="BQ35" s="206"/>
      <c r="BR35" s="263"/>
      <c r="BS35" s="9">
        <v>34</v>
      </c>
      <c r="BT35" s="26">
        <v>105236</v>
      </c>
      <c r="BU35" s="10" t="s">
        <v>3364</v>
      </c>
      <c r="BV35" s="11" t="s">
        <v>59</v>
      </c>
      <c r="BW35" s="57"/>
      <c r="BX35" s="9"/>
      <c r="BY35" s="26"/>
      <c r="BZ35" s="10"/>
      <c r="CA35" s="11"/>
      <c r="CB35" s="135"/>
      <c r="CC35" s="9"/>
      <c r="CD35" s="26"/>
      <c r="CE35" s="10"/>
      <c r="CF35" s="11"/>
      <c r="CG35" s="135"/>
      <c r="CH35" s="9"/>
      <c r="CI35" s="26"/>
      <c r="CJ35" s="10"/>
      <c r="CK35" s="11"/>
      <c r="CL35" s="7"/>
      <c r="CM35" s="9"/>
      <c r="CN35" s="26"/>
      <c r="CO35" s="10"/>
      <c r="CP35" s="11"/>
      <c r="CQ35" s="7"/>
      <c r="CR35" s="9"/>
      <c r="CS35" s="26"/>
      <c r="CT35" s="10"/>
      <c r="CU35" s="11"/>
      <c r="CV35" s="136"/>
    </row>
    <row r="36" spans="1:100" s="8" customFormat="1" ht="15" customHeight="1" thickBot="1">
      <c r="A36" s="16"/>
      <c r="B36" s="28"/>
      <c r="C36" s="17"/>
      <c r="D36" s="18"/>
      <c r="E36" s="138"/>
      <c r="F36" s="16"/>
      <c r="G36" s="28"/>
      <c r="H36" s="17"/>
      <c r="I36" s="18"/>
      <c r="J36" s="138"/>
      <c r="K36" s="16"/>
      <c r="L36" s="28"/>
      <c r="M36" s="17"/>
      <c r="N36" s="18"/>
      <c r="O36" s="138"/>
      <c r="P36" s="16"/>
      <c r="Q36" s="28"/>
      <c r="R36" s="17"/>
      <c r="S36" s="18"/>
      <c r="T36" s="138"/>
      <c r="U36" s="16"/>
      <c r="V36" s="28"/>
      <c r="W36" s="17"/>
      <c r="X36" s="18"/>
      <c r="Y36" s="135"/>
      <c r="Z36" s="16"/>
      <c r="AA36" s="28"/>
      <c r="AB36" s="17"/>
      <c r="AC36" s="18"/>
      <c r="AD36" s="263"/>
      <c r="AE36" s="16">
        <v>35</v>
      </c>
      <c r="AF36" s="28">
        <v>102337</v>
      </c>
      <c r="AG36" s="17" t="s">
        <v>3367</v>
      </c>
      <c r="AH36" s="18" t="s">
        <v>59</v>
      </c>
      <c r="AI36" s="135"/>
      <c r="AJ36" s="16">
        <v>35</v>
      </c>
      <c r="AK36" s="28">
        <v>102436</v>
      </c>
      <c r="AL36" s="17" t="s">
        <v>3359</v>
      </c>
      <c r="AM36" s="18" t="s">
        <v>59</v>
      </c>
      <c r="AN36" s="135"/>
      <c r="AO36" s="16"/>
      <c r="AP36" s="28"/>
      <c r="AQ36" s="17"/>
      <c r="AR36" s="18"/>
      <c r="AS36" s="50"/>
      <c r="AT36" s="16"/>
      <c r="AU36" s="28"/>
      <c r="AV36" s="17"/>
      <c r="AW36" s="18"/>
      <c r="AX36" s="135"/>
      <c r="AY36" s="16"/>
      <c r="AZ36" s="28"/>
      <c r="BA36" s="17"/>
      <c r="BB36" s="18"/>
      <c r="BC36" s="50"/>
      <c r="BD36" s="16"/>
      <c r="BE36" s="28"/>
      <c r="BF36" s="17"/>
      <c r="BG36" s="18"/>
      <c r="BH36" s="50"/>
      <c r="BI36" s="16"/>
      <c r="BJ36" s="28"/>
      <c r="BK36" s="17"/>
      <c r="BL36" s="18"/>
      <c r="BM36" s="50"/>
      <c r="BN36" s="16"/>
      <c r="BO36" s="28"/>
      <c r="BP36" s="17"/>
      <c r="BQ36" s="18"/>
      <c r="BR36" s="135"/>
      <c r="BS36" s="16"/>
      <c r="BT36" s="28"/>
      <c r="BU36" s="17"/>
      <c r="BV36" s="18"/>
      <c r="BW36" s="135"/>
      <c r="BX36" s="16"/>
      <c r="BY36" s="28"/>
      <c r="BZ36" s="17"/>
      <c r="CA36" s="18"/>
      <c r="CB36" s="138"/>
      <c r="CC36" s="16"/>
      <c r="CD36" s="28"/>
      <c r="CE36" s="17"/>
      <c r="CF36" s="18"/>
      <c r="CG36" s="139"/>
      <c r="CH36" s="16"/>
      <c r="CI36" s="28"/>
      <c r="CJ36" s="17"/>
      <c r="CK36" s="18"/>
      <c r="CL36" s="7"/>
      <c r="CM36" s="16"/>
      <c r="CN36" s="28"/>
      <c r="CO36" s="17"/>
      <c r="CP36" s="18"/>
      <c r="CQ36" s="7"/>
      <c r="CR36" s="16"/>
      <c r="CS36" s="28"/>
      <c r="CT36" s="17"/>
      <c r="CU36" s="18"/>
      <c r="CV36" s="136"/>
    </row>
    <row r="37" spans="1:100" s="8" customFormat="1" ht="15" customHeight="1" thickTop="1">
      <c r="A37" s="4"/>
      <c r="B37" s="25"/>
      <c r="C37" s="5"/>
      <c r="D37" s="6"/>
      <c r="E37" s="138"/>
      <c r="F37" s="4"/>
      <c r="G37" s="25"/>
      <c r="H37" s="5"/>
      <c r="I37" s="6"/>
      <c r="J37" s="138"/>
      <c r="K37" s="4"/>
      <c r="L37" s="25"/>
      <c r="M37" s="5"/>
      <c r="N37" s="6"/>
      <c r="O37" s="138"/>
      <c r="P37" s="4"/>
      <c r="Q37" s="25"/>
      <c r="R37" s="5"/>
      <c r="S37" s="6"/>
      <c r="T37" s="138"/>
      <c r="U37" s="4"/>
      <c r="V37" s="25"/>
      <c r="W37" s="5"/>
      <c r="X37" s="6"/>
      <c r="Y37" s="138"/>
      <c r="Z37" s="4"/>
      <c r="AA37" s="25"/>
      <c r="AB37" s="5"/>
      <c r="AC37" s="6"/>
      <c r="AD37" s="263"/>
      <c r="AE37" s="4"/>
      <c r="AF37" s="25"/>
      <c r="AG37" s="5"/>
      <c r="AH37" s="6"/>
      <c r="AI37" s="57"/>
      <c r="AJ37" s="4">
        <v>36</v>
      </c>
      <c r="AK37" s="25" t="s">
        <v>2406</v>
      </c>
      <c r="AL37" s="5" t="s">
        <v>1026</v>
      </c>
      <c r="AM37" s="6" t="s">
        <v>59</v>
      </c>
      <c r="AN37" s="50"/>
      <c r="AO37" s="4"/>
      <c r="AP37" s="25"/>
      <c r="AQ37" s="5"/>
      <c r="AR37" s="6"/>
      <c r="AS37" s="135"/>
      <c r="AT37" s="4"/>
      <c r="AU37" s="25"/>
      <c r="AV37" s="5"/>
      <c r="AW37" s="6"/>
      <c r="AX37" s="135"/>
      <c r="AY37" s="4"/>
      <c r="AZ37" s="25"/>
      <c r="BA37" s="5"/>
      <c r="BB37" s="6"/>
      <c r="BC37" s="50"/>
      <c r="BD37" s="4"/>
      <c r="BE37" s="25"/>
      <c r="BF37" s="5"/>
      <c r="BG37" s="6"/>
      <c r="BH37" s="50"/>
      <c r="BI37" s="4"/>
      <c r="BJ37" s="21"/>
      <c r="BK37" s="10"/>
      <c r="BL37" s="11"/>
      <c r="BM37" s="50"/>
      <c r="BN37" s="4"/>
      <c r="BO37" s="25"/>
      <c r="BP37" s="5"/>
      <c r="BQ37" s="6"/>
      <c r="BR37" s="135"/>
      <c r="BS37" s="4"/>
      <c r="BT37" s="25"/>
      <c r="BU37" s="5"/>
      <c r="BV37" s="6"/>
      <c r="BW37" s="138"/>
      <c r="BX37" s="4"/>
      <c r="BY37" s="25"/>
      <c r="BZ37" s="5"/>
      <c r="CA37" s="6"/>
      <c r="CB37" s="138"/>
      <c r="CC37" s="4"/>
      <c r="CD37" s="25"/>
      <c r="CE37" s="5"/>
      <c r="CF37" s="6"/>
      <c r="CG37" s="135"/>
      <c r="CH37" s="4"/>
      <c r="CI37" s="25"/>
      <c r="CJ37" s="5"/>
      <c r="CK37" s="6"/>
      <c r="CL37" s="7"/>
      <c r="CM37" s="4"/>
      <c r="CN37" s="25"/>
      <c r="CO37" s="5"/>
      <c r="CP37" s="6"/>
      <c r="CQ37" s="7"/>
      <c r="CR37" s="4"/>
      <c r="CS37" s="25"/>
      <c r="CT37" s="5"/>
      <c r="CU37" s="6"/>
      <c r="CV37" s="136"/>
    </row>
    <row r="38" spans="1:100" s="8" customFormat="1" ht="15" customHeight="1">
      <c r="A38" s="9"/>
      <c r="B38" s="21"/>
      <c r="C38" s="10"/>
      <c r="D38" s="11"/>
      <c r="E38" s="138"/>
      <c r="F38" s="9"/>
      <c r="G38" s="21"/>
      <c r="H38" s="10"/>
      <c r="I38" s="11"/>
      <c r="J38" s="138"/>
      <c r="K38" s="9"/>
      <c r="L38" s="21"/>
      <c r="M38" s="10"/>
      <c r="N38" s="11"/>
      <c r="O38" s="138"/>
      <c r="P38" s="9"/>
      <c r="Q38" s="21"/>
      <c r="R38" s="10"/>
      <c r="S38" s="11"/>
      <c r="T38" s="138"/>
      <c r="U38" s="9"/>
      <c r="V38" s="21"/>
      <c r="W38" s="10"/>
      <c r="X38" s="11"/>
      <c r="Y38" s="138"/>
      <c r="Z38" s="9"/>
      <c r="AA38" s="21"/>
      <c r="AB38" s="10"/>
      <c r="AC38" s="11"/>
      <c r="AD38" s="7"/>
      <c r="AE38" s="9"/>
      <c r="AF38" s="21"/>
      <c r="AG38" s="10"/>
      <c r="AH38" s="11"/>
      <c r="AI38" s="135"/>
      <c r="AJ38" s="9"/>
      <c r="AK38" s="21"/>
      <c r="AL38" s="10"/>
      <c r="AM38" s="11"/>
      <c r="AN38" s="135"/>
      <c r="AO38" s="9"/>
      <c r="AP38" s="21"/>
      <c r="AQ38" s="10"/>
      <c r="AR38" s="11"/>
      <c r="AS38" s="135"/>
      <c r="AT38" s="9"/>
      <c r="AU38" s="21"/>
      <c r="AV38" s="10"/>
      <c r="AW38" s="11"/>
      <c r="AX38" s="135"/>
      <c r="AY38" s="9"/>
      <c r="AZ38" s="21"/>
      <c r="BA38" s="10"/>
      <c r="BB38" s="11"/>
      <c r="BC38" s="50"/>
      <c r="BD38" s="9"/>
      <c r="BE38" s="21"/>
      <c r="BF38" s="10"/>
      <c r="BG38" s="11"/>
      <c r="BH38" s="50"/>
      <c r="BI38" s="9"/>
      <c r="BJ38" s="21"/>
      <c r="BK38" s="10"/>
      <c r="BL38" s="11"/>
      <c r="BM38" s="50"/>
      <c r="BN38" s="9"/>
      <c r="BO38" s="21"/>
      <c r="BP38" s="10"/>
      <c r="BQ38" s="11"/>
      <c r="BR38" s="138"/>
      <c r="BS38" s="9"/>
      <c r="BT38" s="21"/>
      <c r="BU38" s="10"/>
      <c r="BV38" s="11"/>
      <c r="BW38" s="138"/>
      <c r="BX38" s="9"/>
      <c r="BY38" s="21"/>
      <c r="BZ38" s="10"/>
      <c r="CA38" s="11"/>
      <c r="CB38" s="135"/>
      <c r="CC38" s="9"/>
      <c r="CD38" s="21"/>
      <c r="CE38" s="10"/>
      <c r="CF38" s="11"/>
      <c r="CG38" s="135"/>
      <c r="CH38" s="9"/>
      <c r="CI38" s="21"/>
      <c r="CJ38" s="10"/>
      <c r="CK38" s="11"/>
      <c r="CL38" s="19"/>
      <c r="CM38" s="9"/>
      <c r="CN38" s="21"/>
      <c r="CO38" s="10"/>
      <c r="CP38" s="11"/>
      <c r="CQ38" s="19"/>
      <c r="CR38" s="9"/>
      <c r="CS38" s="21"/>
      <c r="CT38" s="10"/>
      <c r="CU38" s="11"/>
      <c r="CV38" s="137"/>
    </row>
    <row r="39" spans="1:100" s="8" customFormat="1" ht="15" customHeight="1">
      <c r="A39" s="9"/>
      <c r="B39" s="26"/>
      <c r="C39" s="10"/>
      <c r="D39" s="11"/>
      <c r="E39" s="138"/>
      <c r="F39" s="9"/>
      <c r="G39" s="26"/>
      <c r="H39" s="10"/>
      <c r="I39" s="11"/>
      <c r="J39" s="138"/>
      <c r="K39" s="9"/>
      <c r="L39" s="26"/>
      <c r="M39" s="10"/>
      <c r="N39" s="11"/>
      <c r="O39" s="138"/>
      <c r="P39" s="9"/>
      <c r="Q39" s="26"/>
      <c r="R39" s="10"/>
      <c r="S39" s="11"/>
      <c r="T39" s="138"/>
      <c r="U39" s="9"/>
      <c r="V39" s="26"/>
      <c r="W39" s="10"/>
      <c r="X39" s="11"/>
      <c r="Y39" s="138"/>
      <c r="Z39" s="9"/>
      <c r="AA39" s="26"/>
      <c r="AB39" s="10"/>
      <c r="AC39" s="11"/>
      <c r="AD39" s="138"/>
      <c r="AE39" s="9"/>
      <c r="AF39" s="26"/>
      <c r="AG39" s="10"/>
      <c r="AH39" s="11"/>
      <c r="AI39" s="135"/>
      <c r="AJ39" s="9"/>
      <c r="AK39" s="26"/>
      <c r="AL39" s="10"/>
      <c r="AM39" s="11"/>
      <c r="AN39" s="135"/>
      <c r="AO39" s="9"/>
      <c r="AP39" s="26"/>
      <c r="AQ39" s="10"/>
      <c r="AR39" s="11"/>
      <c r="AS39" s="50"/>
      <c r="AT39" s="9"/>
      <c r="AU39" s="26"/>
      <c r="AV39" s="10"/>
      <c r="AW39" s="11"/>
      <c r="AX39" s="135"/>
      <c r="AY39" s="9"/>
      <c r="AZ39" s="26"/>
      <c r="BA39" s="10"/>
      <c r="BB39" s="11"/>
      <c r="BC39" s="50"/>
      <c r="BD39" s="203"/>
      <c r="BE39" s="204"/>
      <c r="BF39" s="205"/>
      <c r="BG39" s="206"/>
      <c r="BH39" s="207"/>
      <c r="BI39" s="9"/>
      <c r="BJ39" s="26"/>
      <c r="BK39" s="10"/>
      <c r="BL39" s="11"/>
      <c r="BM39" s="50"/>
      <c r="BN39" s="9"/>
      <c r="BO39" s="26"/>
      <c r="BP39" s="10"/>
      <c r="BQ39" s="11"/>
      <c r="BR39" s="194"/>
      <c r="BS39" s="9"/>
      <c r="BT39" s="26"/>
      <c r="BU39" s="10"/>
      <c r="BV39" s="11"/>
      <c r="BW39" s="135"/>
      <c r="BX39" s="9"/>
      <c r="BY39" s="26"/>
      <c r="BZ39" s="10"/>
      <c r="CA39" s="11"/>
      <c r="CB39" s="138"/>
      <c r="CC39" s="9"/>
      <c r="CD39" s="26"/>
      <c r="CE39" s="10"/>
      <c r="CF39" s="11"/>
      <c r="CG39" s="7"/>
      <c r="CH39" s="9"/>
      <c r="CI39" s="26"/>
      <c r="CJ39" s="10"/>
      <c r="CK39" s="11"/>
      <c r="CL39" s="19"/>
      <c r="CM39" s="9"/>
      <c r="CN39" s="26"/>
      <c r="CO39" s="10"/>
      <c r="CP39" s="11"/>
      <c r="CQ39" s="19"/>
      <c r="CR39" s="9"/>
      <c r="CS39" s="26"/>
      <c r="CT39" s="10"/>
      <c r="CU39" s="11"/>
      <c r="CV39" s="137"/>
    </row>
    <row r="40" spans="1:100" s="8" customFormat="1" ht="15" customHeight="1">
      <c r="A40" s="20"/>
      <c r="B40" s="26"/>
      <c r="C40" s="10"/>
      <c r="D40" s="11"/>
      <c r="E40" s="138"/>
      <c r="F40" s="20"/>
      <c r="G40" s="26"/>
      <c r="H40" s="10"/>
      <c r="I40" s="11"/>
      <c r="J40" s="138"/>
      <c r="K40" s="20"/>
      <c r="L40" s="26"/>
      <c r="M40" s="10"/>
      <c r="N40" s="11"/>
      <c r="O40" s="138"/>
      <c r="P40" s="20"/>
      <c r="Q40" s="26"/>
      <c r="R40" s="10"/>
      <c r="S40" s="11"/>
      <c r="T40" s="138"/>
      <c r="U40" s="20"/>
      <c r="V40" s="26"/>
      <c r="W40" s="10"/>
      <c r="X40" s="11"/>
      <c r="Y40" s="138"/>
      <c r="Z40" s="20"/>
      <c r="AA40" s="26"/>
      <c r="AB40" s="10"/>
      <c r="AC40" s="11"/>
      <c r="AD40" s="50"/>
      <c r="AE40" s="20"/>
      <c r="AF40" s="26"/>
      <c r="AG40" s="10"/>
      <c r="AH40" s="11"/>
      <c r="AI40" s="50"/>
      <c r="AJ40" s="20"/>
      <c r="AK40" s="26"/>
      <c r="AL40" s="10"/>
      <c r="AM40" s="11"/>
      <c r="AN40" s="50"/>
      <c r="AO40" s="20"/>
      <c r="AP40" s="26"/>
      <c r="AQ40" s="10"/>
      <c r="AR40" s="11"/>
      <c r="AS40" s="135"/>
      <c r="AT40" s="20"/>
      <c r="AU40" s="26"/>
      <c r="AV40" s="10"/>
      <c r="AW40" s="11"/>
      <c r="AX40" s="135"/>
      <c r="AY40" s="20"/>
      <c r="AZ40" s="26"/>
      <c r="BA40" s="10"/>
      <c r="BB40" s="11"/>
      <c r="BC40" s="7"/>
      <c r="BD40" s="20"/>
      <c r="BE40" s="26"/>
      <c r="BF40" s="10"/>
      <c r="BG40" s="11"/>
      <c r="BH40" s="50"/>
      <c r="BI40" s="20"/>
      <c r="BJ40" s="26"/>
      <c r="BK40" s="10"/>
      <c r="BL40" s="11"/>
      <c r="BM40" s="50"/>
      <c r="BN40" s="20"/>
      <c r="BO40" s="26"/>
      <c r="BP40" s="10"/>
      <c r="BQ40" s="11"/>
      <c r="BR40" s="135"/>
      <c r="BS40" s="20"/>
      <c r="BT40" s="26"/>
      <c r="BU40" s="10"/>
      <c r="BV40" s="11"/>
      <c r="BW40" s="135"/>
      <c r="BX40" s="20"/>
      <c r="BY40" s="26"/>
      <c r="BZ40" s="10"/>
      <c r="CA40" s="11"/>
      <c r="CB40" s="135"/>
      <c r="CC40" s="20"/>
      <c r="CD40" s="26"/>
      <c r="CE40" s="10"/>
      <c r="CF40" s="11"/>
      <c r="CG40" s="15"/>
      <c r="CH40" s="20"/>
      <c r="CI40" s="26"/>
      <c r="CJ40" s="10"/>
      <c r="CK40" s="11"/>
      <c r="CL40" s="19"/>
      <c r="CM40" s="20"/>
      <c r="CN40" s="26"/>
      <c r="CO40" s="10"/>
      <c r="CP40" s="11"/>
      <c r="CQ40" s="19"/>
      <c r="CR40" s="20"/>
      <c r="CS40" s="26"/>
      <c r="CT40" s="10"/>
      <c r="CU40" s="11"/>
      <c r="CV40" s="137"/>
    </row>
    <row r="41" spans="1:100" s="8" customFormat="1" ht="15" customHeight="1" thickBot="1">
      <c r="A41" s="16"/>
      <c r="B41" s="28"/>
      <c r="C41" s="17"/>
      <c r="D41" s="18"/>
      <c r="E41" s="138"/>
      <c r="F41" s="16"/>
      <c r="G41" s="28"/>
      <c r="H41" s="17"/>
      <c r="I41" s="18"/>
      <c r="J41" s="138"/>
      <c r="K41" s="16"/>
      <c r="L41" s="28"/>
      <c r="M41" s="17"/>
      <c r="N41" s="18"/>
      <c r="O41" s="138"/>
      <c r="P41" s="16"/>
      <c r="Q41" s="28"/>
      <c r="R41" s="17"/>
      <c r="S41" s="18"/>
      <c r="T41" s="138"/>
      <c r="U41" s="16"/>
      <c r="V41" s="28"/>
      <c r="W41" s="17"/>
      <c r="X41" s="18"/>
      <c r="Y41" s="138"/>
      <c r="Z41" s="16"/>
      <c r="AA41" s="28"/>
      <c r="AB41" s="17"/>
      <c r="AC41" s="18"/>
      <c r="AD41" s="138"/>
      <c r="AE41" s="16"/>
      <c r="AF41" s="28"/>
      <c r="AG41" s="17"/>
      <c r="AH41" s="18"/>
      <c r="AI41" s="7"/>
      <c r="AJ41" s="16"/>
      <c r="AK41" s="28"/>
      <c r="AL41" s="17"/>
      <c r="AM41" s="18"/>
      <c r="AN41" s="135"/>
      <c r="AO41" s="16"/>
      <c r="AP41" s="28"/>
      <c r="AQ41" s="17"/>
      <c r="AR41" s="18"/>
      <c r="AS41" s="7"/>
      <c r="AT41" s="16"/>
      <c r="AU41" s="28"/>
      <c r="AV41" s="17"/>
      <c r="AW41" s="18"/>
      <c r="AX41" s="7"/>
      <c r="AY41" s="16"/>
      <c r="AZ41" s="28"/>
      <c r="BA41" s="17"/>
      <c r="BB41" s="18"/>
      <c r="BC41" s="7"/>
      <c r="BD41" s="16"/>
      <c r="BE41" s="28"/>
      <c r="BF41" s="17"/>
      <c r="BG41" s="18"/>
      <c r="BH41" s="19"/>
      <c r="BI41" s="16"/>
      <c r="BJ41" s="28"/>
      <c r="BK41" s="17"/>
      <c r="BL41" s="18"/>
      <c r="BM41" s="50"/>
      <c r="BN41" s="16"/>
      <c r="BO41" s="28"/>
      <c r="BP41" s="17"/>
      <c r="BQ41" s="18"/>
      <c r="BR41" s="135"/>
      <c r="BS41" s="16"/>
      <c r="BT41" s="28"/>
      <c r="BU41" s="17"/>
      <c r="BV41" s="18"/>
      <c r="BW41" s="135"/>
      <c r="BX41" s="16"/>
      <c r="BY41" s="28"/>
      <c r="BZ41" s="17"/>
      <c r="CA41" s="18"/>
      <c r="CB41" s="7"/>
      <c r="CC41" s="16"/>
      <c r="CD41" s="28"/>
      <c r="CE41" s="17"/>
      <c r="CF41" s="18"/>
      <c r="CG41" s="135"/>
      <c r="CH41" s="16"/>
      <c r="CI41" s="28"/>
      <c r="CJ41" s="17"/>
      <c r="CK41" s="18"/>
      <c r="CL41" s="7"/>
      <c r="CM41" s="16"/>
      <c r="CN41" s="28"/>
      <c r="CO41" s="17"/>
      <c r="CP41" s="18"/>
      <c r="CQ41" s="7"/>
      <c r="CR41" s="16"/>
      <c r="CS41" s="28"/>
      <c r="CT41" s="17"/>
      <c r="CU41" s="18"/>
      <c r="CV41" s="136"/>
    </row>
    <row r="42" spans="1:100" s="8" customFormat="1" ht="15" customHeight="1" thickTop="1">
      <c r="A42" s="4"/>
      <c r="B42" s="29"/>
      <c r="C42" s="5"/>
      <c r="D42" s="6"/>
      <c r="E42" s="7"/>
      <c r="F42" s="4"/>
      <c r="G42" s="29"/>
      <c r="H42" s="5"/>
      <c r="I42" s="6"/>
      <c r="J42" s="138"/>
      <c r="K42" s="4"/>
      <c r="L42" s="29"/>
      <c r="M42" s="5"/>
      <c r="N42" s="6"/>
      <c r="O42" s="138"/>
      <c r="P42" s="4"/>
      <c r="Q42" s="29"/>
      <c r="R42" s="5"/>
      <c r="S42" s="6"/>
      <c r="T42" s="138"/>
      <c r="U42" s="4"/>
      <c r="V42" s="29"/>
      <c r="W42" s="5"/>
      <c r="X42" s="6"/>
      <c r="Y42" s="7"/>
      <c r="Z42" s="4"/>
      <c r="AA42" s="29"/>
      <c r="AB42" s="5"/>
      <c r="AC42" s="6"/>
      <c r="AD42" s="138"/>
      <c r="AE42" s="4"/>
      <c r="AF42" s="29"/>
      <c r="AG42" s="5"/>
      <c r="AH42" s="6"/>
      <c r="AI42" s="7"/>
      <c r="AJ42" s="4"/>
      <c r="AK42" s="29"/>
      <c r="AL42" s="5"/>
      <c r="AM42" s="6"/>
      <c r="AN42" s="135"/>
      <c r="AO42" s="4"/>
      <c r="AP42" s="29"/>
      <c r="AQ42" s="5"/>
      <c r="AR42" s="6"/>
      <c r="AS42" s="7"/>
      <c r="AT42" s="4"/>
      <c r="AU42" s="29"/>
      <c r="AV42" s="5"/>
      <c r="AW42" s="6"/>
      <c r="AX42" s="7"/>
      <c r="AY42" s="4"/>
      <c r="AZ42" s="29"/>
      <c r="BA42" s="5"/>
      <c r="BB42" s="6"/>
      <c r="BC42" s="7"/>
      <c r="BD42" s="4"/>
      <c r="BE42" s="29"/>
      <c r="BF42" s="5"/>
      <c r="BG42" s="6"/>
      <c r="BH42" s="7"/>
      <c r="BI42" s="4"/>
      <c r="BJ42" s="29"/>
      <c r="BK42" s="5"/>
      <c r="BL42" s="6"/>
      <c r="BM42" s="50"/>
      <c r="BN42" s="4"/>
      <c r="BO42" s="29"/>
      <c r="BP42" s="5"/>
      <c r="BQ42" s="6"/>
      <c r="BR42" s="7"/>
      <c r="BS42" s="4"/>
      <c r="BT42" s="29"/>
      <c r="BU42" s="5"/>
      <c r="BV42" s="6"/>
      <c r="BW42" s="7"/>
      <c r="BX42" s="4"/>
      <c r="BY42" s="29"/>
      <c r="BZ42" s="5"/>
      <c r="CA42" s="6"/>
      <c r="CB42" s="7"/>
      <c r="CC42" s="4"/>
      <c r="CD42" s="29"/>
      <c r="CE42" s="5"/>
      <c r="CF42" s="6"/>
      <c r="CG42" s="135"/>
      <c r="CH42" s="4"/>
      <c r="CI42" s="29"/>
      <c r="CJ42" s="5"/>
      <c r="CK42" s="6"/>
      <c r="CL42" s="7"/>
      <c r="CM42" s="4"/>
      <c r="CN42" s="29"/>
      <c r="CO42" s="5"/>
      <c r="CP42" s="6"/>
      <c r="CQ42" s="7"/>
      <c r="CR42" s="4"/>
      <c r="CS42" s="29"/>
      <c r="CT42" s="5"/>
      <c r="CU42" s="6"/>
      <c r="CV42" s="136"/>
    </row>
    <row r="43" spans="1:100" s="8" customFormat="1" ht="15" customHeight="1">
      <c r="A43" s="9"/>
      <c r="B43" s="26"/>
      <c r="C43" s="10"/>
      <c r="D43" s="11"/>
      <c r="E43" s="7"/>
      <c r="F43" s="9"/>
      <c r="G43" s="26"/>
      <c r="H43" s="10"/>
      <c r="I43" s="11"/>
      <c r="J43" s="7"/>
      <c r="K43" s="9"/>
      <c r="L43" s="26"/>
      <c r="M43" s="10"/>
      <c r="N43" s="11"/>
      <c r="O43" s="19"/>
      <c r="P43" s="9"/>
      <c r="Q43" s="26"/>
      <c r="R43" s="10"/>
      <c r="S43" s="11"/>
      <c r="T43" s="7"/>
      <c r="U43" s="9"/>
      <c r="V43" s="26"/>
      <c r="W43" s="10"/>
      <c r="X43" s="11"/>
      <c r="Y43" s="7"/>
      <c r="Z43" s="9"/>
      <c r="AA43" s="26"/>
      <c r="AB43" s="10"/>
      <c r="AC43" s="11"/>
      <c r="AD43" s="138"/>
      <c r="AE43" s="9"/>
      <c r="AF43" s="26"/>
      <c r="AG43" s="10"/>
      <c r="AH43" s="11"/>
      <c r="AI43" s="7"/>
      <c r="AJ43" s="9"/>
      <c r="AK43" s="26"/>
      <c r="AL43" s="10"/>
      <c r="AM43" s="11"/>
      <c r="AN43" s="7"/>
      <c r="AO43" s="9"/>
      <c r="AP43" s="26"/>
      <c r="AQ43" s="10"/>
      <c r="AR43" s="11"/>
      <c r="AS43" s="7"/>
      <c r="AT43" s="9"/>
      <c r="AU43" s="26"/>
      <c r="AV43" s="10"/>
      <c r="AW43" s="11"/>
      <c r="AX43" s="7"/>
      <c r="AY43" s="9"/>
      <c r="AZ43" s="26"/>
      <c r="BA43" s="10"/>
      <c r="BB43" s="11"/>
      <c r="BC43" s="7"/>
      <c r="BD43" s="9"/>
      <c r="BE43" s="26"/>
      <c r="BF43" s="10"/>
      <c r="BG43" s="11"/>
      <c r="BH43" s="7"/>
      <c r="BI43" s="9"/>
      <c r="BJ43" s="26"/>
      <c r="BK43" s="10"/>
      <c r="BL43" s="11"/>
      <c r="BM43" s="7"/>
      <c r="BN43" s="9"/>
      <c r="BO43" s="26"/>
      <c r="BP43" s="10"/>
      <c r="BQ43" s="11"/>
      <c r="BR43" s="7"/>
      <c r="BS43" s="9"/>
      <c r="BT43" s="26"/>
      <c r="BU43" s="10"/>
      <c r="BV43" s="11"/>
      <c r="BW43" s="7"/>
      <c r="BX43" s="9"/>
      <c r="BY43" s="26"/>
      <c r="BZ43" s="10"/>
      <c r="CA43" s="11"/>
      <c r="CB43" s="7"/>
      <c r="CC43" s="9"/>
      <c r="CD43" s="26"/>
      <c r="CE43" s="10"/>
      <c r="CF43" s="11"/>
      <c r="CG43" s="7"/>
      <c r="CH43" s="9"/>
      <c r="CI43" s="26"/>
      <c r="CJ43" s="10"/>
      <c r="CK43" s="11"/>
      <c r="CL43" s="7"/>
      <c r="CM43" s="9"/>
      <c r="CN43" s="26"/>
      <c r="CO43" s="10"/>
      <c r="CP43" s="11"/>
      <c r="CQ43" s="7"/>
      <c r="CR43" s="9"/>
      <c r="CS43" s="26"/>
      <c r="CT43" s="10"/>
      <c r="CU43" s="11"/>
      <c r="CV43" s="136"/>
    </row>
    <row r="44" spans="1:100" s="8" customFormat="1" ht="15" customHeight="1">
      <c r="A44" s="9"/>
      <c r="B44" s="30"/>
      <c r="C44" s="10"/>
      <c r="D44" s="11"/>
      <c r="E44" s="7"/>
      <c r="F44" s="9"/>
      <c r="G44" s="30"/>
      <c r="H44" s="10"/>
      <c r="I44" s="11"/>
      <c r="J44" s="7"/>
      <c r="K44" s="9"/>
      <c r="L44" s="30"/>
      <c r="M44" s="10"/>
      <c r="N44" s="11"/>
      <c r="O44" s="7"/>
      <c r="P44" s="9"/>
      <c r="Q44" s="30"/>
      <c r="R44" s="10"/>
      <c r="S44" s="11"/>
      <c r="T44" s="7"/>
      <c r="U44" s="9"/>
      <c r="V44" s="30"/>
      <c r="W44" s="10"/>
      <c r="X44" s="11"/>
      <c r="Y44" s="7"/>
      <c r="Z44" s="9"/>
      <c r="AA44" s="30"/>
      <c r="AB44" s="10"/>
      <c r="AC44" s="11"/>
      <c r="AD44" s="7"/>
      <c r="AE44" s="9"/>
      <c r="AF44" s="30"/>
      <c r="AG44" s="10"/>
      <c r="AH44" s="11"/>
      <c r="AI44" s="7"/>
      <c r="AJ44" s="9"/>
      <c r="AK44" s="30"/>
      <c r="AL44" s="10"/>
      <c r="AM44" s="11"/>
      <c r="AN44" s="7"/>
      <c r="AO44" s="9"/>
      <c r="AP44" s="30"/>
      <c r="AQ44" s="10"/>
      <c r="AR44" s="11"/>
      <c r="AS44" s="7"/>
      <c r="AT44" s="9"/>
      <c r="AU44" s="30"/>
      <c r="AV44" s="10"/>
      <c r="AW44" s="11"/>
      <c r="AX44" s="7"/>
      <c r="AY44" s="9"/>
      <c r="AZ44" s="30"/>
      <c r="BA44" s="10"/>
      <c r="BB44" s="11"/>
      <c r="BC44" s="7"/>
      <c r="BD44" s="9"/>
      <c r="BE44" s="30"/>
      <c r="BF44" s="10"/>
      <c r="BG44" s="11"/>
      <c r="BH44" s="7"/>
      <c r="BI44" s="9"/>
      <c r="BJ44" s="30"/>
      <c r="BK44" s="10"/>
      <c r="BL44" s="11"/>
      <c r="BM44" s="7"/>
      <c r="BN44" s="9"/>
      <c r="BO44" s="30"/>
      <c r="BP44" s="10"/>
      <c r="BQ44" s="11"/>
      <c r="BR44" s="7"/>
      <c r="BS44" s="9"/>
      <c r="BT44" s="30"/>
      <c r="BU44" s="10"/>
      <c r="BV44" s="11"/>
      <c r="BW44" s="7"/>
      <c r="BX44" s="9"/>
      <c r="BY44" s="30"/>
      <c r="BZ44" s="10"/>
      <c r="CA44" s="11"/>
      <c r="CB44" s="7"/>
      <c r="CC44" s="9"/>
      <c r="CD44" s="30"/>
      <c r="CE44" s="10"/>
      <c r="CF44" s="11"/>
      <c r="CG44" s="7"/>
      <c r="CH44" s="9"/>
      <c r="CI44" s="30"/>
      <c r="CJ44" s="10"/>
      <c r="CK44" s="11"/>
      <c r="CL44" s="7"/>
      <c r="CM44" s="9"/>
      <c r="CN44" s="30"/>
      <c r="CO44" s="10"/>
      <c r="CP44" s="11"/>
      <c r="CQ44" s="7"/>
      <c r="CR44" s="9"/>
      <c r="CS44" s="30"/>
      <c r="CT44" s="10"/>
      <c r="CU44" s="11"/>
      <c r="CV44" s="136"/>
    </row>
    <row r="45" spans="1:100" s="8" customFormat="1" ht="15" customHeight="1">
      <c r="A45" s="12"/>
      <c r="B45" s="31"/>
      <c r="C45" s="13"/>
      <c r="D45" s="14"/>
      <c r="E45" s="7"/>
      <c r="F45" s="12"/>
      <c r="G45" s="31"/>
      <c r="H45" s="13"/>
      <c r="I45" s="14"/>
      <c r="J45" s="7"/>
      <c r="K45" s="12"/>
      <c r="L45" s="31"/>
      <c r="M45" s="13"/>
      <c r="N45" s="14"/>
      <c r="O45" s="7"/>
      <c r="P45" s="12"/>
      <c r="Q45" s="31"/>
      <c r="R45" s="13"/>
      <c r="S45" s="14"/>
      <c r="T45" s="7"/>
      <c r="U45" s="12"/>
      <c r="V45" s="31"/>
      <c r="W45" s="13"/>
      <c r="X45" s="14"/>
      <c r="Y45" s="7"/>
      <c r="Z45" s="12"/>
      <c r="AA45" s="31"/>
      <c r="AB45" s="13"/>
      <c r="AC45" s="14"/>
      <c r="AD45" s="7"/>
      <c r="AE45" s="12"/>
      <c r="AF45" s="31"/>
      <c r="AG45" s="13"/>
      <c r="AH45" s="14"/>
      <c r="AI45" s="7"/>
      <c r="AJ45" s="12"/>
      <c r="AK45" s="31"/>
      <c r="AL45" s="13"/>
      <c r="AM45" s="14"/>
      <c r="AN45" s="7"/>
      <c r="AO45" s="12"/>
      <c r="AP45" s="31"/>
      <c r="AQ45" s="13"/>
      <c r="AR45" s="14"/>
      <c r="AS45" s="7"/>
      <c r="AT45" s="12"/>
      <c r="AU45" s="31"/>
      <c r="AV45" s="13"/>
      <c r="AW45" s="14"/>
      <c r="AX45" s="7"/>
      <c r="AY45" s="12"/>
      <c r="AZ45" s="31"/>
      <c r="BA45" s="13"/>
      <c r="BB45" s="14"/>
      <c r="BC45" s="7"/>
      <c r="BD45" s="12"/>
      <c r="BE45" s="31"/>
      <c r="BF45" s="13"/>
      <c r="BG45" s="14"/>
      <c r="BH45" s="7"/>
      <c r="BI45" s="12"/>
      <c r="BJ45" s="31"/>
      <c r="BK45" s="13"/>
      <c r="BL45" s="14"/>
      <c r="BM45" s="7"/>
      <c r="BN45" s="12"/>
      <c r="BO45" s="31"/>
      <c r="BP45" s="13"/>
      <c r="BQ45" s="14"/>
      <c r="BR45" s="7"/>
      <c r="BS45" s="12"/>
      <c r="BT45" s="31"/>
      <c r="BU45" s="13"/>
      <c r="BV45" s="14"/>
      <c r="BW45" s="7"/>
      <c r="BX45" s="12"/>
      <c r="BY45" s="31"/>
      <c r="BZ45" s="13"/>
      <c r="CA45" s="14"/>
      <c r="CB45" s="7"/>
      <c r="CC45" s="12"/>
      <c r="CD45" s="31"/>
      <c r="CE45" s="13"/>
      <c r="CF45" s="14"/>
      <c r="CG45" s="7"/>
      <c r="CH45" s="12"/>
      <c r="CI45" s="31"/>
      <c r="CJ45" s="13"/>
      <c r="CK45" s="14"/>
      <c r="CL45" s="7"/>
      <c r="CM45" s="12"/>
      <c r="CN45" s="31"/>
      <c r="CO45" s="13"/>
      <c r="CP45" s="14"/>
      <c r="CQ45" s="7"/>
      <c r="CR45" s="12"/>
      <c r="CS45" s="31"/>
      <c r="CT45" s="13"/>
      <c r="CU45" s="14"/>
      <c r="CV45" s="136"/>
    </row>
    <row r="46" spans="1:100" s="8" customFormat="1" ht="15" customHeight="1" thickBot="1">
      <c r="A46" s="16"/>
      <c r="B46" s="28"/>
      <c r="C46" s="17"/>
      <c r="D46" s="18"/>
      <c r="E46" s="7"/>
      <c r="F46" s="16"/>
      <c r="G46" s="28"/>
      <c r="H46" s="17"/>
      <c r="I46" s="18"/>
      <c r="J46" s="15"/>
      <c r="K46" s="16"/>
      <c r="L46" s="28"/>
      <c r="M46" s="17"/>
      <c r="N46" s="18"/>
      <c r="O46" s="15"/>
      <c r="P46" s="16"/>
      <c r="Q46" s="28"/>
      <c r="R46" s="17"/>
      <c r="S46" s="18"/>
      <c r="T46" s="15"/>
      <c r="U46" s="16"/>
      <c r="V46" s="28"/>
      <c r="W46" s="17"/>
      <c r="X46" s="18"/>
      <c r="Y46" s="15"/>
      <c r="Z46" s="16"/>
      <c r="AA46" s="28"/>
      <c r="AB46" s="17"/>
      <c r="AC46" s="18"/>
      <c r="AD46" s="15"/>
      <c r="AE46" s="16"/>
      <c r="AF46" s="28"/>
      <c r="AG46" s="17"/>
      <c r="AH46" s="18"/>
      <c r="AI46" s="7"/>
      <c r="AJ46" s="16"/>
      <c r="AK46" s="28"/>
      <c r="AL46" s="17"/>
      <c r="AM46" s="18"/>
      <c r="AN46" s="7"/>
      <c r="AO46" s="16"/>
      <c r="AP46" s="28"/>
      <c r="AQ46" s="17"/>
      <c r="AR46" s="18"/>
      <c r="AS46" s="7"/>
      <c r="AT46" s="16"/>
      <c r="AU46" s="28"/>
      <c r="AV46" s="17"/>
      <c r="AW46" s="18"/>
      <c r="AX46" s="7"/>
      <c r="AY46" s="16"/>
      <c r="AZ46" s="28"/>
      <c r="BA46" s="17"/>
      <c r="BB46" s="18"/>
      <c r="BC46" s="7"/>
      <c r="BD46" s="16"/>
      <c r="BE46" s="28"/>
      <c r="BF46" s="17"/>
      <c r="BG46" s="18"/>
      <c r="BH46" s="7"/>
      <c r="BI46" s="16"/>
      <c r="BJ46" s="28"/>
      <c r="BK46" s="17"/>
      <c r="BL46" s="18"/>
      <c r="BM46" s="15"/>
      <c r="BN46" s="16"/>
      <c r="BO46" s="28"/>
      <c r="BP46" s="17"/>
      <c r="BQ46" s="18"/>
      <c r="BR46" s="15"/>
      <c r="BS46" s="16"/>
      <c r="BT46" s="28"/>
      <c r="BU46" s="17"/>
      <c r="BV46" s="18"/>
      <c r="BW46" s="7"/>
      <c r="BX46" s="16"/>
      <c r="BY46" s="28"/>
      <c r="BZ46" s="17"/>
      <c r="CA46" s="18"/>
      <c r="CB46" s="7"/>
      <c r="CC46" s="16"/>
      <c r="CD46" s="28"/>
      <c r="CE46" s="17"/>
      <c r="CF46" s="18"/>
      <c r="CG46" s="7"/>
      <c r="CH46" s="16"/>
      <c r="CI46" s="28"/>
      <c r="CJ46" s="17"/>
      <c r="CK46" s="18"/>
      <c r="CL46" s="7"/>
      <c r="CM46" s="16"/>
      <c r="CN46" s="28"/>
      <c r="CO46" s="17"/>
      <c r="CP46" s="18"/>
      <c r="CQ46" s="7"/>
      <c r="CR46" s="16"/>
      <c r="CS46" s="28"/>
      <c r="CT46" s="17"/>
      <c r="CU46" s="18"/>
      <c r="CV46" s="136"/>
    </row>
    <row r="47" spans="1:100" s="24" customFormat="1" ht="15" customHeight="1" thickTop="1">
      <c r="A47" s="58"/>
      <c r="B47" s="59"/>
      <c r="C47" s="22" t="s">
        <v>43</v>
      </c>
      <c r="D47" s="59">
        <f>COUNTIF(D$2:D$46,C47)</f>
        <v>29</v>
      </c>
      <c r="E47" s="23"/>
      <c r="F47" s="58"/>
      <c r="G47" s="59"/>
      <c r="H47" s="22" t="s">
        <v>43</v>
      </c>
      <c r="I47" s="59">
        <f>COUNTIF(I$2:I$46,H47)</f>
        <v>28</v>
      </c>
      <c r="J47" s="23"/>
      <c r="K47" s="58"/>
      <c r="L47" s="59"/>
      <c r="M47" s="22" t="s">
        <v>43</v>
      </c>
      <c r="N47" s="59">
        <f>COUNTIF(N$2:N$46,M47)</f>
        <v>29</v>
      </c>
      <c r="O47" s="23"/>
      <c r="P47" s="58"/>
      <c r="Q47" s="59"/>
      <c r="R47" s="22" t="s">
        <v>43</v>
      </c>
      <c r="S47" s="59">
        <f>COUNTIF(S$2:S$46,R47)</f>
        <v>26</v>
      </c>
      <c r="T47" s="56"/>
      <c r="U47" s="58"/>
      <c r="V47" s="59"/>
      <c r="W47" s="22" t="s">
        <v>43</v>
      </c>
      <c r="X47" s="59">
        <f>COUNTIF(X$2:X$46,W47)</f>
        <v>29</v>
      </c>
      <c r="Y47" s="23"/>
      <c r="Z47" s="58"/>
      <c r="AA47" s="59"/>
      <c r="AB47" s="22" t="s">
        <v>43</v>
      </c>
      <c r="AC47" s="59">
        <f>COUNTIF(AC$2:AC$46,AB47)</f>
        <v>32</v>
      </c>
      <c r="AD47" s="23"/>
      <c r="AE47" s="58"/>
      <c r="AF47" s="59"/>
      <c r="AG47" s="22" t="s">
        <v>43</v>
      </c>
      <c r="AH47" s="59">
        <f>COUNTIF(AH$2:AH$46,AG47)</f>
        <v>35</v>
      </c>
      <c r="AI47" s="23"/>
      <c r="AJ47" s="58"/>
      <c r="AK47" s="59"/>
      <c r="AL47" s="22" t="s">
        <v>43</v>
      </c>
      <c r="AM47" s="59">
        <f>COUNTIF(AM$2:AM$46,AL47)</f>
        <v>36</v>
      </c>
      <c r="AN47" s="23"/>
      <c r="AO47" s="58"/>
      <c r="AP47" s="59"/>
      <c r="AQ47" s="22" t="s">
        <v>43</v>
      </c>
      <c r="AR47" s="59">
        <f>COUNTIF(AR$2:AR$46,AQ47)</f>
        <v>29</v>
      </c>
      <c r="AS47" s="23"/>
      <c r="AT47" s="58"/>
      <c r="AU47" s="59"/>
      <c r="AV47" s="22" t="s">
        <v>43</v>
      </c>
      <c r="AW47" s="59">
        <f>COUNTIF(AW$2:AW$46,AV47)</f>
        <v>29</v>
      </c>
      <c r="AX47" s="23"/>
      <c r="AY47" s="58"/>
      <c r="AZ47" s="59"/>
      <c r="BA47" s="22" t="s">
        <v>43</v>
      </c>
      <c r="BB47" s="59">
        <f>COUNTIF(BB$2:BB$46,BA47)</f>
        <v>29</v>
      </c>
      <c r="BC47" s="23"/>
      <c r="BD47" s="58"/>
      <c r="BE47" s="59"/>
      <c r="BF47" s="22" t="s">
        <v>43</v>
      </c>
      <c r="BG47" s="59">
        <f>COUNTIF(BG$2:BG$46,BF47)</f>
        <v>29</v>
      </c>
      <c r="BH47" s="23"/>
      <c r="BI47" s="58"/>
      <c r="BJ47" s="59"/>
      <c r="BK47" s="22" t="s">
        <v>43</v>
      </c>
      <c r="BL47" s="59">
        <f>COUNTIF(BL$2:BL$46,BK47)</f>
        <v>27</v>
      </c>
      <c r="BM47" s="23"/>
      <c r="BN47" s="58"/>
      <c r="BO47" s="59"/>
      <c r="BP47" s="22" t="s">
        <v>43</v>
      </c>
      <c r="BQ47" s="59">
        <f>COUNTIF(BQ$2:BQ$46,BP47)</f>
        <v>30</v>
      </c>
      <c r="BR47" s="23"/>
      <c r="BS47" s="58"/>
      <c r="BT47" s="59"/>
      <c r="BU47" s="22" t="s">
        <v>43</v>
      </c>
      <c r="BV47" s="59">
        <f>COUNTIF(BV$2:BV$46,BU47)</f>
        <v>34</v>
      </c>
      <c r="BW47" s="23"/>
      <c r="BX47" s="58"/>
      <c r="BY47" s="59"/>
      <c r="BZ47" s="22" t="s">
        <v>43</v>
      </c>
      <c r="CA47" s="59">
        <f>COUNTIF(CA$2:CA$46,BZ47)</f>
        <v>16</v>
      </c>
      <c r="CB47" s="23"/>
      <c r="CC47" s="58"/>
      <c r="CD47" s="59"/>
      <c r="CE47" s="22" t="s">
        <v>43</v>
      </c>
      <c r="CF47" s="59">
        <f>COUNTIF(CF$2:CF$46,CE47)</f>
        <v>17</v>
      </c>
      <c r="CG47" s="23"/>
      <c r="CH47" s="58"/>
      <c r="CI47" s="59"/>
      <c r="CJ47" s="22" t="s">
        <v>43</v>
      </c>
      <c r="CK47" s="59">
        <f>COUNTIF(CK$2:CK$46,CJ47)</f>
        <v>8</v>
      </c>
      <c r="CL47" s="23"/>
      <c r="CM47" s="58"/>
      <c r="CN47" s="59"/>
      <c r="CO47" s="22" t="s">
        <v>43</v>
      </c>
      <c r="CP47" s="59">
        <f>COUNTIF(CP$2:CP$46,CO47)</f>
        <v>12</v>
      </c>
      <c r="CR47" s="195"/>
      <c r="CS47" s="196"/>
      <c r="CT47" s="197" t="s">
        <v>59</v>
      </c>
      <c r="CU47" s="59">
        <f>COUNTIF(CU$2:CU$46,CT47)</f>
        <v>20</v>
      </c>
      <c r="CV47" s="24">
        <f>SUM(D47:CU47)</f>
        <v>524</v>
      </c>
    </row>
    <row r="48" spans="1:100" s="24" customFormat="1" ht="15" customHeight="1">
      <c r="A48" s="58"/>
      <c r="B48" s="59"/>
      <c r="C48" s="60" t="s">
        <v>44</v>
      </c>
      <c r="D48" s="59">
        <f>COUNTIF(D$2:D$46,C48)</f>
        <v>4</v>
      </c>
      <c r="E48" s="61"/>
      <c r="F48" s="58"/>
      <c r="G48" s="59"/>
      <c r="H48" s="60" t="s">
        <v>44</v>
      </c>
      <c r="I48" s="59">
        <f>COUNTIF(I$2:I$46,H48)</f>
        <v>3</v>
      </c>
      <c r="J48" s="61"/>
      <c r="K48" s="58"/>
      <c r="L48" s="59"/>
      <c r="M48" s="60" t="s">
        <v>44</v>
      </c>
      <c r="N48" s="59">
        <f>COUNTIF(N$2:N$46,M48)</f>
        <v>4</v>
      </c>
      <c r="O48" s="61"/>
      <c r="P48" s="58"/>
      <c r="Q48" s="59"/>
      <c r="R48" s="60" t="s">
        <v>44</v>
      </c>
      <c r="S48" s="59">
        <f>COUNTIF(S$2:S$46,R48)</f>
        <v>5</v>
      </c>
      <c r="T48" s="56"/>
      <c r="U48" s="58"/>
      <c r="V48" s="59"/>
      <c r="W48" s="60" t="s">
        <v>44</v>
      </c>
      <c r="X48" s="59">
        <f>COUNTIF(X$2:X$46,W48)</f>
        <v>5</v>
      </c>
      <c r="Y48" s="61"/>
      <c r="Z48" s="58"/>
      <c r="AA48" s="59"/>
      <c r="AB48" s="60" t="s">
        <v>44</v>
      </c>
      <c r="AC48" s="59">
        <f>COUNTIF(AC$2:AC$46,AB48)</f>
        <v>0</v>
      </c>
      <c r="AD48" s="61"/>
      <c r="AE48" s="58"/>
      <c r="AF48" s="59"/>
      <c r="AG48" s="60" t="s">
        <v>44</v>
      </c>
      <c r="AH48" s="59">
        <f>COUNTIF(AH$2:AH$46,AG48)</f>
        <v>0</v>
      </c>
      <c r="AI48" s="61"/>
      <c r="AJ48" s="58"/>
      <c r="AK48" s="59"/>
      <c r="AL48" s="60" t="s">
        <v>44</v>
      </c>
      <c r="AM48" s="59">
        <f>COUNTIF(AM$2:AM$46,AL48)</f>
        <v>0</v>
      </c>
      <c r="AN48" s="61"/>
      <c r="AO48" s="58"/>
      <c r="AP48" s="59"/>
      <c r="AQ48" s="60" t="s">
        <v>44</v>
      </c>
      <c r="AR48" s="59">
        <f>COUNTIF(AR$2:AR$46,AQ48)</f>
        <v>5</v>
      </c>
      <c r="AS48" s="61"/>
      <c r="AT48" s="58"/>
      <c r="AU48" s="59"/>
      <c r="AV48" s="60" t="s">
        <v>44</v>
      </c>
      <c r="AW48" s="59">
        <f>COUNTIF(AW$2:AW$46,AV48)</f>
        <v>5</v>
      </c>
      <c r="AX48" s="61"/>
      <c r="AY48" s="58"/>
      <c r="AZ48" s="59"/>
      <c r="BA48" s="60" t="s">
        <v>44</v>
      </c>
      <c r="BB48" s="59">
        <f>COUNTIF(BB$2:BB$46,BA48)</f>
        <v>5</v>
      </c>
      <c r="BC48" s="61"/>
      <c r="BD48" s="58"/>
      <c r="BE48" s="59"/>
      <c r="BF48" s="60" t="s">
        <v>44</v>
      </c>
      <c r="BG48" s="59">
        <f>COUNTIF(BG$2:BG$46,BF48)</f>
        <v>3</v>
      </c>
      <c r="BH48" s="61"/>
      <c r="BI48" s="58"/>
      <c r="BJ48" s="59"/>
      <c r="BK48" s="60" t="s">
        <v>44</v>
      </c>
      <c r="BL48" s="59">
        <f>COUNTIF(BL$2:BL$46,BK48)</f>
        <v>2</v>
      </c>
      <c r="BM48" s="61"/>
      <c r="BN48" s="58"/>
      <c r="BO48" s="59"/>
      <c r="BP48" s="60" t="s">
        <v>44</v>
      </c>
      <c r="BQ48" s="59">
        <f>COUNTIF(BQ$2:BQ$46,BP48)</f>
        <v>3</v>
      </c>
      <c r="BR48" s="61"/>
      <c r="BS48" s="58"/>
      <c r="BT48" s="59"/>
      <c r="BU48" s="60" t="s">
        <v>44</v>
      </c>
      <c r="BV48" s="59">
        <f>COUNTIF(BV$2:BV$46,BU48)</f>
        <v>0</v>
      </c>
      <c r="BW48" s="61"/>
      <c r="BX48" s="58"/>
      <c r="BY48" s="59"/>
      <c r="BZ48" s="60" t="s">
        <v>44</v>
      </c>
      <c r="CA48" s="59">
        <f>COUNTIF(CA$2:CA$46,BZ48)</f>
        <v>16</v>
      </c>
      <c r="CB48" s="61"/>
      <c r="CC48" s="58"/>
      <c r="CD48" s="59"/>
      <c r="CE48" s="60" t="s">
        <v>44</v>
      </c>
      <c r="CF48" s="59">
        <f>COUNTIF(CF$2:CF$46,CE48)</f>
        <v>15</v>
      </c>
      <c r="CG48" s="61"/>
      <c r="CH48" s="58"/>
      <c r="CI48" s="59"/>
      <c r="CJ48" s="60" t="s">
        <v>44</v>
      </c>
      <c r="CK48" s="59">
        <f>COUNTIF(CK$2:CK$46,CJ48)</f>
        <v>2</v>
      </c>
      <c r="CL48" s="61"/>
      <c r="CM48" s="58"/>
      <c r="CN48" s="59"/>
      <c r="CO48" s="60" t="s">
        <v>44</v>
      </c>
      <c r="CP48" s="59">
        <f>COUNTIF(CP$2:CP$46,CO48)</f>
        <v>1</v>
      </c>
      <c r="CR48" s="195"/>
      <c r="CS48" s="196"/>
      <c r="CT48" s="198" t="s">
        <v>60</v>
      </c>
      <c r="CU48" s="59">
        <f>COUNTIF(CU$2:CU$46,CT48)</f>
        <v>4</v>
      </c>
      <c r="CV48" s="24">
        <f>SUM(D48:CU48)</f>
        <v>82</v>
      </c>
    </row>
    <row r="49" spans="1:100" s="24" customFormat="1" ht="15" customHeight="1">
      <c r="A49" s="58"/>
      <c r="B49" s="59"/>
      <c r="C49" s="60" t="s">
        <v>45</v>
      </c>
      <c r="D49" s="59">
        <f>SUM(D47:D48)</f>
        <v>33</v>
      </c>
      <c r="E49" s="61"/>
      <c r="F49" s="58"/>
      <c r="G49" s="59"/>
      <c r="H49" s="60" t="s">
        <v>45</v>
      </c>
      <c r="I49" s="59">
        <f>SUM(I47:I48)</f>
        <v>31</v>
      </c>
      <c r="J49" s="61"/>
      <c r="K49" s="58"/>
      <c r="L49" s="59"/>
      <c r="M49" s="60" t="s">
        <v>45</v>
      </c>
      <c r="N49" s="59">
        <f>SUM(N47:N48)</f>
        <v>33</v>
      </c>
      <c r="O49" s="61"/>
      <c r="P49" s="58"/>
      <c r="Q49" s="59"/>
      <c r="R49" s="60" t="s">
        <v>45</v>
      </c>
      <c r="S49" s="59">
        <f>SUM(S47:S48)</f>
        <v>31</v>
      </c>
      <c r="T49" s="56"/>
      <c r="U49" s="58"/>
      <c r="V49" s="59"/>
      <c r="W49" s="60" t="s">
        <v>45</v>
      </c>
      <c r="X49" s="59">
        <f>SUM(X47:X48)</f>
        <v>34</v>
      </c>
      <c r="Y49" s="61"/>
      <c r="Z49" s="58"/>
      <c r="AA49" s="59"/>
      <c r="AB49" s="60" t="s">
        <v>45</v>
      </c>
      <c r="AC49" s="59">
        <f>SUM(AC47:AC48)</f>
        <v>32</v>
      </c>
      <c r="AD49" s="61"/>
      <c r="AE49" s="58"/>
      <c r="AF49" s="59"/>
      <c r="AG49" s="60" t="s">
        <v>45</v>
      </c>
      <c r="AH49" s="59">
        <f>SUM(AH47:AH48)</f>
        <v>35</v>
      </c>
      <c r="AI49" s="61"/>
      <c r="AJ49" s="58"/>
      <c r="AK49" s="59"/>
      <c r="AL49" s="60" t="s">
        <v>45</v>
      </c>
      <c r="AM49" s="59">
        <f>SUM(AM47:AM48)</f>
        <v>36</v>
      </c>
      <c r="AN49" s="61"/>
      <c r="AO49" s="58"/>
      <c r="AP49" s="59"/>
      <c r="AQ49" s="60" t="s">
        <v>45</v>
      </c>
      <c r="AR49" s="59">
        <f>SUM(AR47:AR48)</f>
        <v>34</v>
      </c>
      <c r="AS49" s="61"/>
      <c r="AT49" s="58"/>
      <c r="AU49" s="59"/>
      <c r="AV49" s="60" t="s">
        <v>45</v>
      </c>
      <c r="AW49" s="59">
        <f>SUM(AW47:AW48)</f>
        <v>34</v>
      </c>
      <c r="AX49" s="61"/>
      <c r="AY49" s="58"/>
      <c r="AZ49" s="59"/>
      <c r="BA49" s="60" t="s">
        <v>45</v>
      </c>
      <c r="BB49" s="59">
        <f>SUM(BB47:BB48)</f>
        <v>34</v>
      </c>
      <c r="BC49" s="61"/>
      <c r="BD49" s="58"/>
      <c r="BE49" s="59"/>
      <c r="BF49" s="60" t="s">
        <v>45</v>
      </c>
      <c r="BG49" s="59">
        <f>SUM(BG47:BG48)</f>
        <v>32</v>
      </c>
      <c r="BH49" s="61"/>
      <c r="BI49" s="58"/>
      <c r="BJ49" s="59"/>
      <c r="BK49" s="60" t="s">
        <v>45</v>
      </c>
      <c r="BL49" s="59">
        <f>SUM(BL47:BL48)</f>
        <v>29</v>
      </c>
      <c r="BM49" s="61"/>
      <c r="BN49" s="58"/>
      <c r="BO49" s="59"/>
      <c r="BP49" s="60" t="s">
        <v>45</v>
      </c>
      <c r="BQ49" s="59">
        <f>SUM(BQ47:BQ48)</f>
        <v>33</v>
      </c>
      <c r="BR49" s="61"/>
      <c r="BS49" s="58"/>
      <c r="BT49" s="59"/>
      <c r="BU49" s="60" t="s">
        <v>45</v>
      </c>
      <c r="BV49" s="59">
        <f>SUM(BV47:BV48)</f>
        <v>34</v>
      </c>
      <c r="BW49" s="61"/>
      <c r="BX49" s="58"/>
      <c r="BY49" s="59"/>
      <c r="BZ49" s="60" t="s">
        <v>45</v>
      </c>
      <c r="CA49" s="59">
        <f>SUM(CA47:CA48)</f>
        <v>32</v>
      </c>
      <c r="CB49" s="61"/>
      <c r="CC49" s="58"/>
      <c r="CD49" s="59"/>
      <c r="CE49" s="60" t="s">
        <v>45</v>
      </c>
      <c r="CF49" s="59">
        <f>SUM(CF47:CF48)</f>
        <v>32</v>
      </c>
      <c r="CG49" s="61"/>
      <c r="CH49" s="58"/>
      <c r="CI49" s="59"/>
      <c r="CJ49" s="60" t="s">
        <v>45</v>
      </c>
      <c r="CK49" s="59">
        <f>SUM(CK47:CK48)</f>
        <v>10</v>
      </c>
      <c r="CL49" s="61"/>
      <c r="CM49" s="58"/>
      <c r="CN49" s="59"/>
      <c r="CO49" s="60" t="s">
        <v>45</v>
      </c>
      <c r="CP49" s="59">
        <f>SUM(CP47:CP48)</f>
        <v>13</v>
      </c>
      <c r="CR49" s="195"/>
      <c r="CS49" s="196"/>
      <c r="CT49" s="198" t="s">
        <v>642</v>
      </c>
      <c r="CU49" s="59">
        <f>SUM(CU47:CU48)</f>
        <v>24</v>
      </c>
      <c r="CV49" s="24">
        <f>SUM(D49:CU49)</f>
        <v>606</v>
      </c>
    </row>
    <row r="50" spans="1:100" ht="15.75" customHeight="1">
      <c r="D50" s="55"/>
      <c r="I50" s="170"/>
      <c r="N50" s="170"/>
      <c r="S50" s="170"/>
      <c r="X50" s="170"/>
      <c r="AC50" s="170"/>
      <c r="AH50" s="170"/>
      <c r="AM50" s="170"/>
      <c r="AR50" s="170"/>
      <c r="AW50" s="170"/>
      <c r="BB50" s="170"/>
      <c r="BG50" s="170"/>
      <c r="BL50" s="170"/>
      <c r="BQ50" s="170"/>
      <c r="BV50" s="170"/>
      <c r="CA50" s="170"/>
      <c r="CF50" s="170"/>
      <c r="CK50" s="170"/>
      <c r="CP50" s="170"/>
      <c r="CU50" s="59"/>
    </row>
    <row r="51" spans="1:100" ht="15.75" customHeight="1">
      <c r="A51" s="118"/>
      <c r="B51" s="118"/>
      <c r="C51" s="119"/>
      <c r="D51" s="119"/>
      <c r="E51" s="42"/>
      <c r="F51" s="118"/>
      <c r="G51" s="118"/>
      <c r="K51" s="63"/>
      <c r="L51" s="46"/>
      <c r="M51" s="22"/>
      <c r="N51" s="22"/>
      <c r="O51" s="56"/>
      <c r="P51" s="118"/>
      <c r="Q51" s="118"/>
      <c r="R51" s="119"/>
      <c r="S51" s="119"/>
      <c r="T51" s="42"/>
      <c r="U51" s="118"/>
      <c r="V51" s="118"/>
      <c r="W51" s="119"/>
      <c r="X51" s="119"/>
      <c r="Y51" s="42"/>
      <c r="BD51" s="118"/>
      <c r="BE51" s="118"/>
      <c r="BF51" s="119"/>
      <c r="BG51" s="119"/>
      <c r="BH51" s="42"/>
      <c r="BM51" s="42"/>
      <c r="BN51" s="118"/>
      <c r="BO51" s="118"/>
      <c r="BP51" s="168"/>
      <c r="BQ51" s="119"/>
      <c r="BR51" s="119"/>
      <c r="BS51" s="119"/>
      <c r="BT51" s="119"/>
      <c r="BU51" s="119"/>
      <c r="BV51" s="119"/>
      <c r="BW51" s="15"/>
      <c r="BX51" s="118"/>
      <c r="BY51" s="118"/>
      <c r="BZ51" s="119"/>
    </row>
    <row r="52" spans="1:100" ht="15.75" customHeight="1">
      <c r="A52" s="118"/>
      <c r="B52" s="70"/>
      <c r="C52" s="22"/>
      <c r="D52" s="22"/>
      <c r="E52" s="56"/>
      <c r="F52" s="118"/>
      <c r="G52" s="118"/>
      <c r="J52" s="42"/>
      <c r="K52" s="37"/>
      <c r="L52" s="72"/>
      <c r="M52" s="22"/>
      <c r="N52" s="22"/>
      <c r="O52" s="15"/>
      <c r="P52" s="118"/>
      <c r="Q52" s="118"/>
      <c r="R52" s="119"/>
      <c r="S52" s="119"/>
      <c r="T52" s="42"/>
      <c r="U52" s="118"/>
      <c r="V52" s="46"/>
      <c r="W52" s="22"/>
      <c r="X52" s="22"/>
      <c r="Y52" s="56"/>
      <c r="Z52" s="118"/>
      <c r="AA52" s="46"/>
      <c r="AB52" s="22"/>
      <c r="AC52" s="22"/>
      <c r="AD52" s="56"/>
      <c r="AE52" s="118"/>
      <c r="AF52" s="118"/>
      <c r="AG52" s="119"/>
      <c r="AK52" s="47"/>
      <c r="AL52" s="22"/>
      <c r="AM52" s="22"/>
      <c r="AN52" s="56"/>
      <c r="AY52" s="118"/>
      <c r="AZ52" s="46"/>
      <c r="BA52" s="22"/>
      <c r="BB52" s="22"/>
      <c r="BC52" s="15"/>
      <c r="BD52" s="118"/>
      <c r="BE52" s="46"/>
      <c r="BF52" s="22"/>
      <c r="BG52" s="22"/>
      <c r="BH52" s="15"/>
      <c r="BJ52" s="118"/>
      <c r="BK52" s="119"/>
      <c r="BL52" s="119"/>
      <c r="BM52" s="42"/>
      <c r="BN52" s="118"/>
      <c r="BO52" s="37"/>
      <c r="BP52" s="128"/>
      <c r="BQ52" s="40"/>
      <c r="BS52" s="37"/>
      <c r="BT52" s="47"/>
      <c r="BU52" s="22"/>
      <c r="BV52" s="22"/>
      <c r="BW52" s="15"/>
      <c r="BX52" s="41"/>
      <c r="BY52" s="37"/>
      <c r="BZ52" s="119"/>
    </row>
    <row r="53" spans="1:100" ht="15.75" customHeight="1">
      <c r="A53" s="118"/>
      <c r="B53" s="46"/>
      <c r="C53" s="22"/>
      <c r="D53" s="48"/>
      <c r="E53" s="56"/>
      <c r="F53" s="118"/>
      <c r="G53" s="118"/>
      <c r="J53" s="42"/>
      <c r="K53" s="118"/>
      <c r="L53" s="72"/>
      <c r="M53" s="22"/>
      <c r="N53" s="22"/>
      <c r="O53" s="15"/>
      <c r="P53" s="118"/>
      <c r="Q53" s="118"/>
      <c r="R53" s="119"/>
      <c r="S53" s="119"/>
      <c r="T53" s="42"/>
      <c r="U53" s="118"/>
      <c r="V53" s="37"/>
      <c r="W53" s="128"/>
      <c r="X53" s="40"/>
      <c r="Y53" s="129"/>
      <c r="Z53" s="37"/>
      <c r="AA53" s="46"/>
      <c r="AB53" s="22"/>
      <c r="AC53" s="22"/>
      <c r="AD53" s="56"/>
      <c r="AE53" s="41"/>
      <c r="AF53" s="37"/>
      <c r="AG53" s="119"/>
      <c r="AK53" s="46"/>
      <c r="AL53" s="22"/>
      <c r="AM53" s="22"/>
      <c r="AN53" s="56"/>
      <c r="AY53" s="118"/>
      <c r="AZ53" s="46"/>
      <c r="BA53" s="22"/>
      <c r="BB53" s="48"/>
      <c r="BC53" s="42"/>
      <c r="BD53" s="118"/>
      <c r="BE53" s="46"/>
      <c r="BF53" s="22"/>
      <c r="BG53" s="48"/>
      <c r="BH53" s="57"/>
      <c r="BJ53" s="118"/>
      <c r="BK53" s="46"/>
      <c r="BL53" s="22"/>
      <c r="BM53" s="48"/>
      <c r="BN53" s="15"/>
      <c r="BO53" s="118"/>
      <c r="BP53" s="119"/>
      <c r="BQ53" s="119"/>
      <c r="BR53" s="42"/>
      <c r="BS53" s="118"/>
      <c r="BT53" s="46"/>
      <c r="BU53" s="22"/>
      <c r="BV53" s="48"/>
      <c r="BW53" s="57"/>
      <c r="BX53" s="118"/>
      <c r="BY53" s="118"/>
      <c r="BZ53" s="119"/>
    </row>
    <row r="54" spans="1:100" ht="15.75" customHeight="1">
      <c r="J54" s="42"/>
      <c r="K54" s="118"/>
      <c r="L54" s="46"/>
      <c r="M54" s="22"/>
      <c r="N54" s="48"/>
      <c r="O54" s="56"/>
      <c r="P54" s="118"/>
      <c r="Q54" s="46"/>
      <c r="R54" s="22"/>
      <c r="S54" s="48"/>
      <c r="T54" s="56"/>
      <c r="U54" s="118"/>
      <c r="Z54" s="118"/>
      <c r="AA54" s="46"/>
      <c r="AB54" s="22"/>
      <c r="AC54" s="48"/>
      <c r="AD54" s="57"/>
      <c r="AK54" s="46"/>
      <c r="AL54" s="22"/>
      <c r="AM54" s="48"/>
      <c r="AN54" s="57"/>
      <c r="AY54" s="118"/>
      <c r="AZ54" s="46"/>
      <c r="BA54" s="22"/>
      <c r="BB54" s="48"/>
      <c r="BC54" s="42"/>
      <c r="BD54" s="118"/>
      <c r="BE54" s="47"/>
      <c r="BF54" s="22"/>
      <c r="BG54" s="48"/>
      <c r="BH54" s="56"/>
      <c r="BI54" s="118"/>
      <c r="BJ54" s="118"/>
      <c r="BK54" s="119"/>
      <c r="BS54" s="118"/>
      <c r="BT54" s="46"/>
      <c r="BU54" s="22"/>
      <c r="BV54" s="48"/>
      <c r="BW54" s="57"/>
      <c r="BX54" s="118"/>
      <c r="BY54" s="118"/>
      <c r="BZ54" s="119"/>
    </row>
    <row r="55" spans="1:100" ht="15.75" customHeight="1">
      <c r="J55" s="42"/>
      <c r="K55" s="118"/>
      <c r="L55" s="46"/>
      <c r="M55" s="22"/>
      <c r="N55" s="48"/>
      <c r="O55" s="56"/>
      <c r="P55" s="118"/>
      <c r="Q55" s="46"/>
      <c r="R55" s="22"/>
      <c r="S55" s="48"/>
      <c r="T55" s="56"/>
      <c r="U55" s="118"/>
      <c r="Z55" s="118"/>
      <c r="AA55" s="47"/>
      <c r="AB55" s="22"/>
      <c r="AC55" s="48"/>
      <c r="AD55" s="57"/>
      <c r="AK55" s="46"/>
      <c r="AL55" s="22"/>
      <c r="AM55" s="22"/>
      <c r="AN55" s="56"/>
      <c r="AY55" s="118"/>
      <c r="AZ55" s="46"/>
      <c r="BA55" s="22"/>
      <c r="BB55" s="48"/>
      <c r="BC55" s="42"/>
      <c r="BD55" s="118"/>
      <c r="BE55" s="47"/>
      <c r="BF55" s="22"/>
      <c r="BG55" s="48"/>
      <c r="BH55" s="56"/>
      <c r="BI55" s="118"/>
      <c r="BJ55" s="118"/>
      <c r="BK55" s="119"/>
      <c r="BS55" s="118"/>
      <c r="BT55" s="46"/>
      <c r="BU55" s="22"/>
      <c r="BV55" s="48"/>
      <c r="BW55" s="57"/>
      <c r="BX55" s="118"/>
      <c r="BY55" s="118"/>
      <c r="BZ55" s="119"/>
    </row>
    <row r="56" spans="1:100" ht="15.75" customHeight="1">
      <c r="J56" s="42"/>
      <c r="K56" s="118"/>
      <c r="L56" s="46"/>
      <c r="M56" s="22"/>
      <c r="N56" s="48"/>
      <c r="O56" s="56"/>
      <c r="P56" s="118"/>
      <c r="Q56" s="47"/>
      <c r="R56" s="22"/>
      <c r="S56" s="48"/>
      <c r="T56" s="56"/>
      <c r="U56" s="118"/>
      <c r="Z56" s="118"/>
      <c r="AA56" s="47"/>
      <c r="AB56" s="22"/>
      <c r="AC56" s="48"/>
      <c r="AD56" s="57"/>
      <c r="AK56" s="46"/>
      <c r="AL56" s="22"/>
      <c r="AM56" s="48"/>
      <c r="AN56" s="57"/>
      <c r="AY56" s="118"/>
      <c r="AZ56" s="46"/>
      <c r="BA56" s="22"/>
      <c r="BB56" s="48"/>
      <c r="BC56" s="42"/>
      <c r="BD56" s="118"/>
      <c r="BE56" s="46"/>
      <c r="BF56" s="22"/>
      <c r="BG56" s="48"/>
      <c r="BH56" s="57"/>
      <c r="BI56" s="118"/>
      <c r="BJ56" s="118"/>
      <c r="BK56" s="119"/>
      <c r="BS56" s="118"/>
      <c r="BT56" s="46"/>
      <c r="BU56" s="22"/>
      <c r="BV56" s="48"/>
      <c r="BW56" s="57"/>
      <c r="BX56" s="118"/>
      <c r="BY56" s="118"/>
      <c r="BZ56" s="119"/>
    </row>
    <row r="57" spans="1:100" ht="15.75" customHeight="1">
      <c r="J57" s="42"/>
      <c r="K57" s="118"/>
      <c r="L57" s="47"/>
      <c r="M57" s="22"/>
      <c r="N57" s="48"/>
      <c r="O57" s="56"/>
      <c r="P57" s="118"/>
      <c r="Q57" s="46"/>
      <c r="R57" s="22"/>
      <c r="S57" s="48"/>
      <c r="T57" s="56"/>
      <c r="U57" s="118"/>
      <c r="Z57" s="118"/>
      <c r="AA57" s="46"/>
      <c r="AB57" s="22"/>
      <c r="AC57" s="48"/>
      <c r="AD57" s="57"/>
      <c r="AK57" s="46"/>
      <c r="AL57" s="22"/>
      <c r="AM57" s="48"/>
      <c r="AN57" s="57"/>
      <c r="AY57" s="118"/>
      <c r="AZ57" s="47"/>
      <c r="BA57" s="22"/>
      <c r="BB57" s="48"/>
      <c r="BC57" s="42"/>
      <c r="BD57" s="118"/>
      <c r="BE57" s="46"/>
      <c r="BF57" s="22"/>
      <c r="BG57" s="48"/>
      <c r="BH57" s="57"/>
      <c r="BI57" s="118"/>
      <c r="BJ57" s="118"/>
      <c r="BK57" s="119"/>
      <c r="BS57" s="118"/>
      <c r="BT57" s="46"/>
      <c r="BU57" s="22"/>
      <c r="BV57" s="48"/>
      <c r="BW57" s="57"/>
      <c r="BX57" s="118"/>
      <c r="BY57" s="118"/>
      <c r="BZ57" s="119"/>
    </row>
    <row r="58" spans="1:100" ht="15.75" customHeight="1">
      <c r="J58" s="42"/>
      <c r="K58" s="118"/>
      <c r="L58" s="46"/>
      <c r="M58" s="22"/>
      <c r="N58" s="48"/>
      <c r="O58" s="56"/>
      <c r="P58" s="118"/>
      <c r="Q58" s="46"/>
      <c r="R58" s="22"/>
      <c r="S58" s="48"/>
      <c r="T58" s="56"/>
      <c r="U58" s="118"/>
      <c r="Z58" s="118"/>
      <c r="AA58" s="46"/>
      <c r="AB58" s="22"/>
      <c r="AC58" s="48"/>
      <c r="AD58" s="57"/>
      <c r="AK58" s="46"/>
      <c r="AL58" s="22"/>
      <c r="AM58" s="48"/>
      <c r="AN58" s="57"/>
      <c r="AY58" s="118"/>
      <c r="AZ58" s="46"/>
      <c r="BA58" s="22"/>
      <c r="BB58" s="48"/>
      <c r="BC58" s="42"/>
      <c r="BD58" s="118"/>
      <c r="BE58" s="46"/>
      <c r="BF58" s="22"/>
      <c r="BG58" s="48"/>
      <c r="BH58" s="57"/>
      <c r="BI58" s="118"/>
      <c r="BJ58" s="118"/>
      <c r="BK58" s="119"/>
      <c r="BS58" s="118"/>
      <c r="BT58" s="47"/>
      <c r="BU58" s="22"/>
      <c r="BV58" s="48"/>
      <c r="BW58" s="57"/>
      <c r="BX58" s="118"/>
      <c r="BY58" s="118"/>
      <c r="BZ58" s="119"/>
    </row>
    <row r="59" spans="1:100" ht="15.75" customHeight="1">
      <c r="J59" s="42"/>
      <c r="K59" s="118"/>
      <c r="L59" s="46"/>
      <c r="M59" s="22"/>
      <c r="N59" s="48"/>
      <c r="O59" s="56"/>
      <c r="P59" s="118"/>
      <c r="Q59" s="47"/>
      <c r="R59" s="22"/>
      <c r="S59" s="48"/>
      <c r="T59" s="56"/>
      <c r="U59" s="118"/>
      <c r="Z59" s="118"/>
      <c r="AA59" s="46"/>
      <c r="AB59" s="22"/>
      <c r="AC59" s="48"/>
      <c r="AD59" s="57"/>
      <c r="AK59" s="47"/>
      <c r="AL59" s="22"/>
      <c r="AM59" s="48"/>
      <c r="AN59" s="57"/>
      <c r="AY59" s="118"/>
      <c r="AZ59" s="46"/>
      <c r="BA59" s="22"/>
      <c r="BB59" s="48"/>
      <c r="BC59" s="42"/>
      <c r="BD59" s="118"/>
      <c r="BE59" s="47"/>
      <c r="BF59" s="22"/>
      <c r="BG59" s="48"/>
      <c r="BH59" s="56"/>
      <c r="BI59" s="118"/>
      <c r="BJ59" s="118"/>
      <c r="BK59" s="119"/>
      <c r="BS59" s="118"/>
      <c r="BT59" s="47"/>
      <c r="BU59" s="22"/>
      <c r="BV59" s="48"/>
      <c r="BW59" s="56"/>
      <c r="BX59" s="118"/>
      <c r="BY59" s="118"/>
      <c r="BZ59" s="119"/>
    </row>
    <row r="60" spans="1:100" ht="15.75" customHeight="1">
      <c r="J60" s="42"/>
      <c r="K60" s="118"/>
      <c r="L60" s="47"/>
      <c r="M60" s="22"/>
      <c r="N60" s="48"/>
      <c r="O60" s="56"/>
      <c r="P60" s="118"/>
      <c r="Q60" s="47"/>
      <c r="R60" s="22"/>
      <c r="S60" s="48"/>
      <c r="T60" s="56"/>
      <c r="U60" s="118"/>
      <c r="Z60" s="118"/>
      <c r="AA60" s="47"/>
      <c r="AB60" s="22"/>
      <c r="AC60" s="48"/>
      <c r="AD60" s="57"/>
      <c r="AK60" s="46"/>
      <c r="AL60" s="22"/>
      <c r="AM60" s="48"/>
      <c r="AN60" s="57"/>
      <c r="AY60" s="118"/>
      <c r="AZ60" s="118"/>
      <c r="BA60" s="119"/>
      <c r="BB60" s="119"/>
      <c r="BC60" s="42"/>
      <c r="BD60" s="118"/>
      <c r="BE60" s="47"/>
      <c r="BF60" s="22"/>
      <c r="BG60" s="48"/>
      <c r="BH60" s="56"/>
      <c r="BI60" s="118"/>
      <c r="BJ60" s="118"/>
      <c r="BK60" s="119"/>
      <c r="BS60" s="118"/>
      <c r="BT60" s="46"/>
      <c r="BU60" s="22"/>
      <c r="BV60" s="48"/>
      <c r="BW60" s="57"/>
      <c r="BX60" s="118"/>
      <c r="BY60" s="118"/>
      <c r="BZ60" s="119"/>
    </row>
    <row r="61" spans="1:100" ht="15.75" customHeight="1">
      <c r="J61" s="42"/>
      <c r="K61" s="118"/>
      <c r="L61" s="47"/>
      <c r="M61" s="22"/>
      <c r="N61" s="48"/>
      <c r="O61" s="56"/>
      <c r="P61" s="118"/>
      <c r="Q61" s="46"/>
      <c r="R61" s="22"/>
      <c r="S61" s="48"/>
      <c r="T61" s="56"/>
      <c r="U61" s="118"/>
      <c r="Z61" s="118"/>
      <c r="AA61" s="47"/>
      <c r="AB61" s="22"/>
      <c r="AC61" s="48"/>
      <c r="AD61" s="57"/>
      <c r="AK61" s="46"/>
      <c r="AL61" s="22"/>
      <c r="AM61" s="48"/>
      <c r="AN61" s="57"/>
      <c r="BD61" s="118"/>
      <c r="BE61" s="46"/>
      <c r="BF61" s="22"/>
      <c r="BG61" s="48"/>
      <c r="BH61" s="56"/>
      <c r="BI61" s="118"/>
      <c r="BJ61" s="118"/>
      <c r="BK61" s="119"/>
      <c r="BS61" s="118"/>
      <c r="BT61" s="46"/>
      <c r="BU61" s="22"/>
      <c r="BV61" s="48"/>
      <c r="BW61" s="57"/>
      <c r="BX61" s="118"/>
      <c r="BY61" s="118"/>
      <c r="BZ61" s="119"/>
    </row>
    <row r="62" spans="1:100" ht="15.75" customHeight="1">
      <c r="J62" s="42"/>
      <c r="K62" s="118"/>
      <c r="L62" s="46"/>
      <c r="M62" s="22"/>
      <c r="N62" s="48"/>
      <c r="O62" s="56"/>
      <c r="P62" s="118"/>
      <c r="Q62" s="46"/>
      <c r="R62" s="22"/>
      <c r="S62" s="48"/>
      <c r="T62" s="56"/>
      <c r="U62" s="118"/>
      <c r="Z62" s="118"/>
      <c r="AA62" s="46"/>
      <c r="AB62" s="22"/>
      <c r="AC62" s="48"/>
      <c r="AD62" s="57"/>
      <c r="AK62" s="46"/>
      <c r="AL62" s="22"/>
      <c r="AM62" s="48"/>
      <c r="AN62" s="57"/>
      <c r="BD62" s="118"/>
      <c r="BE62" s="46"/>
      <c r="BF62" s="22"/>
      <c r="BG62" s="48"/>
      <c r="BH62" s="56"/>
      <c r="BI62" s="118"/>
      <c r="BJ62" s="118"/>
      <c r="BK62" s="119"/>
      <c r="BS62" s="118"/>
      <c r="BT62" s="46"/>
      <c r="BU62" s="22"/>
      <c r="BV62" s="48"/>
      <c r="BW62" s="56"/>
      <c r="BX62" s="118"/>
      <c r="BY62" s="118"/>
      <c r="BZ62" s="119"/>
    </row>
    <row r="63" spans="1:100" ht="15.75" customHeight="1">
      <c r="J63" s="42"/>
      <c r="K63" s="118"/>
      <c r="L63" s="46"/>
      <c r="M63" s="22"/>
      <c r="N63" s="48"/>
      <c r="O63" s="56"/>
      <c r="P63" s="118"/>
      <c r="Q63" s="46"/>
      <c r="R63" s="22"/>
      <c r="S63" s="48"/>
      <c r="T63" s="56"/>
      <c r="U63" s="118"/>
      <c r="Z63" s="118"/>
      <c r="AA63" s="46"/>
      <c r="AB63" s="22"/>
      <c r="AC63" s="48"/>
      <c r="AD63" s="57"/>
      <c r="AK63" s="47"/>
      <c r="AL63" s="22"/>
      <c r="AM63" s="48"/>
      <c r="AN63" s="57"/>
      <c r="BD63" s="118"/>
      <c r="BE63" s="46"/>
      <c r="BF63" s="22"/>
      <c r="BG63" s="48"/>
      <c r="BH63" s="56"/>
      <c r="BI63" s="118"/>
      <c r="BJ63" s="118"/>
      <c r="BK63" s="119"/>
      <c r="BS63" s="118"/>
      <c r="BT63" s="46"/>
      <c r="BU63" s="22"/>
      <c r="BV63" s="48"/>
      <c r="BW63" s="57"/>
      <c r="BX63" s="118"/>
      <c r="BY63" s="118"/>
      <c r="BZ63" s="119"/>
    </row>
    <row r="64" spans="1:100" ht="15.75" customHeight="1">
      <c r="J64" s="42"/>
      <c r="K64" s="118"/>
      <c r="L64" s="46"/>
      <c r="M64" s="22"/>
      <c r="N64" s="48"/>
      <c r="O64" s="56"/>
      <c r="P64" s="118"/>
      <c r="Q64" s="47"/>
      <c r="R64" s="22"/>
      <c r="S64" s="48"/>
      <c r="T64" s="56"/>
      <c r="U64" s="118"/>
      <c r="Z64" s="118"/>
      <c r="AA64" s="46"/>
      <c r="AB64" s="22"/>
      <c r="AC64" s="48"/>
      <c r="AD64" s="57"/>
      <c r="AK64" s="47"/>
      <c r="AL64" s="22"/>
      <c r="AM64" s="48"/>
      <c r="AN64" s="57"/>
      <c r="BD64" s="118"/>
      <c r="BE64" s="47"/>
      <c r="BF64" s="22"/>
      <c r="BG64" s="48"/>
      <c r="BH64" s="57"/>
      <c r="BI64" s="118"/>
      <c r="BJ64" s="118"/>
      <c r="BK64" s="119"/>
      <c r="BS64" s="118"/>
      <c r="BT64" s="118"/>
      <c r="BU64" s="119"/>
      <c r="BV64" s="119"/>
      <c r="BW64" s="42"/>
      <c r="BX64" s="118"/>
      <c r="BY64" s="118"/>
      <c r="BZ64" s="119"/>
    </row>
    <row r="65" spans="10:78" ht="15.75" customHeight="1">
      <c r="J65" s="42"/>
      <c r="K65" s="118"/>
      <c r="L65" s="47"/>
      <c r="M65" s="22"/>
      <c r="N65" s="48"/>
      <c r="O65" s="56"/>
      <c r="P65" s="118"/>
      <c r="Q65" s="47"/>
      <c r="R65" s="22"/>
      <c r="S65" s="48"/>
      <c r="T65" s="56"/>
      <c r="U65" s="118"/>
      <c r="Z65" s="118"/>
      <c r="AA65" s="47"/>
      <c r="AB65" s="22"/>
      <c r="AC65" s="48"/>
      <c r="AD65" s="57"/>
      <c r="AK65" s="46"/>
      <c r="AL65" s="22"/>
      <c r="AM65" s="48"/>
      <c r="AN65" s="57"/>
      <c r="BD65" s="118"/>
      <c r="BE65" s="46"/>
      <c r="BF65" s="22"/>
      <c r="BG65" s="48"/>
      <c r="BH65" s="57"/>
      <c r="BI65" s="118"/>
      <c r="BJ65" s="118"/>
      <c r="BK65" s="119"/>
      <c r="BS65" s="118"/>
      <c r="BT65" s="118"/>
      <c r="BU65" s="119"/>
      <c r="BV65" s="119"/>
      <c r="BW65" s="42"/>
      <c r="BX65" s="118"/>
      <c r="BY65" s="118"/>
      <c r="BZ65" s="119"/>
    </row>
    <row r="66" spans="10:78" ht="15.75" customHeight="1">
      <c r="J66" s="42"/>
      <c r="K66" s="118"/>
      <c r="L66" s="47"/>
      <c r="M66" s="22"/>
      <c r="N66" s="48"/>
      <c r="O66" s="56"/>
      <c r="P66" s="118"/>
      <c r="Q66" s="46"/>
      <c r="R66" s="22"/>
      <c r="S66" s="48"/>
      <c r="T66" s="56"/>
      <c r="U66" s="118"/>
      <c r="Z66" s="118"/>
      <c r="AA66" s="47"/>
      <c r="AB66" s="22"/>
      <c r="AC66" s="48"/>
      <c r="AD66" s="57"/>
      <c r="AK66" s="46"/>
      <c r="AL66" s="22"/>
      <c r="AM66" s="48"/>
      <c r="AN66" s="57"/>
      <c r="BD66" s="118"/>
      <c r="BE66" s="46"/>
      <c r="BF66" s="22"/>
      <c r="BG66" s="48"/>
      <c r="BH66" s="57"/>
      <c r="BI66" s="118"/>
      <c r="BJ66" s="118"/>
      <c r="BK66" s="119"/>
      <c r="BS66" s="118"/>
      <c r="BT66" s="118"/>
      <c r="BU66" s="119"/>
      <c r="BV66" s="119"/>
      <c r="BW66" s="42"/>
      <c r="BX66" s="118"/>
      <c r="BY66" s="118"/>
      <c r="BZ66" s="119"/>
    </row>
    <row r="67" spans="10:78" ht="15.75" customHeight="1">
      <c r="J67" s="42"/>
      <c r="K67" s="118"/>
      <c r="L67" s="46"/>
      <c r="M67" s="22"/>
      <c r="N67" s="48"/>
      <c r="O67" s="56"/>
      <c r="P67" s="118"/>
      <c r="Q67" s="46"/>
      <c r="R67" s="22"/>
      <c r="S67" s="48"/>
      <c r="T67" s="56"/>
      <c r="U67" s="118"/>
      <c r="Z67" s="118"/>
      <c r="AA67" s="46"/>
      <c r="AB67" s="22"/>
      <c r="AC67" s="48"/>
      <c r="AD67" s="57"/>
      <c r="AK67" s="47"/>
      <c r="AL67" s="22"/>
      <c r="AM67" s="48"/>
      <c r="AN67" s="57"/>
      <c r="BD67" s="118"/>
      <c r="BE67" s="46"/>
      <c r="BF67" s="22"/>
      <c r="BG67" s="48"/>
      <c r="BH67" s="56"/>
      <c r="BI67" s="118"/>
      <c r="BJ67" s="118"/>
      <c r="BK67" s="119"/>
      <c r="BS67" s="118"/>
      <c r="BT67" s="118"/>
      <c r="BU67" s="119"/>
      <c r="BV67" s="119"/>
      <c r="BW67" s="42"/>
      <c r="BX67" s="118"/>
      <c r="BY67" s="118"/>
      <c r="BZ67" s="119"/>
    </row>
    <row r="68" spans="10:78" ht="15.75" customHeight="1">
      <c r="J68" s="42"/>
      <c r="K68" s="118"/>
      <c r="L68" s="46"/>
      <c r="M68" s="22"/>
      <c r="N68" s="48"/>
      <c r="O68" s="56"/>
      <c r="P68" s="118"/>
      <c r="Q68" s="46"/>
      <c r="R68" s="22"/>
      <c r="S68" s="48"/>
      <c r="T68" s="56"/>
      <c r="U68" s="118"/>
      <c r="Z68" s="118"/>
      <c r="AA68" s="46"/>
      <c r="AB68" s="22"/>
      <c r="AC68" s="48"/>
      <c r="AD68" s="57"/>
      <c r="AK68" s="46"/>
      <c r="AL68" s="22"/>
      <c r="AM68" s="22"/>
      <c r="AN68" s="56"/>
      <c r="BD68" s="118"/>
      <c r="BE68" s="47"/>
      <c r="BF68" s="22"/>
      <c r="BG68" s="48"/>
      <c r="BH68" s="57"/>
      <c r="BI68" s="118"/>
      <c r="BJ68" s="118"/>
      <c r="BK68" s="119"/>
    </row>
    <row r="69" spans="10:78" ht="15.75" customHeight="1">
      <c r="J69" s="42"/>
      <c r="K69" s="118"/>
      <c r="L69" s="46"/>
      <c r="M69" s="22"/>
      <c r="N69" s="48"/>
      <c r="O69" s="56"/>
      <c r="P69" s="118"/>
      <c r="Q69" s="47"/>
      <c r="R69" s="22"/>
      <c r="S69" s="48"/>
      <c r="T69" s="56"/>
      <c r="U69" s="118"/>
      <c r="Z69" s="118"/>
      <c r="AA69" s="46"/>
      <c r="AB69" s="22"/>
      <c r="AC69" s="48"/>
      <c r="AD69" s="57"/>
      <c r="AK69" s="47"/>
      <c r="AL69" s="22"/>
      <c r="AM69" s="48"/>
      <c r="AN69" s="57"/>
      <c r="BD69" s="118"/>
      <c r="BE69" s="47"/>
      <c r="BF69" s="22"/>
      <c r="BG69" s="48"/>
      <c r="BH69" s="57"/>
      <c r="BI69" s="118"/>
      <c r="BJ69" s="118"/>
      <c r="BK69" s="119"/>
    </row>
    <row r="70" spans="10:78" ht="15.75" customHeight="1">
      <c r="J70" s="42"/>
      <c r="K70" s="118"/>
      <c r="L70" s="47"/>
      <c r="M70" s="22"/>
      <c r="N70" s="48"/>
      <c r="O70" s="56"/>
      <c r="P70" s="118"/>
      <c r="Q70" s="47"/>
      <c r="R70" s="22"/>
      <c r="S70" s="48"/>
      <c r="T70" s="56"/>
      <c r="U70" s="118"/>
      <c r="Z70" s="118"/>
      <c r="AA70" s="46"/>
      <c r="AB70" s="22"/>
      <c r="AC70" s="48"/>
      <c r="AD70" s="56"/>
      <c r="AK70" s="46"/>
      <c r="AL70" s="22"/>
      <c r="AM70" s="48"/>
      <c r="AN70" s="57"/>
      <c r="BD70" s="118"/>
      <c r="BE70" s="46"/>
      <c r="BF70" s="22"/>
      <c r="BG70" s="48"/>
      <c r="BH70" s="57"/>
      <c r="BI70" s="118"/>
      <c r="BJ70" s="118"/>
      <c r="BK70" s="119"/>
    </row>
    <row r="71" spans="10:78" ht="15.75" customHeight="1">
      <c r="J71" s="42"/>
      <c r="K71" s="118"/>
      <c r="L71" s="47"/>
      <c r="M71" s="22"/>
      <c r="N71" s="48"/>
      <c r="O71" s="56"/>
      <c r="P71" s="118"/>
      <c r="Q71" s="46"/>
      <c r="R71" s="22"/>
      <c r="S71" s="48"/>
      <c r="T71" s="56"/>
      <c r="U71" s="118"/>
      <c r="Z71" s="118"/>
      <c r="AA71" s="47"/>
      <c r="AB71" s="22"/>
      <c r="AC71" s="48"/>
      <c r="AD71" s="57"/>
      <c r="AK71" s="46"/>
      <c r="AL71" s="22"/>
      <c r="AM71" s="48"/>
      <c r="AN71" s="57"/>
      <c r="BD71" s="118"/>
      <c r="BE71" s="46"/>
      <c r="BF71" s="22"/>
      <c r="BG71" s="48"/>
      <c r="BH71" s="56"/>
      <c r="BI71" s="118"/>
      <c r="BJ71" s="118"/>
      <c r="BK71" s="119"/>
    </row>
    <row r="72" spans="10:78" ht="15.75" customHeight="1">
      <c r="J72" s="42"/>
      <c r="K72" s="118"/>
      <c r="L72" s="46"/>
      <c r="M72" s="22"/>
      <c r="N72" s="48"/>
      <c r="O72" s="56"/>
      <c r="P72" s="118"/>
      <c r="Q72" s="46"/>
      <c r="R72" s="22"/>
      <c r="S72" s="48"/>
      <c r="T72" s="56"/>
      <c r="U72" s="118"/>
      <c r="Z72" s="118"/>
      <c r="AA72" s="118"/>
      <c r="AB72" s="119"/>
      <c r="AC72" s="119"/>
      <c r="AD72" s="42"/>
      <c r="AK72" s="46"/>
      <c r="AL72" s="22"/>
      <c r="AM72" s="48"/>
      <c r="AN72" s="57"/>
      <c r="BD72" s="118"/>
      <c r="BE72" s="47"/>
      <c r="BF72" s="22"/>
      <c r="BG72" s="48"/>
      <c r="BH72" s="57"/>
      <c r="BI72" s="118"/>
      <c r="BJ72" s="118"/>
      <c r="BK72" s="119"/>
    </row>
    <row r="73" spans="10:78" ht="15.75" customHeight="1">
      <c r="J73" s="42"/>
      <c r="K73" s="118"/>
      <c r="L73" s="46"/>
      <c r="M73" s="22"/>
      <c r="N73" s="48"/>
      <c r="O73" s="56"/>
      <c r="P73" s="118"/>
      <c r="Q73" s="118"/>
      <c r="R73" s="119"/>
      <c r="S73" s="119"/>
      <c r="T73" s="42"/>
      <c r="U73" s="118"/>
      <c r="Z73" s="118"/>
      <c r="AA73" s="118"/>
      <c r="AB73" s="119"/>
      <c r="AC73" s="119"/>
      <c r="AD73" s="42"/>
      <c r="AK73" s="47"/>
      <c r="AL73" s="22"/>
      <c r="AM73" s="48"/>
      <c r="AN73" s="57"/>
      <c r="BD73" s="118"/>
      <c r="BE73" s="47"/>
      <c r="BF73" s="22"/>
      <c r="BG73" s="48"/>
      <c r="BH73" s="57"/>
      <c r="BI73" s="118"/>
      <c r="BJ73" s="118"/>
      <c r="BK73" s="119"/>
    </row>
    <row r="74" spans="10:78" ht="15.75" customHeight="1">
      <c r="J74" s="42"/>
      <c r="K74" s="118"/>
      <c r="L74" s="46"/>
      <c r="M74" s="22"/>
      <c r="N74" s="48"/>
      <c r="O74" s="56"/>
      <c r="P74" s="118"/>
      <c r="Q74" s="118"/>
      <c r="R74" s="119"/>
      <c r="S74" s="119"/>
      <c r="T74" s="42"/>
      <c r="U74" s="118"/>
      <c r="Z74" s="118"/>
      <c r="AA74" s="118"/>
      <c r="AB74" s="119"/>
      <c r="AC74" s="119"/>
      <c r="AD74" s="42"/>
      <c r="AK74" s="47"/>
      <c r="AL74" s="22"/>
      <c r="AM74" s="48"/>
      <c r="AN74" s="57"/>
      <c r="BD74" s="118"/>
      <c r="BE74" s="46"/>
      <c r="BF74" s="22"/>
      <c r="BG74" s="48"/>
      <c r="BH74" s="56"/>
      <c r="BI74" s="118"/>
      <c r="BJ74" s="118"/>
      <c r="BK74" s="119"/>
    </row>
    <row r="75" spans="10:78" ht="15.75" customHeight="1">
      <c r="J75" s="42"/>
      <c r="K75" s="118"/>
      <c r="L75" s="46"/>
      <c r="M75" s="22"/>
      <c r="N75" s="48"/>
      <c r="O75" s="56"/>
      <c r="P75" s="118"/>
      <c r="Q75" s="118"/>
      <c r="R75" s="119"/>
      <c r="S75" s="119"/>
      <c r="T75" s="42"/>
      <c r="U75" s="118"/>
      <c r="Z75" s="118"/>
      <c r="AA75" s="118"/>
      <c r="AB75" s="119"/>
      <c r="AC75" s="119"/>
      <c r="AD75" s="42"/>
      <c r="AK75" s="46"/>
      <c r="AL75" s="22"/>
      <c r="AM75" s="48"/>
      <c r="AN75" s="57"/>
      <c r="BD75" s="118"/>
      <c r="BE75" s="46"/>
      <c r="BF75" s="22"/>
      <c r="BG75" s="48"/>
      <c r="BH75" s="56"/>
      <c r="BI75" s="118"/>
      <c r="BJ75" s="118"/>
      <c r="BK75" s="119"/>
    </row>
    <row r="76" spans="10:78" ht="15.75" customHeight="1">
      <c r="J76" s="42"/>
      <c r="K76" s="118"/>
      <c r="L76" s="47"/>
      <c r="M76" s="22"/>
      <c r="N76" s="48"/>
      <c r="O76" s="56"/>
      <c r="P76" s="118"/>
      <c r="Q76" s="118"/>
      <c r="R76" s="119"/>
      <c r="S76" s="119"/>
      <c r="T76" s="42"/>
      <c r="U76" s="118"/>
      <c r="Z76" s="118"/>
      <c r="AA76" s="118"/>
      <c r="AB76" s="119"/>
      <c r="AC76" s="119"/>
      <c r="AD76" s="42"/>
      <c r="AK76" s="46"/>
      <c r="AL76" s="22"/>
      <c r="AM76" s="48"/>
      <c r="AN76" s="57"/>
      <c r="BD76" s="118"/>
      <c r="BE76" s="46"/>
      <c r="BF76" s="22"/>
      <c r="BG76" s="48"/>
      <c r="BH76" s="57"/>
      <c r="BI76" s="118"/>
      <c r="BJ76" s="118"/>
      <c r="BK76" s="119"/>
    </row>
    <row r="77" spans="10:78" ht="15.75" customHeight="1">
      <c r="J77" s="42"/>
      <c r="K77" s="118"/>
      <c r="L77" s="47"/>
      <c r="M77" s="22"/>
      <c r="N77" s="48"/>
      <c r="O77" s="56"/>
      <c r="P77" s="118"/>
      <c r="Q77" s="118"/>
      <c r="R77" s="119"/>
      <c r="S77" s="119"/>
      <c r="T77" s="42"/>
      <c r="U77" s="118"/>
      <c r="Z77" s="118"/>
      <c r="AA77" s="118"/>
      <c r="AB77" s="119"/>
      <c r="AC77" s="119"/>
      <c r="AD77" s="42"/>
      <c r="AK77" s="46"/>
      <c r="AL77" s="22"/>
      <c r="AM77" s="48"/>
      <c r="AN77" s="57"/>
      <c r="BD77" s="118"/>
      <c r="BE77" s="47"/>
      <c r="BF77" s="22"/>
      <c r="BG77" s="48"/>
      <c r="BH77" s="57"/>
      <c r="BI77" s="118"/>
      <c r="BJ77" s="118"/>
      <c r="BK77" s="119"/>
    </row>
    <row r="78" spans="10:78" ht="15.75" customHeight="1">
      <c r="J78" s="42"/>
      <c r="K78" s="118"/>
      <c r="L78" s="46"/>
      <c r="M78" s="22"/>
      <c r="N78" s="48"/>
      <c r="O78" s="56"/>
      <c r="P78" s="118"/>
      <c r="Q78" s="118"/>
      <c r="R78" s="119"/>
      <c r="S78" s="119"/>
      <c r="T78" s="42"/>
      <c r="U78" s="118"/>
      <c r="Z78" s="118"/>
      <c r="AA78" s="118"/>
      <c r="AB78" s="119"/>
      <c r="AC78" s="119"/>
      <c r="AD78" s="42"/>
      <c r="AK78" s="47"/>
      <c r="AL78" s="22"/>
      <c r="AM78" s="48"/>
      <c r="AN78" s="57"/>
      <c r="BD78" s="118"/>
      <c r="BE78" s="47"/>
      <c r="BF78" s="22"/>
      <c r="BG78" s="48"/>
      <c r="BH78" s="56"/>
      <c r="BI78" s="118"/>
      <c r="BJ78" s="118"/>
      <c r="BK78" s="119"/>
    </row>
    <row r="79" spans="10:78" ht="15.75" customHeight="1">
      <c r="J79" s="42"/>
      <c r="K79" s="118"/>
      <c r="L79" s="118"/>
      <c r="M79" s="119"/>
      <c r="N79" s="119"/>
      <c r="O79" s="42"/>
      <c r="P79" s="118"/>
      <c r="Q79" s="118"/>
      <c r="R79" s="119"/>
      <c r="S79" s="119"/>
      <c r="T79" s="42"/>
      <c r="U79" s="118"/>
      <c r="AK79" s="47"/>
      <c r="AL79" s="22"/>
      <c r="AM79" s="48"/>
      <c r="AN79" s="57"/>
      <c r="BD79" s="118"/>
      <c r="BE79" s="46"/>
      <c r="BF79" s="22"/>
      <c r="BG79" s="48"/>
      <c r="BH79" s="57"/>
      <c r="BI79" s="118"/>
      <c r="BJ79" s="118"/>
      <c r="BK79" s="119"/>
    </row>
    <row r="80" spans="10:78" ht="15.75" customHeight="1">
      <c r="J80" s="42"/>
      <c r="K80" s="118"/>
      <c r="L80" s="118"/>
      <c r="M80" s="119"/>
      <c r="N80" s="119"/>
      <c r="O80" s="42"/>
      <c r="P80" s="118"/>
      <c r="Q80" s="118"/>
      <c r="R80" s="119"/>
      <c r="S80" s="119"/>
      <c r="T80" s="42"/>
      <c r="U80" s="118"/>
      <c r="AK80" s="46"/>
      <c r="AL80" s="22"/>
      <c r="AM80" s="48"/>
      <c r="AN80" s="57"/>
      <c r="BD80" s="118"/>
      <c r="BE80" s="46"/>
      <c r="BF80" s="22"/>
      <c r="BG80" s="22"/>
      <c r="BH80" s="15"/>
      <c r="BI80" s="118"/>
      <c r="BJ80" s="118"/>
      <c r="BK80" s="119"/>
    </row>
    <row r="81" spans="10:63" ht="15.75" customHeight="1">
      <c r="J81" s="42"/>
      <c r="K81" s="118"/>
      <c r="L81" s="118"/>
      <c r="M81" s="119"/>
      <c r="N81" s="119"/>
      <c r="O81" s="42"/>
      <c r="P81" s="118"/>
      <c r="Q81" s="118"/>
      <c r="R81" s="119"/>
      <c r="S81" s="119"/>
      <c r="T81" s="42"/>
      <c r="U81" s="118"/>
      <c r="AK81" s="46"/>
      <c r="AL81" s="22"/>
      <c r="AM81" s="48"/>
      <c r="AN81" s="57"/>
      <c r="BD81" s="118"/>
      <c r="BE81" s="46"/>
      <c r="BF81" s="22"/>
      <c r="BG81" s="48"/>
      <c r="BH81" s="56"/>
      <c r="BI81" s="118"/>
      <c r="BJ81" s="118"/>
      <c r="BK81" s="119"/>
    </row>
    <row r="82" spans="10:63" ht="15.75" customHeight="1">
      <c r="J82" s="42"/>
      <c r="K82" s="118"/>
      <c r="L82" s="118"/>
      <c r="M82" s="119"/>
      <c r="N82" s="119"/>
      <c r="O82" s="42"/>
      <c r="P82" s="118"/>
      <c r="Q82" s="118"/>
      <c r="R82" s="119"/>
      <c r="S82" s="119"/>
      <c r="T82" s="42"/>
      <c r="U82" s="118"/>
      <c r="AK82" s="46"/>
      <c r="AL82" s="22"/>
      <c r="AM82" s="48"/>
      <c r="AN82" s="57"/>
      <c r="BD82" s="118"/>
      <c r="BE82" s="46"/>
      <c r="BF82" s="22"/>
      <c r="BG82" s="48"/>
      <c r="BH82" s="57"/>
      <c r="BI82" s="118"/>
      <c r="BJ82" s="118"/>
      <c r="BK82" s="119"/>
    </row>
    <row r="83" spans="10:63" ht="15.75" customHeight="1">
      <c r="J83" s="42"/>
      <c r="K83" s="118"/>
      <c r="L83" s="118"/>
      <c r="M83" s="119"/>
      <c r="N83" s="119"/>
      <c r="O83" s="42"/>
      <c r="P83" s="118"/>
      <c r="Q83" s="118"/>
      <c r="R83" s="119"/>
      <c r="S83" s="119"/>
      <c r="T83" s="42"/>
      <c r="U83" s="118"/>
      <c r="AK83" s="46"/>
      <c r="AL83" s="22"/>
      <c r="AM83" s="48"/>
      <c r="AN83" s="57"/>
      <c r="BD83" s="118"/>
      <c r="BE83" s="47"/>
      <c r="BF83" s="22"/>
      <c r="BG83" s="48"/>
      <c r="BH83" s="57"/>
      <c r="BI83" s="118"/>
      <c r="BJ83" s="118"/>
      <c r="BK83" s="119"/>
    </row>
    <row r="84" spans="10:63" ht="15.75" customHeight="1">
      <c r="J84" s="42"/>
      <c r="K84" s="118"/>
      <c r="L84" s="118"/>
      <c r="M84" s="119"/>
      <c r="N84" s="119"/>
      <c r="O84" s="42"/>
      <c r="P84" s="118"/>
      <c r="Q84" s="118"/>
      <c r="R84" s="119"/>
      <c r="S84" s="119"/>
      <c r="T84" s="42"/>
      <c r="U84" s="118"/>
      <c r="AK84" s="118"/>
      <c r="AL84" s="119"/>
      <c r="AM84" s="119"/>
      <c r="AN84" s="42"/>
      <c r="BD84" s="118"/>
      <c r="BE84" s="47"/>
      <c r="BF84" s="22"/>
      <c r="BG84" s="48"/>
      <c r="BH84" s="57"/>
      <c r="BI84" s="118"/>
      <c r="BJ84" s="118"/>
      <c r="BK84" s="119"/>
    </row>
    <row r="85" spans="10:63" ht="15.75" customHeight="1">
      <c r="J85" s="42"/>
      <c r="K85" s="118"/>
      <c r="L85" s="118"/>
      <c r="M85" s="119"/>
      <c r="N85" s="119"/>
      <c r="O85" s="42"/>
      <c r="P85" s="118"/>
      <c r="Q85" s="118"/>
      <c r="R85" s="119"/>
      <c r="S85" s="119"/>
      <c r="T85" s="42"/>
      <c r="AK85" s="118"/>
      <c r="AL85" s="119"/>
      <c r="AM85" s="119"/>
      <c r="AN85" s="42"/>
      <c r="BD85" s="118"/>
      <c r="BE85" s="46"/>
      <c r="BF85" s="22"/>
      <c r="BG85" s="48"/>
      <c r="BH85" s="57"/>
      <c r="BI85" s="118"/>
      <c r="BJ85" s="118"/>
      <c r="BK85" s="119"/>
    </row>
    <row r="86" spans="10:63" ht="15.75" customHeight="1">
      <c r="J86" s="42"/>
      <c r="K86" s="118"/>
      <c r="L86" s="118"/>
      <c r="M86" s="119"/>
      <c r="N86" s="119"/>
      <c r="O86" s="42"/>
      <c r="P86" s="118"/>
      <c r="Q86" s="118"/>
      <c r="R86" s="119"/>
      <c r="S86" s="119"/>
      <c r="T86" s="42"/>
      <c r="AK86" s="118"/>
      <c r="AL86" s="119"/>
      <c r="AM86" s="119"/>
      <c r="AN86" s="42"/>
      <c r="BD86" s="118"/>
      <c r="BE86" s="46"/>
      <c r="BF86" s="22"/>
      <c r="BG86" s="22"/>
      <c r="BH86" s="15"/>
      <c r="BI86" s="118"/>
      <c r="BJ86" s="118"/>
      <c r="BK86" s="119"/>
    </row>
    <row r="87" spans="10:63" ht="15.75" customHeight="1">
      <c r="J87" s="42"/>
      <c r="K87" s="118"/>
      <c r="L87" s="118"/>
      <c r="M87" s="119"/>
      <c r="N87" s="119"/>
      <c r="O87" s="42"/>
      <c r="P87" s="118"/>
      <c r="Q87" s="118"/>
      <c r="R87" s="119"/>
      <c r="S87" s="119"/>
      <c r="T87" s="42"/>
      <c r="BD87" s="118"/>
      <c r="BE87" s="46"/>
      <c r="BF87" s="22"/>
      <c r="BG87" s="48"/>
      <c r="BH87" s="56"/>
      <c r="BI87" s="118"/>
      <c r="BJ87" s="118"/>
      <c r="BK87" s="119"/>
    </row>
    <row r="88" spans="10:63" ht="15.75" customHeight="1">
      <c r="L88" s="118"/>
      <c r="M88" s="119"/>
      <c r="N88" s="119"/>
      <c r="O88" s="42"/>
      <c r="P88" s="118"/>
      <c r="Q88" s="118"/>
      <c r="R88" s="119"/>
      <c r="S88" s="119"/>
      <c r="T88" s="42"/>
      <c r="BD88" s="118"/>
      <c r="BE88" s="46"/>
      <c r="BF88" s="22"/>
      <c r="BG88" s="48"/>
      <c r="BH88" s="57"/>
      <c r="BI88" s="118"/>
      <c r="BJ88" s="118"/>
      <c r="BK88" s="119"/>
    </row>
    <row r="89" spans="10:63" ht="15.75" customHeight="1">
      <c r="BD89" s="118"/>
      <c r="BE89" s="46"/>
      <c r="BF89" s="22"/>
      <c r="BG89" s="48"/>
      <c r="BH89" s="57"/>
      <c r="BI89" s="118"/>
      <c r="BJ89" s="118"/>
      <c r="BK89" s="119"/>
    </row>
    <row r="90" spans="10:63" ht="15.75" customHeight="1">
      <c r="BD90" s="118"/>
      <c r="BE90" s="118"/>
      <c r="BF90" s="119"/>
      <c r="BG90" s="119"/>
      <c r="BH90" s="42"/>
      <c r="BI90" s="118"/>
      <c r="BJ90" s="118"/>
      <c r="BK90" s="119"/>
    </row>
    <row r="91" spans="10:63" ht="15.75" customHeight="1">
      <c r="BD91" s="118"/>
      <c r="BE91" s="118"/>
      <c r="BF91" s="119"/>
      <c r="BG91" s="119"/>
      <c r="BH91" s="42"/>
      <c r="BI91" s="118"/>
      <c r="BJ91" s="118"/>
      <c r="BK91" s="119"/>
    </row>
    <row r="92" spans="10:63" ht="15.75" customHeight="1">
      <c r="BD92" s="118"/>
      <c r="BE92" s="118"/>
      <c r="BF92" s="119"/>
      <c r="BG92" s="119"/>
      <c r="BH92" s="42"/>
      <c r="BI92" s="118"/>
      <c r="BJ92" s="118"/>
      <c r="BK92" s="119"/>
    </row>
    <row r="93" spans="10:63" ht="15.75" customHeight="1">
      <c r="BD93" s="118"/>
      <c r="BE93" s="118"/>
      <c r="BF93" s="119"/>
      <c r="BG93" s="119"/>
      <c r="BH93" s="42"/>
      <c r="BI93" s="118"/>
      <c r="BJ93" s="118"/>
      <c r="BK93" s="119"/>
    </row>
    <row r="94" spans="10:63" ht="15.75" customHeight="1">
      <c r="BD94" s="118"/>
      <c r="BE94" s="118"/>
      <c r="BF94" s="119"/>
      <c r="BG94" s="119"/>
      <c r="BH94" s="42"/>
      <c r="BI94" s="118"/>
      <c r="BJ94" s="118"/>
      <c r="BK94" s="119"/>
    </row>
    <row r="95" spans="10:63" ht="15.75" customHeight="1">
      <c r="BD95" s="118"/>
      <c r="BE95" s="118"/>
      <c r="BF95" s="119"/>
      <c r="BG95" s="119"/>
      <c r="BH95" s="42"/>
      <c r="BI95" s="118"/>
      <c r="BJ95" s="118"/>
      <c r="BK95" s="119"/>
    </row>
    <row r="96" spans="10:63" ht="15.75" customHeight="1">
      <c r="BD96" s="118"/>
      <c r="BE96" s="118"/>
      <c r="BF96" s="119"/>
      <c r="BG96" s="119"/>
      <c r="BH96" s="42"/>
      <c r="BI96" s="118"/>
      <c r="BJ96" s="118"/>
      <c r="BK96" s="119"/>
    </row>
    <row r="97" spans="56:63" ht="15.75" customHeight="1">
      <c r="BD97" s="118"/>
      <c r="BE97" s="118"/>
      <c r="BF97" s="119"/>
      <c r="BG97" s="119"/>
      <c r="BH97" s="42"/>
      <c r="BI97" s="118"/>
      <c r="BJ97" s="118"/>
      <c r="BK97" s="119"/>
    </row>
    <row r="98" spans="56:63" ht="15.75" customHeight="1">
      <c r="BD98" s="118"/>
      <c r="BE98" s="118"/>
      <c r="BF98" s="119"/>
      <c r="BG98" s="119"/>
      <c r="BH98" s="42"/>
      <c r="BI98" s="118"/>
      <c r="BJ98" s="118"/>
      <c r="BK98" s="119"/>
    </row>
    <row r="99" spans="56:63" ht="15.75" customHeight="1">
      <c r="BD99" s="118"/>
      <c r="BE99" s="118"/>
      <c r="BF99" s="119"/>
      <c r="BG99" s="119"/>
      <c r="BH99" s="42"/>
      <c r="BI99" s="118"/>
      <c r="BJ99" s="118"/>
      <c r="BK99" s="119"/>
    </row>
    <row r="100" spans="56:63" ht="15.75" customHeight="1">
      <c r="BD100" s="118"/>
      <c r="BE100" s="118"/>
      <c r="BF100" s="119"/>
      <c r="BG100" s="119"/>
      <c r="BH100" s="42"/>
      <c r="BI100" s="118"/>
      <c r="BJ100" s="118"/>
      <c r="BK100" s="119"/>
    </row>
    <row r="101" spans="56:63" ht="15.75" customHeight="1">
      <c r="BD101" s="118"/>
      <c r="BE101" s="118"/>
      <c r="BF101" s="119"/>
      <c r="BG101" s="119"/>
      <c r="BH101" s="42"/>
      <c r="BI101" s="118"/>
      <c r="BJ101" s="118"/>
      <c r="BK101" s="119"/>
    </row>
    <row r="102" spans="56:63" ht="15.75" customHeight="1">
      <c r="BD102" s="118"/>
      <c r="BE102" s="118"/>
      <c r="BF102" s="119"/>
      <c r="BG102" s="119"/>
      <c r="BH102" s="42"/>
      <c r="BI102" s="118"/>
      <c r="BJ102" s="118"/>
      <c r="BK102" s="119"/>
    </row>
    <row r="103" spans="56:63" ht="15.75" customHeight="1">
      <c r="BD103" s="118"/>
      <c r="BE103" s="118"/>
      <c r="BF103" s="119"/>
      <c r="BG103" s="119"/>
      <c r="BH103" s="42"/>
      <c r="BI103" s="118"/>
      <c r="BJ103" s="118"/>
      <c r="BK103" s="119"/>
    </row>
    <row r="104" spans="56:63" ht="15.75" customHeight="1">
      <c r="BD104" s="118"/>
      <c r="BE104" s="118"/>
      <c r="BF104" s="119"/>
      <c r="BG104" s="119"/>
      <c r="BH104" s="42"/>
      <c r="BI104" s="118"/>
      <c r="BJ104" s="118"/>
      <c r="BK104" s="119"/>
    </row>
    <row r="105" spans="56:63" ht="15.75" customHeight="1">
      <c r="BD105" s="118"/>
      <c r="BE105" s="118"/>
      <c r="BF105" s="119"/>
      <c r="BG105" s="119"/>
      <c r="BH105" s="42"/>
      <c r="BI105" s="118"/>
      <c r="BJ105" s="118"/>
      <c r="BK105" s="119"/>
    </row>
    <row r="106" spans="56:63" ht="15.75" customHeight="1">
      <c r="BD106" s="118"/>
      <c r="BE106" s="118"/>
      <c r="BF106" s="119"/>
      <c r="BG106" s="119"/>
      <c r="BH106" s="42"/>
      <c r="BI106" s="118"/>
      <c r="BJ106" s="118"/>
      <c r="BK106" s="119"/>
    </row>
    <row r="107" spans="56:63" ht="15.75" customHeight="1">
      <c r="BD107" s="118"/>
      <c r="BE107" s="118"/>
      <c r="BF107" s="119"/>
      <c r="BG107" s="119"/>
      <c r="BH107" s="42"/>
      <c r="BI107" s="118"/>
      <c r="BJ107" s="118"/>
      <c r="BK107" s="119"/>
    </row>
    <row r="108" spans="56:63" ht="15.75" customHeight="1">
      <c r="BD108" s="118"/>
      <c r="BE108" s="118"/>
      <c r="BF108" s="119"/>
      <c r="BG108" s="119"/>
      <c r="BH108" s="42"/>
      <c r="BI108" s="118"/>
      <c r="BJ108" s="118"/>
      <c r="BK108" s="119"/>
    </row>
    <row r="109" spans="56:63" ht="15.75" customHeight="1">
      <c r="BD109" s="118"/>
      <c r="BE109" s="118"/>
      <c r="BF109" s="119"/>
      <c r="BG109" s="119"/>
      <c r="BH109" s="42"/>
      <c r="BI109" s="118"/>
      <c r="BJ109" s="118"/>
      <c r="BK109" s="119"/>
    </row>
    <row r="110" spans="56:63" ht="15.75" customHeight="1">
      <c r="BD110" s="118"/>
      <c r="BE110" s="118"/>
      <c r="BF110" s="119"/>
      <c r="BG110" s="119"/>
      <c r="BH110" s="42"/>
      <c r="BI110" s="118"/>
      <c r="BJ110" s="118"/>
      <c r="BK110" s="119"/>
    </row>
    <row r="111" spans="56:63" ht="15.75" customHeight="1">
      <c r="BD111" s="118"/>
      <c r="BE111" s="118"/>
      <c r="BF111" s="119"/>
      <c r="BG111" s="119"/>
      <c r="BH111" s="42"/>
      <c r="BI111" s="118"/>
      <c r="BJ111" s="118"/>
      <c r="BK111" s="119"/>
    </row>
    <row r="112" spans="56:63" ht="15.75" customHeight="1">
      <c r="BD112" s="118"/>
      <c r="BE112" s="118"/>
      <c r="BF112" s="119"/>
      <c r="BG112" s="119"/>
      <c r="BH112" s="42"/>
      <c r="BI112" s="118"/>
      <c r="BJ112" s="118"/>
      <c r="BK112" s="119"/>
    </row>
    <row r="113" spans="56:63" ht="15.75" customHeight="1">
      <c r="BD113" s="118"/>
      <c r="BE113" s="118"/>
      <c r="BF113" s="119"/>
      <c r="BG113" s="119"/>
      <c r="BH113" s="42"/>
      <c r="BI113" s="118"/>
      <c r="BJ113" s="118"/>
      <c r="BK113" s="119"/>
    </row>
    <row r="114" spans="56:63" ht="15.75" customHeight="1">
      <c r="BD114" s="118"/>
      <c r="BE114" s="118"/>
      <c r="BF114" s="119"/>
      <c r="BG114" s="119"/>
      <c r="BH114" s="42"/>
      <c r="BI114" s="118"/>
      <c r="BJ114" s="118"/>
      <c r="BK114" s="119"/>
    </row>
    <row r="115" spans="56:63" ht="15.75" customHeight="1">
      <c r="BD115" s="118"/>
      <c r="BE115" s="118"/>
      <c r="BF115" s="119"/>
      <c r="BG115" s="119"/>
      <c r="BH115" s="42"/>
      <c r="BI115" s="118"/>
      <c r="BJ115" s="118"/>
      <c r="BK115" s="119"/>
    </row>
    <row r="116" spans="56:63" ht="15.75" customHeight="1">
      <c r="BD116" s="118"/>
      <c r="BE116" s="118"/>
      <c r="BF116" s="119"/>
      <c r="BG116" s="119"/>
      <c r="BH116" s="42"/>
      <c r="BI116" s="118"/>
      <c r="BJ116" s="118"/>
      <c r="BK116" s="119"/>
    </row>
    <row r="117" spans="56:63" ht="15.75" customHeight="1">
      <c r="BD117" s="118"/>
      <c r="BE117" s="118"/>
      <c r="BF117" s="119"/>
      <c r="BG117" s="119"/>
      <c r="BH117" s="42"/>
      <c r="BI117" s="118"/>
      <c r="BJ117" s="118"/>
      <c r="BK117" s="119"/>
    </row>
    <row r="118" spans="56:63" ht="15.75" customHeight="1">
      <c r="BD118" s="118"/>
      <c r="BE118" s="118"/>
      <c r="BF118" s="119"/>
      <c r="BG118" s="119"/>
      <c r="BH118" s="42"/>
      <c r="BI118" s="118"/>
      <c r="BJ118" s="118"/>
      <c r="BK118" s="119"/>
    </row>
    <row r="119" spans="56:63" ht="15.75" customHeight="1">
      <c r="BD119" s="118"/>
      <c r="BE119" s="118"/>
      <c r="BF119" s="119"/>
      <c r="BG119" s="119"/>
      <c r="BH119" s="42"/>
      <c r="BI119" s="118"/>
      <c r="BJ119" s="118"/>
      <c r="BK119" s="119"/>
    </row>
    <row r="120" spans="56:63" ht="15.75" customHeight="1">
      <c r="BD120" s="118"/>
      <c r="BE120" s="118"/>
      <c r="BF120" s="119"/>
      <c r="BG120" s="119"/>
      <c r="BH120" s="42"/>
      <c r="BI120" s="118"/>
      <c r="BJ120" s="118"/>
      <c r="BK120" s="119"/>
    </row>
    <row r="121" spans="56:63" ht="15.75" customHeight="1">
      <c r="BD121" s="118"/>
      <c r="BE121" s="118"/>
      <c r="BF121" s="119"/>
      <c r="BG121" s="119"/>
      <c r="BH121" s="42"/>
      <c r="BI121" s="118"/>
      <c r="BJ121" s="118"/>
      <c r="BK121" s="119"/>
    </row>
    <row r="122" spans="56:63" ht="15.75" customHeight="1">
      <c r="BD122" s="118"/>
      <c r="BE122" s="118"/>
      <c r="BF122" s="119"/>
      <c r="BG122" s="119"/>
      <c r="BH122" s="42"/>
      <c r="BI122" s="118"/>
      <c r="BJ122" s="118"/>
      <c r="BK122" s="119"/>
    </row>
    <row r="123" spans="56:63" ht="15.75" customHeight="1">
      <c r="BD123" s="118"/>
      <c r="BE123" s="118"/>
      <c r="BF123" s="119"/>
      <c r="BG123" s="119"/>
      <c r="BH123" s="42"/>
      <c r="BI123" s="118"/>
      <c r="BJ123" s="118"/>
      <c r="BK123" s="119"/>
    </row>
    <row r="124" spans="56:63" ht="15.75" customHeight="1">
      <c r="BD124" s="118"/>
      <c r="BE124" s="118"/>
      <c r="BF124" s="119"/>
      <c r="BG124" s="119"/>
      <c r="BH124" s="42"/>
      <c r="BI124" s="118"/>
      <c r="BJ124" s="118"/>
      <c r="BK124" s="119"/>
    </row>
    <row r="125" spans="56:63" ht="15.75" customHeight="1">
      <c r="BD125" s="118"/>
      <c r="BE125" s="118"/>
      <c r="BF125" s="119"/>
      <c r="BG125" s="119"/>
      <c r="BH125" s="42"/>
      <c r="BI125" s="118"/>
      <c r="BJ125" s="118"/>
      <c r="BK125" s="119"/>
    </row>
    <row r="126" spans="56:63" ht="15.75" customHeight="1">
      <c r="BD126" s="118"/>
      <c r="BE126" s="118"/>
      <c r="BF126" s="119"/>
      <c r="BG126" s="119"/>
      <c r="BH126" s="42"/>
      <c r="BI126" s="118"/>
      <c r="BJ126" s="118"/>
      <c r="BK126" s="119"/>
    </row>
    <row r="127" spans="56:63" ht="15.75" customHeight="1">
      <c r="BD127" s="118"/>
      <c r="BE127" s="118"/>
      <c r="BF127" s="119"/>
      <c r="BG127" s="119"/>
      <c r="BH127" s="42"/>
      <c r="BI127" s="118"/>
      <c r="BJ127" s="118"/>
      <c r="BK127" s="119"/>
    </row>
    <row r="128" spans="56:63" ht="15.75" customHeight="1">
      <c r="BD128" s="118"/>
      <c r="BE128" s="118"/>
      <c r="BF128" s="119"/>
      <c r="BG128" s="119"/>
      <c r="BH128" s="42"/>
      <c r="BI128" s="118"/>
      <c r="BJ128" s="118"/>
      <c r="BK128" s="119"/>
    </row>
    <row r="129" spans="56:63" ht="15.75" customHeight="1">
      <c r="BD129" s="118"/>
      <c r="BE129" s="118"/>
      <c r="BF129" s="119"/>
      <c r="BG129" s="119"/>
      <c r="BH129" s="42"/>
      <c r="BI129" s="118"/>
      <c r="BJ129" s="118"/>
      <c r="BK129" s="119"/>
    </row>
    <row r="130" spans="56:63" ht="15.75" customHeight="1">
      <c r="BD130" s="118"/>
      <c r="BE130" s="118"/>
      <c r="BF130" s="119"/>
      <c r="BG130" s="119"/>
      <c r="BH130" s="42"/>
      <c r="BI130" s="118"/>
      <c r="BJ130" s="118"/>
      <c r="BK130" s="119"/>
    </row>
  </sheetData>
  <mergeCells count="20">
    <mergeCell ref="AY1:BB1"/>
    <mergeCell ref="BD1:BG1"/>
    <mergeCell ref="AE1:AH1"/>
    <mergeCell ref="AJ1:AM1"/>
    <mergeCell ref="AO1:AR1"/>
    <mergeCell ref="AT1:AW1"/>
    <mergeCell ref="CM1:CP1"/>
    <mergeCell ref="CR1:CU1"/>
    <mergeCell ref="BI1:BL1"/>
    <mergeCell ref="BN1:BQ1"/>
    <mergeCell ref="BS1:BV1"/>
    <mergeCell ref="BX1:CA1"/>
    <mergeCell ref="CC1:CF1"/>
    <mergeCell ref="CH1:CK1"/>
    <mergeCell ref="U1:X1"/>
    <mergeCell ref="Z1:AC1"/>
    <mergeCell ref="A1:D1"/>
    <mergeCell ref="F1:I1"/>
    <mergeCell ref="K1:N1"/>
    <mergeCell ref="P1:S1"/>
  </mergeCells>
  <phoneticPr fontId="2" type="noConversion"/>
  <pageMargins left="0.39370078740157483" right="0.19685039370078741" top="0.39370078740157483" bottom="0" header="0" footer="0"/>
  <pageSetup paperSize="12" scale="91" orientation="landscape" horizontalDpi="300" verticalDpi="300" r:id="rId1"/>
  <headerFooter alignWithMargins="0"/>
  <rowBreaks count="1" manualBreakCount="1">
    <brk id="49" max="16383" man="1"/>
  </rowBreaks>
  <colBreaks count="3" manualBreakCount="3">
    <brk id="25" max="14" man="1"/>
    <brk id="50" max="14" man="1"/>
    <brk id="75" max="14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>
    <tabColor indexed="13"/>
  </sheetPr>
  <dimension ref="A1:CW137"/>
  <sheetViews>
    <sheetView view="pageBreakPreview" zoomScale="50" zoomScaleNormal="75" zoomScaleSheetLayoutView="50" workbookViewId="0">
      <pane ySplit="1" topLeftCell="A2" activePane="bottomLeft" state="frozen"/>
      <selection activeCell="H25" sqref="H25:H26"/>
      <selection pane="bottomLeft" activeCell="CG57" sqref="CG57"/>
    </sheetView>
  </sheetViews>
  <sheetFormatPr baseColWidth="10" defaultColWidth="6.6640625" defaultRowHeight="15.75" customHeight="1"/>
  <cols>
    <col min="1" max="1" width="2.6640625" style="115" customWidth="1"/>
    <col min="2" max="2" width="7.33203125" style="117" customWidth="1"/>
    <col min="3" max="3" width="9.6640625" style="116" customWidth="1"/>
    <col min="4" max="4" width="8.6640625" style="116" customWidth="1"/>
    <col min="5" max="5" width="8.33203125" style="1" customWidth="1"/>
    <col min="6" max="6" width="2.6640625" style="115" customWidth="1"/>
    <col min="7" max="7" width="7.33203125" style="117" customWidth="1"/>
    <col min="8" max="8" width="9.6640625" style="116" customWidth="1"/>
    <col min="9" max="9" width="8.6640625" style="116" customWidth="1"/>
    <col min="10" max="10" width="8.33203125" style="1" customWidth="1"/>
    <col min="11" max="11" width="2.6640625" style="115" customWidth="1"/>
    <col min="12" max="12" width="7.33203125" style="115" customWidth="1"/>
    <col min="13" max="13" width="9.6640625" style="116" customWidth="1"/>
    <col min="14" max="14" width="8.6640625" style="116" customWidth="1"/>
    <col min="15" max="15" width="8.33203125" style="1" customWidth="1"/>
    <col min="16" max="16" width="2.6640625" style="115" customWidth="1"/>
    <col min="17" max="17" width="7.33203125" style="115" customWidth="1"/>
    <col min="18" max="18" width="9.6640625" style="116" customWidth="1"/>
    <col min="19" max="19" width="8.6640625" style="116" customWidth="1"/>
    <col min="20" max="20" width="8.33203125" style="1" customWidth="1"/>
    <col min="21" max="21" width="2.6640625" style="115" customWidth="1"/>
    <col min="22" max="22" width="7.33203125" style="115" customWidth="1"/>
    <col min="23" max="23" width="9.6640625" style="116" customWidth="1"/>
    <col min="24" max="24" width="8.6640625" style="116" customWidth="1"/>
    <col min="25" max="25" width="8.33203125" style="1" customWidth="1"/>
    <col min="26" max="26" width="2.6640625" style="115" customWidth="1"/>
    <col min="27" max="27" width="7.33203125" style="115" customWidth="1"/>
    <col min="28" max="28" width="9.6640625" style="116" customWidth="1"/>
    <col min="29" max="29" width="8.6640625" style="116" customWidth="1"/>
    <col min="30" max="30" width="8.33203125" style="1" customWidth="1"/>
    <col min="31" max="31" width="2.6640625" style="115" customWidth="1"/>
    <col min="32" max="32" width="7.33203125" style="115" customWidth="1"/>
    <col min="33" max="33" width="9.6640625" style="116" customWidth="1"/>
    <col min="34" max="34" width="8.6640625" style="116" customWidth="1"/>
    <col min="35" max="35" width="8.33203125" style="1" customWidth="1"/>
    <col min="36" max="36" width="2.6640625" style="115" customWidth="1"/>
    <col min="37" max="37" width="7.33203125" style="115" customWidth="1"/>
    <col min="38" max="38" width="9.6640625" style="116" customWidth="1"/>
    <col min="39" max="39" width="8.6640625" style="116" customWidth="1"/>
    <col min="40" max="40" width="8.33203125" style="1" customWidth="1"/>
    <col min="41" max="41" width="2.6640625" style="115" customWidth="1"/>
    <col min="42" max="42" width="7.33203125" style="115" customWidth="1"/>
    <col min="43" max="43" width="9.6640625" style="116" customWidth="1"/>
    <col min="44" max="44" width="8.6640625" style="116" customWidth="1"/>
    <col min="45" max="45" width="8.33203125" style="1" customWidth="1"/>
    <col min="46" max="46" width="2.6640625" style="115" customWidth="1"/>
    <col min="47" max="47" width="7.33203125" style="115" customWidth="1"/>
    <col min="48" max="48" width="9.6640625" style="116" customWidth="1"/>
    <col min="49" max="49" width="8.6640625" style="116" customWidth="1"/>
    <col min="50" max="50" width="8.33203125" style="1" customWidth="1"/>
    <col min="51" max="51" width="2.6640625" style="115" customWidth="1"/>
    <col min="52" max="52" width="7.33203125" style="115" customWidth="1"/>
    <col min="53" max="53" width="9.6640625" style="116" customWidth="1"/>
    <col min="54" max="54" width="8.6640625" style="116" customWidth="1"/>
    <col min="55" max="55" width="8.33203125" style="1" customWidth="1"/>
    <col min="56" max="56" width="2.6640625" style="115" customWidth="1"/>
    <col min="57" max="57" width="7.33203125" style="115" customWidth="1"/>
    <col min="58" max="58" width="9.6640625" style="116" customWidth="1"/>
    <col min="59" max="59" width="8.6640625" style="116" customWidth="1"/>
    <col min="60" max="60" width="8.33203125" style="1" customWidth="1"/>
    <col min="61" max="61" width="2.6640625" style="115" customWidth="1"/>
    <col min="62" max="62" width="7.33203125" style="115" customWidth="1"/>
    <col min="63" max="63" width="9.6640625" style="116" customWidth="1"/>
    <col min="64" max="64" width="8.6640625" style="116" customWidth="1"/>
    <col min="65" max="65" width="8.33203125" style="1" customWidth="1"/>
    <col min="66" max="66" width="2.6640625" style="115" customWidth="1"/>
    <col min="67" max="67" width="7.33203125" style="115" customWidth="1"/>
    <col min="68" max="68" width="9.6640625" style="116" customWidth="1"/>
    <col min="69" max="69" width="8.6640625" style="116" customWidth="1"/>
    <col min="70" max="70" width="8.33203125" style="1" customWidth="1"/>
    <col min="71" max="71" width="2.6640625" style="115" customWidth="1"/>
    <col min="72" max="72" width="7.33203125" style="115" customWidth="1"/>
    <col min="73" max="73" width="9.6640625" style="116" customWidth="1"/>
    <col min="74" max="74" width="8.6640625" style="116" customWidth="1"/>
    <col min="75" max="75" width="8.33203125" style="1" customWidth="1"/>
    <col min="76" max="76" width="2.6640625" style="115" customWidth="1"/>
    <col min="77" max="77" width="7.33203125" style="115" customWidth="1"/>
    <col min="78" max="78" width="9.6640625" style="116" customWidth="1"/>
    <col min="79" max="79" width="8.6640625" style="116" customWidth="1"/>
    <col min="80" max="80" width="8.33203125" style="1" customWidth="1"/>
    <col min="81" max="81" width="2.6640625" style="115" customWidth="1"/>
    <col min="82" max="82" width="7.33203125" style="115" customWidth="1"/>
    <col min="83" max="83" width="9.6640625" style="116" customWidth="1"/>
    <col min="84" max="84" width="8.6640625" style="116" customWidth="1"/>
    <col min="85" max="85" width="8.33203125" style="1" customWidth="1"/>
    <col min="86" max="86" width="2.6640625" style="115" customWidth="1"/>
    <col min="87" max="87" width="7.33203125" style="115" customWidth="1"/>
    <col min="88" max="88" width="9.6640625" style="116" customWidth="1"/>
    <col min="89" max="89" width="8.6640625" style="116" customWidth="1"/>
    <col min="90" max="90" width="8.33203125" style="1" customWidth="1"/>
    <col min="91" max="91" width="2.6640625" style="115" customWidth="1"/>
    <col min="92" max="92" width="7.33203125" style="115" customWidth="1"/>
    <col min="93" max="93" width="9.6640625" style="116" customWidth="1"/>
    <col min="94" max="94" width="8.6640625" style="116" customWidth="1"/>
    <col min="95" max="95" width="8.33203125" style="1" customWidth="1"/>
    <col min="96" max="96" width="6.6640625" style="118"/>
    <col min="97" max="16384" width="6.6640625" style="115"/>
  </cols>
  <sheetData>
    <row r="1" spans="1:101" s="3" customFormat="1" ht="21.75" customHeight="1" thickBot="1">
      <c r="A1" s="361" t="s">
        <v>81</v>
      </c>
      <c r="B1" s="361"/>
      <c r="C1" s="361"/>
      <c r="D1" s="361"/>
      <c r="E1" s="2"/>
      <c r="F1" s="361" t="s">
        <v>82</v>
      </c>
      <c r="G1" s="361"/>
      <c r="H1" s="361"/>
      <c r="I1" s="361"/>
      <c r="J1" s="2"/>
      <c r="K1" s="361" t="s">
        <v>83</v>
      </c>
      <c r="L1" s="361"/>
      <c r="M1" s="361"/>
      <c r="N1" s="361"/>
      <c r="O1" s="2"/>
      <c r="P1" s="361" t="s">
        <v>84</v>
      </c>
      <c r="Q1" s="361"/>
      <c r="R1" s="361"/>
      <c r="S1" s="361"/>
      <c r="T1" s="2"/>
      <c r="U1" s="361" t="s">
        <v>85</v>
      </c>
      <c r="V1" s="361"/>
      <c r="W1" s="361"/>
      <c r="X1" s="361"/>
      <c r="Y1" s="2"/>
      <c r="Z1" s="361" t="s">
        <v>86</v>
      </c>
      <c r="AA1" s="361"/>
      <c r="AB1" s="361"/>
      <c r="AC1" s="361"/>
      <c r="AD1" s="2"/>
      <c r="AE1" s="361" t="s">
        <v>87</v>
      </c>
      <c r="AF1" s="361"/>
      <c r="AG1" s="361"/>
      <c r="AH1" s="361"/>
      <c r="AI1" s="2"/>
      <c r="AJ1" s="361" t="s">
        <v>88</v>
      </c>
      <c r="AK1" s="361"/>
      <c r="AL1" s="361"/>
      <c r="AM1" s="361"/>
      <c r="AN1" s="2"/>
      <c r="AO1" s="361" t="s">
        <v>89</v>
      </c>
      <c r="AP1" s="361"/>
      <c r="AQ1" s="361"/>
      <c r="AR1" s="361"/>
      <c r="AS1" s="2"/>
      <c r="AT1" s="361" t="s">
        <v>90</v>
      </c>
      <c r="AU1" s="361"/>
      <c r="AV1" s="361"/>
      <c r="AW1" s="361"/>
      <c r="AX1" s="2"/>
      <c r="AY1" s="361" t="s">
        <v>91</v>
      </c>
      <c r="AZ1" s="361"/>
      <c r="BA1" s="361"/>
      <c r="BB1" s="361"/>
      <c r="BC1" s="2"/>
      <c r="BD1" s="361" t="s">
        <v>92</v>
      </c>
      <c r="BE1" s="361"/>
      <c r="BF1" s="361"/>
      <c r="BG1" s="361"/>
      <c r="BH1" s="2"/>
      <c r="BI1" s="361" t="s">
        <v>93</v>
      </c>
      <c r="BJ1" s="361"/>
      <c r="BK1" s="361"/>
      <c r="BL1" s="361"/>
      <c r="BM1" s="2"/>
      <c r="BN1" s="361" t="s">
        <v>94</v>
      </c>
      <c r="BO1" s="361"/>
      <c r="BP1" s="361"/>
      <c r="BQ1" s="361"/>
      <c r="BR1" s="2"/>
      <c r="BS1" s="361" t="s">
        <v>95</v>
      </c>
      <c r="BT1" s="361"/>
      <c r="BU1" s="361"/>
      <c r="BV1" s="361"/>
      <c r="BW1" s="2"/>
      <c r="BX1" s="361" t="s">
        <v>2737</v>
      </c>
      <c r="BY1" s="361"/>
      <c r="BZ1" s="361"/>
      <c r="CA1" s="361"/>
      <c r="CB1" s="2"/>
      <c r="CC1" s="361" t="s">
        <v>2738</v>
      </c>
      <c r="CD1" s="361"/>
      <c r="CE1" s="361"/>
      <c r="CF1" s="361"/>
      <c r="CG1" s="2"/>
      <c r="CH1" s="361" t="s">
        <v>2739</v>
      </c>
      <c r="CI1" s="361"/>
      <c r="CJ1" s="361"/>
      <c r="CK1" s="361"/>
      <c r="CL1" s="2"/>
      <c r="CM1" s="361" t="s">
        <v>97</v>
      </c>
      <c r="CN1" s="361"/>
      <c r="CO1" s="361"/>
      <c r="CP1" s="361"/>
      <c r="CQ1" s="2"/>
      <c r="CR1" s="53"/>
      <c r="CS1" s="51"/>
      <c r="CT1" s="51"/>
      <c r="CU1" s="51"/>
      <c r="CV1" s="51"/>
      <c r="CW1" s="51"/>
    </row>
    <row r="2" spans="1:101" s="8" customFormat="1" ht="15" customHeight="1" thickTop="1">
      <c r="A2" s="4">
        <v>1</v>
      </c>
      <c r="B2" s="25" t="s">
        <v>1305</v>
      </c>
      <c r="C2" s="5" t="s">
        <v>1306</v>
      </c>
      <c r="D2" s="6" t="s">
        <v>59</v>
      </c>
      <c r="E2" s="50"/>
      <c r="F2" s="4">
        <v>1</v>
      </c>
      <c r="G2" s="25" t="s">
        <v>1307</v>
      </c>
      <c r="H2" s="5" t="s">
        <v>1308</v>
      </c>
      <c r="I2" s="6" t="s">
        <v>59</v>
      </c>
      <c r="J2" s="50"/>
      <c r="K2" s="4">
        <v>1</v>
      </c>
      <c r="L2" s="25" t="s">
        <v>1309</v>
      </c>
      <c r="M2" s="5" t="s">
        <v>1310</v>
      </c>
      <c r="N2" s="6" t="s">
        <v>59</v>
      </c>
      <c r="O2" s="50"/>
      <c r="P2" s="4">
        <v>1</v>
      </c>
      <c r="Q2" s="25" t="s">
        <v>1348</v>
      </c>
      <c r="R2" s="5" t="s">
        <v>1349</v>
      </c>
      <c r="S2" s="6" t="s">
        <v>59</v>
      </c>
      <c r="T2" s="50"/>
      <c r="U2" s="4">
        <v>1</v>
      </c>
      <c r="V2" s="25" t="s">
        <v>1313</v>
      </c>
      <c r="W2" s="5" t="s">
        <v>1314</v>
      </c>
      <c r="X2" s="6" t="s">
        <v>59</v>
      </c>
      <c r="Y2" s="50"/>
      <c r="Z2" s="4">
        <v>1</v>
      </c>
      <c r="AA2" s="25" t="s">
        <v>1315</v>
      </c>
      <c r="AB2" s="5" t="s">
        <v>1316</v>
      </c>
      <c r="AC2" s="6" t="s">
        <v>59</v>
      </c>
      <c r="AD2" s="50"/>
      <c r="AE2" s="4">
        <v>1</v>
      </c>
      <c r="AF2" s="25" t="s">
        <v>1317</v>
      </c>
      <c r="AG2" s="5" t="s">
        <v>1318</v>
      </c>
      <c r="AH2" s="6" t="s">
        <v>59</v>
      </c>
      <c r="AI2" s="57"/>
      <c r="AJ2" s="4">
        <v>1</v>
      </c>
      <c r="AK2" s="25" t="s">
        <v>1319</v>
      </c>
      <c r="AL2" s="5" t="s">
        <v>1425</v>
      </c>
      <c r="AM2" s="6" t="s">
        <v>60</v>
      </c>
      <c r="AN2" s="57"/>
      <c r="AO2" s="4">
        <v>1</v>
      </c>
      <c r="AP2" s="25" t="s">
        <v>1321</v>
      </c>
      <c r="AQ2" s="5" t="s">
        <v>1322</v>
      </c>
      <c r="AR2" s="6" t="s">
        <v>59</v>
      </c>
      <c r="AS2" s="50"/>
      <c r="AT2" s="4">
        <v>1</v>
      </c>
      <c r="AU2" s="25" t="s">
        <v>1323</v>
      </c>
      <c r="AV2" s="5" t="s">
        <v>1324</v>
      </c>
      <c r="AW2" s="6" t="s">
        <v>59</v>
      </c>
      <c r="AX2" s="57"/>
      <c r="AY2" s="4">
        <v>1</v>
      </c>
      <c r="AZ2" s="25" t="s">
        <v>1325</v>
      </c>
      <c r="BA2" s="5" t="s">
        <v>1326</v>
      </c>
      <c r="BB2" s="6" t="s">
        <v>59</v>
      </c>
      <c r="BC2" s="50"/>
      <c r="BD2" s="4">
        <v>1</v>
      </c>
      <c r="BE2" s="25" t="s">
        <v>1327</v>
      </c>
      <c r="BF2" s="5" t="s">
        <v>1328</v>
      </c>
      <c r="BG2" s="6" t="s">
        <v>60</v>
      </c>
      <c r="BH2" s="50"/>
      <c r="BI2" s="4">
        <v>1</v>
      </c>
      <c r="BJ2" s="25" t="s">
        <v>1329</v>
      </c>
      <c r="BK2" s="5" t="s">
        <v>1330</v>
      </c>
      <c r="BL2" s="6" t="s">
        <v>59</v>
      </c>
      <c r="BM2" s="50"/>
      <c r="BN2" s="4">
        <v>1</v>
      </c>
      <c r="BO2" s="25" t="s">
        <v>1331</v>
      </c>
      <c r="BP2" s="5" t="s">
        <v>1332</v>
      </c>
      <c r="BQ2" s="6" t="s">
        <v>59</v>
      </c>
      <c r="BR2" s="50"/>
      <c r="BS2" s="4">
        <v>1</v>
      </c>
      <c r="BT2" s="25" t="s">
        <v>1333</v>
      </c>
      <c r="BU2" s="5" t="s">
        <v>1370</v>
      </c>
      <c r="BV2" s="6" t="s">
        <v>59</v>
      </c>
      <c r="BW2" s="50"/>
      <c r="BX2" s="4">
        <v>1</v>
      </c>
      <c r="BY2" s="25" t="s">
        <v>1335</v>
      </c>
      <c r="BZ2" s="5" t="s">
        <v>1336</v>
      </c>
      <c r="CA2" s="6" t="s">
        <v>60</v>
      </c>
      <c r="CB2" s="50"/>
      <c r="CC2" s="4">
        <v>1</v>
      </c>
      <c r="CD2" s="25" t="s">
        <v>1337</v>
      </c>
      <c r="CE2" s="5" t="s">
        <v>1338</v>
      </c>
      <c r="CF2" s="6" t="s">
        <v>60</v>
      </c>
      <c r="CG2" s="57"/>
      <c r="CH2" s="4">
        <v>1</v>
      </c>
      <c r="CI2" s="25" t="s">
        <v>1339</v>
      </c>
      <c r="CJ2" s="5" t="s">
        <v>1340</v>
      </c>
      <c r="CK2" s="6" t="s">
        <v>59</v>
      </c>
      <c r="CL2" s="57"/>
      <c r="CM2" s="4">
        <v>1</v>
      </c>
      <c r="CN2" s="25" t="s">
        <v>1341</v>
      </c>
      <c r="CO2" s="5" t="s">
        <v>1342</v>
      </c>
      <c r="CP2" s="6" t="s">
        <v>60</v>
      </c>
      <c r="CQ2" s="7"/>
      <c r="CR2" s="23"/>
      <c r="CS2" s="22"/>
      <c r="CT2" s="52"/>
      <c r="CU2" s="52"/>
      <c r="CV2" s="52"/>
      <c r="CW2" s="52"/>
    </row>
    <row r="3" spans="1:101" s="8" customFormat="1" ht="15" customHeight="1">
      <c r="A3" s="9">
        <v>2</v>
      </c>
      <c r="B3" s="26" t="s">
        <v>1343</v>
      </c>
      <c r="C3" s="10" t="s">
        <v>1344</v>
      </c>
      <c r="D3" s="11" t="s">
        <v>59</v>
      </c>
      <c r="E3" s="50"/>
      <c r="F3" s="9">
        <v>2</v>
      </c>
      <c r="G3" s="26" t="s">
        <v>1345</v>
      </c>
      <c r="H3" s="10" t="s">
        <v>1346</v>
      </c>
      <c r="I3" s="11" t="s">
        <v>59</v>
      </c>
      <c r="J3" s="50"/>
      <c r="K3" s="9">
        <v>2</v>
      </c>
      <c r="L3" s="26" t="s">
        <v>1347</v>
      </c>
      <c r="M3" s="10" t="s">
        <v>142</v>
      </c>
      <c r="N3" s="11" t="s">
        <v>59</v>
      </c>
      <c r="O3" s="50"/>
      <c r="P3" s="9">
        <v>2</v>
      </c>
      <c r="Q3" s="26" t="s">
        <v>1385</v>
      </c>
      <c r="R3" s="10" t="s">
        <v>1386</v>
      </c>
      <c r="S3" s="11" t="s">
        <v>59</v>
      </c>
      <c r="T3" s="50"/>
      <c r="U3" s="9">
        <v>2</v>
      </c>
      <c r="V3" s="26" t="s">
        <v>1350</v>
      </c>
      <c r="W3" s="10" t="s">
        <v>1351</v>
      </c>
      <c r="X3" s="11" t="s">
        <v>59</v>
      </c>
      <c r="Y3" s="50"/>
      <c r="Z3" s="9">
        <v>2</v>
      </c>
      <c r="AA3" s="26" t="s">
        <v>1352</v>
      </c>
      <c r="AB3" s="10" t="s">
        <v>1353</v>
      </c>
      <c r="AC3" s="11" t="s">
        <v>59</v>
      </c>
      <c r="AD3" s="50"/>
      <c r="AE3" s="9">
        <v>2</v>
      </c>
      <c r="AF3" s="26" t="s">
        <v>1391</v>
      </c>
      <c r="AG3" s="10" t="s">
        <v>1392</v>
      </c>
      <c r="AH3" s="11" t="s">
        <v>59</v>
      </c>
      <c r="AI3" s="57"/>
      <c r="AJ3" s="9">
        <v>2</v>
      </c>
      <c r="AK3" s="26" t="s">
        <v>1356</v>
      </c>
      <c r="AL3" s="10" t="s">
        <v>1320</v>
      </c>
      <c r="AM3" s="11" t="s">
        <v>59</v>
      </c>
      <c r="AN3" s="57"/>
      <c r="AO3" s="9">
        <v>2</v>
      </c>
      <c r="AP3" s="26" t="s">
        <v>1358</v>
      </c>
      <c r="AQ3" s="10" t="s">
        <v>1359</v>
      </c>
      <c r="AR3" s="11" t="s">
        <v>59</v>
      </c>
      <c r="AS3" s="57"/>
      <c r="AT3" s="9">
        <v>2</v>
      </c>
      <c r="AU3" s="26" t="s">
        <v>1360</v>
      </c>
      <c r="AV3" s="10" t="s">
        <v>1326</v>
      </c>
      <c r="AW3" s="11" t="s">
        <v>59</v>
      </c>
      <c r="AX3" s="57"/>
      <c r="AY3" s="9">
        <v>2</v>
      </c>
      <c r="AZ3" s="26" t="s">
        <v>1361</v>
      </c>
      <c r="BA3" s="10" t="s">
        <v>1362</v>
      </c>
      <c r="BB3" s="11" t="s">
        <v>59</v>
      </c>
      <c r="BC3" s="50"/>
      <c r="BD3" s="9">
        <v>2</v>
      </c>
      <c r="BE3" s="26" t="s">
        <v>1363</v>
      </c>
      <c r="BF3" s="10" t="s">
        <v>1364</v>
      </c>
      <c r="BG3" s="11" t="s">
        <v>59</v>
      </c>
      <c r="BH3" s="50"/>
      <c r="BI3" s="9">
        <v>2</v>
      </c>
      <c r="BJ3" s="26" t="s">
        <v>1365</v>
      </c>
      <c r="BK3" s="10" t="s">
        <v>1366</v>
      </c>
      <c r="BL3" s="11" t="s">
        <v>59</v>
      </c>
      <c r="BM3" s="50"/>
      <c r="BN3" s="9">
        <v>2</v>
      </c>
      <c r="BO3" s="26" t="s">
        <v>1367</v>
      </c>
      <c r="BP3" s="10" t="s">
        <v>1334</v>
      </c>
      <c r="BQ3" s="11" t="s">
        <v>59</v>
      </c>
      <c r="BR3" s="57"/>
      <c r="BS3" s="9">
        <v>2</v>
      </c>
      <c r="BT3" s="26" t="s">
        <v>1369</v>
      </c>
      <c r="BU3" s="10" t="s">
        <v>1407</v>
      </c>
      <c r="BV3" s="11" t="s">
        <v>59</v>
      </c>
      <c r="BW3" s="57"/>
      <c r="BX3" s="9">
        <v>2</v>
      </c>
      <c r="BY3" s="26" t="s">
        <v>1371</v>
      </c>
      <c r="BZ3" s="10" t="s">
        <v>1372</v>
      </c>
      <c r="CA3" s="11" t="s">
        <v>59</v>
      </c>
      <c r="CB3" s="57"/>
      <c r="CC3" s="9">
        <v>2</v>
      </c>
      <c r="CD3" s="26" t="s">
        <v>1373</v>
      </c>
      <c r="CE3" s="10" t="s">
        <v>1374</v>
      </c>
      <c r="CF3" s="11" t="s">
        <v>60</v>
      </c>
      <c r="CG3" s="57"/>
      <c r="CH3" s="9">
        <v>2</v>
      </c>
      <c r="CI3" s="26" t="s">
        <v>1375</v>
      </c>
      <c r="CJ3" s="10" t="s">
        <v>1376</v>
      </c>
      <c r="CK3" s="11" t="s">
        <v>60</v>
      </c>
      <c r="CL3" s="57"/>
      <c r="CM3" s="9">
        <v>2</v>
      </c>
      <c r="CN3" s="26" t="s">
        <v>1377</v>
      </c>
      <c r="CO3" s="10" t="s">
        <v>1378</v>
      </c>
      <c r="CP3" s="11" t="s">
        <v>59</v>
      </c>
      <c r="CQ3" s="7"/>
      <c r="CR3" s="23"/>
      <c r="CS3" s="22"/>
      <c r="CT3" s="52"/>
      <c r="CU3" s="52"/>
      <c r="CV3" s="52"/>
      <c r="CW3" s="52"/>
    </row>
    <row r="4" spans="1:101" s="8" customFormat="1" ht="15" customHeight="1">
      <c r="A4" s="9">
        <v>3</v>
      </c>
      <c r="B4" s="21" t="s">
        <v>1379</v>
      </c>
      <c r="C4" s="10" t="s">
        <v>1380</v>
      </c>
      <c r="D4" s="11" t="s">
        <v>59</v>
      </c>
      <c r="E4" s="50"/>
      <c r="F4" s="9">
        <v>3</v>
      </c>
      <c r="G4" s="21" t="s">
        <v>1381</v>
      </c>
      <c r="H4" s="10" t="s">
        <v>1382</v>
      </c>
      <c r="I4" s="11" t="s">
        <v>59</v>
      </c>
      <c r="J4" s="50"/>
      <c r="K4" s="9">
        <v>3</v>
      </c>
      <c r="L4" s="21" t="s">
        <v>1383</v>
      </c>
      <c r="M4" s="10" t="s">
        <v>1384</v>
      </c>
      <c r="N4" s="11" t="s">
        <v>59</v>
      </c>
      <c r="O4" s="57"/>
      <c r="P4" s="9">
        <v>3</v>
      </c>
      <c r="Q4" s="21" t="s">
        <v>1422</v>
      </c>
      <c r="R4" s="10" t="s">
        <v>1423</v>
      </c>
      <c r="S4" s="11" t="s">
        <v>59</v>
      </c>
      <c r="T4" s="50"/>
      <c r="U4" s="9">
        <v>3</v>
      </c>
      <c r="V4" s="21" t="s">
        <v>1387</v>
      </c>
      <c r="W4" s="10" t="s">
        <v>1388</v>
      </c>
      <c r="X4" s="11" t="s">
        <v>59</v>
      </c>
      <c r="Y4" s="50"/>
      <c r="Z4" s="9">
        <v>3</v>
      </c>
      <c r="AA4" s="21" t="s">
        <v>1389</v>
      </c>
      <c r="AB4" s="10" t="s">
        <v>1390</v>
      </c>
      <c r="AC4" s="11" t="s">
        <v>59</v>
      </c>
      <c r="AD4" s="50"/>
      <c r="AE4" s="9">
        <v>3</v>
      </c>
      <c r="AF4" s="21" t="s">
        <v>1428</v>
      </c>
      <c r="AG4" s="10" t="s">
        <v>1429</v>
      </c>
      <c r="AH4" s="11" t="s">
        <v>59</v>
      </c>
      <c r="AI4" s="57"/>
      <c r="AJ4" s="9">
        <v>3</v>
      </c>
      <c r="AK4" s="21" t="s">
        <v>1430</v>
      </c>
      <c r="AL4" s="10" t="s">
        <v>1431</v>
      </c>
      <c r="AM4" s="11" t="s">
        <v>59</v>
      </c>
      <c r="AN4" s="57"/>
      <c r="AO4" s="9">
        <v>3</v>
      </c>
      <c r="AP4" s="21" t="s">
        <v>1432</v>
      </c>
      <c r="AQ4" s="10" t="s">
        <v>1433</v>
      </c>
      <c r="AR4" s="11" t="s">
        <v>59</v>
      </c>
      <c r="AS4" s="57"/>
      <c r="AT4" s="9">
        <v>3</v>
      </c>
      <c r="AU4" s="21" t="s">
        <v>1397</v>
      </c>
      <c r="AV4" s="10" t="s">
        <v>1398</v>
      </c>
      <c r="AW4" s="11" t="s">
        <v>59</v>
      </c>
      <c r="AX4" s="57"/>
      <c r="AY4" s="9">
        <v>3</v>
      </c>
      <c r="AZ4" s="21" t="s">
        <v>1399</v>
      </c>
      <c r="BA4" s="10" t="s">
        <v>922</v>
      </c>
      <c r="BB4" s="11" t="s">
        <v>59</v>
      </c>
      <c r="BC4" s="50"/>
      <c r="BD4" s="9">
        <v>3</v>
      </c>
      <c r="BE4" s="21" t="s">
        <v>1400</v>
      </c>
      <c r="BF4" s="10" t="s">
        <v>1401</v>
      </c>
      <c r="BG4" s="11" t="s">
        <v>59</v>
      </c>
      <c r="BH4" s="50"/>
      <c r="BI4" s="9">
        <v>3</v>
      </c>
      <c r="BJ4" s="21" t="s">
        <v>1402</v>
      </c>
      <c r="BK4" s="10" t="s">
        <v>1403</v>
      </c>
      <c r="BL4" s="11" t="s">
        <v>59</v>
      </c>
      <c r="BM4" s="50"/>
      <c r="BN4" s="9">
        <v>3</v>
      </c>
      <c r="BO4" s="21" t="s">
        <v>1404</v>
      </c>
      <c r="BP4" s="10" t="s">
        <v>1405</v>
      </c>
      <c r="BQ4" s="11" t="s">
        <v>59</v>
      </c>
      <c r="BR4" s="50"/>
      <c r="BS4" s="9">
        <v>3</v>
      </c>
      <c r="BT4" s="21" t="s">
        <v>1406</v>
      </c>
      <c r="BU4" s="10" t="s">
        <v>1368</v>
      </c>
      <c r="BV4" s="11" t="s">
        <v>60</v>
      </c>
      <c r="BW4" s="50"/>
      <c r="BX4" s="9">
        <v>3</v>
      </c>
      <c r="BY4" s="21" t="s">
        <v>1445</v>
      </c>
      <c r="BZ4" s="10" t="s">
        <v>1446</v>
      </c>
      <c r="CA4" s="11" t="s">
        <v>59</v>
      </c>
      <c r="CB4" s="57"/>
      <c r="CC4" s="9">
        <v>3</v>
      </c>
      <c r="CD4" s="21" t="s">
        <v>1410</v>
      </c>
      <c r="CE4" s="10" t="s">
        <v>1411</v>
      </c>
      <c r="CF4" s="11" t="s">
        <v>59</v>
      </c>
      <c r="CG4" s="57"/>
      <c r="CH4" s="9">
        <v>3</v>
      </c>
      <c r="CI4" s="21" t="s">
        <v>1412</v>
      </c>
      <c r="CJ4" s="10" t="s">
        <v>1413</v>
      </c>
      <c r="CK4" s="11" t="s">
        <v>60</v>
      </c>
      <c r="CL4" s="57"/>
      <c r="CM4" s="9">
        <v>3</v>
      </c>
      <c r="CN4" s="21" t="s">
        <v>1414</v>
      </c>
      <c r="CO4" s="10" t="s">
        <v>1415</v>
      </c>
      <c r="CP4" s="11" t="s">
        <v>59</v>
      </c>
      <c r="CQ4" s="7"/>
      <c r="CR4" s="23"/>
      <c r="CS4" s="22"/>
      <c r="CT4" s="52"/>
      <c r="CU4" s="52"/>
      <c r="CV4" s="52"/>
      <c r="CW4" s="52"/>
    </row>
    <row r="5" spans="1:101" s="8" customFormat="1" ht="15" customHeight="1">
      <c r="A5" s="9">
        <v>4</v>
      </c>
      <c r="B5" s="21" t="s">
        <v>1416</v>
      </c>
      <c r="C5" s="10" t="s">
        <v>1417</v>
      </c>
      <c r="D5" s="11" t="s">
        <v>59</v>
      </c>
      <c r="E5" s="50"/>
      <c r="F5" s="9">
        <v>4</v>
      </c>
      <c r="G5" s="21" t="s">
        <v>1418</v>
      </c>
      <c r="H5" s="10" t="s">
        <v>1419</v>
      </c>
      <c r="I5" s="11" t="s">
        <v>59</v>
      </c>
      <c r="J5" s="50"/>
      <c r="K5" s="9">
        <v>4</v>
      </c>
      <c r="L5" s="21" t="s">
        <v>1420</v>
      </c>
      <c r="M5" s="10" t="s">
        <v>1421</v>
      </c>
      <c r="N5" s="11" t="s">
        <v>59</v>
      </c>
      <c r="O5" s="50"/>
      <c r="P5" s="9">
        <v>4</v>
      </c>
      <c r="Q5" s="21" t="s">
        <v>1459</v>
      </c>
      <c r="R5" s="10" t="s">
        <v>1460</v>
      </c>
      <c r="S5" s="11" t="s">
        <v>59</v>
      </c>
      <c r="T5" s="50"/>
      <c r="U5" s="9">
        <v>4</v>
      </c>
      <c r="V5" s="21" t="s">
        <v>1424</v>
      </c>
      <c r="W5" s="10" t="s">
        <v>1394</v>
      </c>
      <c r="X5" s="11" t="s">
        <v>59</v>
      </c>
      <c r="Y5" s="50"/>
      <c r="Z5" s="9">
        <v>4</v>
      </c>
      <c r="AA5" s="21" t="s">
        <v>1426</v>
      </c>
      <c r="AB5" s="10" t="s">
        <v>1427</v>
      </c>
      <c r="AC5" s="11" t="s">
        <v>59</v>
      </c>
      <c r="AD5" s="50"/>
      <c r="AE5" s="9">
        <v>4</v>
      </c>
      <c r="AF5" s="21" t="s">
        <v>1465</v>
      </c>
      <c r="AG5" s="10" t="s">
        <v>1466</v>
      </c>
      <c r="AH5" s="11" t="s">
        <v>59</v>
      </c>
      <c r="AI5" s="57"/>
      <c r="AJ5" s="9">
        <v>4</v>
      </c>
      <c r="AK5" s="21" t="s">
        <v>1467</v>
      </c>
      <c r="AL5" s="10" t="s">
        <v>1468</v>
      </c>
      <c r="AM5" s="11" t="s">
        <v>59</v>
      </c>
      <c r="AN5" s="57"/>
      <c r="AO5" s="9">
        <v>4</v>
      </c>
      <c r="AP5" s="21" t="s">
        <v>1469</v>
      </c>
      <c r="AQ5" s="10" t="s">
        <v>1470</v>
      </c>
      <c r="AR5" s="11" t="s">
        <v>59</v>
      </c>
      <c r="AS5" s="57"/>
      <c r="AT5" s="9">
        <v>4</v>
      </c>
      <c r="AU5" s="21" t="s">
        <v>1434</v>
      </c>
      <c r="AV5" s="10" t="s">
        <v>1435</v>
      </c>
      <c r="AW5" s="11" t="s">
        <v>59</v>
      </c>
      <c r="AX5" s="57"/>
      <c r="AY5" s="9">
        <v>4</v>
      </c>
      <c r="AZ5" s="21" t="s">
        <v>1473</v>
      </c>
      <c r="BA5" s="10" t="s">
        <v>1474</v>
      </c>
      <c r="BB5" s="11" t="s">
        <v>59</v>
      </c>
      <c r="BC5" s="50"/>
      <c r="BD5" s="9">
        <v>4</v>
      </c>
      <c r="BE5" s="21" t="s">
        <v>1438</v>
      </c>
      <c r="BF5" s="10" t="s">
        <v>1439</v>
      </c>
      <c r="BG5" s="11" t="s">
        <v>59</v>
      </c>
      <c r="BH5" s="50"/>
      <c r="BI5" s="9">
        <v>4</v>
      </c>
      <c r="BJ5" s="21" t="s">
        <v>1440</v>
      </c>
      <c r="BK5" s="10" t="s">
        <v>1441</v>
      </c>
      <c r="BL5" s="11" t="s">
        <v>59</v>
      </c>
      <c r="BM5" s="50"/>
      <c r="BN5" s="9">
        <v>4</v>
      </c>
      <c r="BO5" s="21" t="s">
        <v>1442</v>
      </c>
      <c r="BP5" s="10" t="s">
        <v>1353</v>
      </c>
      <c r="BQ5" s="11" t="s">
        <v>59</v>
      </c>
      <c r="BR5" s="50"/>
      <c r="BS5" s="9">
        <v>4</v>
      </c>
      <c r="BT5" s="21" t="s">
        <v>1480</v>
      </c>
      <c r="BU5" s="10" t="s">
        <v>1481</v>
      </c>
      <c r="BV5" s="11" t="s">
        <v>59</v>
      </c>
      <c r="BW5" s="298"/>
      <c r="BX5" s="9">
        <v>4</v>
      </c>
      <c r="BY5" s="21" t="s">
        <v>1482</v>
      </c>
      <c r="BZ5" s="10" t="s">
        <v>1483</v>
      </c>
      <c r="CA5" s="11" t="s">
        <v>59</v>
      </c>
      <c r="CB5" s="50"/>
      <c r="CC5" s="9">
        <v>4</v>
      </c>
      <c r="CD5" s="21" t="s">
        <v>1447</v>
      </c>
      <c r="CE5" s="10" t="s">
        <v>1448</v>
      </c>
      <c r="CF5" s="11" t="s">
        <v>59</v>
      </c>
      <c r="CG5" s="57"/>
      <c r="CH5" s="9">
        <v>4</v>
      </c>
      <c r="CI5" s="21" t="s">
        <v>1449</v>
      </c>
      <c r="CJ5" s="10" t="s">
        <v>1450</v>
      </c>
      <c r="CK5" s="11" t="s">
        <v>59</v>
      </c>
      <c r="CL5" s="57"/>
      <c r="CM5" s="9">
        <v>4</v>
      </c>
      <c r="CN5" s="21" t="s">
        <v>1451</v>
      </c>
      <c r="CO5" s="10" t="s">
        <v>1452</v>
      </c>
      <c r="CP5" s="11" t="s">
        <v>59</v>
      </c>
      <c r="CQ5" s="7"/>
      <c r="CR5" s="23"/>
      <c r="CS5" s="22"/>
      <c r="CT5" s="52"/>
      <c r="CU5" s="52"/>
      <c r="CV5" s="52"/>
      <c r="CW5" s="52"/>
    </row>
    <row r="6" spans="1:101" s="8" customFormat="1" ht="15" customHeight="1" thickBot="1">
      <c r="A6" s="12">
        <v>5</v>
      </c>
      <c r="B6" s="27" t="s">
        <v>1490</v>
      </c>
      <c r="C6" s="13" t="s">
        <v>1491</v>
      </c>
      <c r="D6" s="14" t="s">
        <v>59</v>
      </c>
      <c r="E6" s="50"/>
      <c r="F6" s="12">
        <v>5</v>
      </c>
      <c r="G6" s="27" t="s">
        <v>1455</v>
      </c>
      <c r="H6" s="13" t="s">
        <v>1456</v>
      </c>
      <c r="I6" s="14" t="s">
        <v>59</v>
      </c>
      <c r="J6" s="50"/>
      <c r="K6" s="12">
        <v>5</v>
      </c>
      <c r="L6" s="27" t="s">
        <v>1457</v>
      </c>
      <c r="M6" s="13" t="s">
        <v>1458</v>
      </c>
      <c r="N6" s="14" t="s">
        <v>59</v>
      </c>
      <c r="O6" s="50"/>
      <c r="P6" s="12">
        <v>5</v>
      </c>
      <c r="Q6" s="27" t="s">
        <v>1496</v>
      </c>
      <c r="R6" s="13" t="s">
        <v>1497</v>
      </c>
      <c r="S6" s="14" t="s">
        <v>59</v>
      </c>
      <c r="T6" s="50"/>
      <c r="U6" s="12">
        <v>5</v>
      </c>
      <c r="V6" s="27" t="s">
        <v>1461</v>
      </c>
      <c r="W6" s="13" t="s">
        <v>1462</v>
      </c>
      <c r="X6" s="14" t="s">
        <v>59</v>
      </c>
      <c r="Y6" s="50"/>
      <c r="Z6" s="12">
        <v>5</v>
      </c>
      <c r="AA6" s="27" t="s">
        <v>1463</v>
      </c>
      <c r="AB6" s="13" t="s">
        <v>1464</v>
      </c>
      <c r="AC6" s="14" t="s">
        <v>59</v>
      </c>
      <c r="AD6" s="50"/>
      <c r="AE6" s="12">
        <v>5</v>
      </c>
      <c r="AF6" s="27" t="s">
        <v>1539</v>
      </c>
      <c r="AG6" s="13" t="s">
        <v>1540</v>
      </c>
      <c r="AH6" s="14" t="s">
        <v>59</v>
      </c>
      <c r="AI6" s="57"/>
      <c r="AJ6" s="12">
        <v>5</v>
      </c>
      <c r="AK6" s="27" t="s">
        <v>1541</v>
      </c>
      <c r="AL6" s="13" t="s">
        <v>179</v>
      </c>
      <c r="AM6" s="14" t="s">
        <v>59</v>
      </c>
      <c r="AN6" s="57"/>
      <c r="AO6" s="12">
        <v>5</v>
      </c>
      <c r="AP6" s="27" t="s">
        <v>1505</v>
      </c>
      <c r="AQ6" s="13" t="s">
        <v>1506</v>
      </c>
      <c r="AR6" s="14" t="s">
        <v>59</v>
      </c>
      <c r="AS6" s="57"/>
      <c r="AT6" s="12">
        <v>5</v>
      </c>
      <c r="AU6" s="27" t="s">
        <v>1471</v>
      </c>
      <c r="AV6" s="13" t="s">
        <v>1472</v>
      </c>
      <c r="AW6" s="14" t="s">
        <v>59</v>
      </c>
      <c r="AX6" s="57"/>
      <c r="AY6" s="12">
        <v>5</v>
      </c>
      <c r="AZ6" s="27" t="s">
        <v>1509</v>
      </c>
      <c r="BA6" s="13" t="s">
        <v>1510</v>
      </c>
      <c r="BB6" s="14" t="s">
        <v>59</v>
      </c>
      <c r="BC6" s="50"/>
      <c r="BD6" s="12">
        <v>5</v>
      </c>
      <c r="BE6" s="27" t="s">
        <v>1475</v>
      </c>
      <c r="BF6" s="13" t="s">
        <v>1476</v>
      </c>
      <c r="BG6" s="14" t="s">
        <v>59</v>
      </c>
      <c r="BH6" s="50"/>
      <c r="BI6" s="12">
        <v>5</v>
      </c>
      <c r="BJ6" s="27" t="s">
        <v>1477</v>
      </c>
      <c r="BK6" s="338" t="s">
        <v>3572</v>
      </c>
      <c r="BL6" s="14" t="s">
        <v>59</v>
      </c>
      <c r="BM6" s="207"/>
      <c r="BN6" s="12">
        <v>5</v>
      </c>
      <c r="BO6" s="27" t="s">
        <v>1478</v>
      </c>
      <c r="BP6" s="13" t="s">
        <v>1479</v>
      </c>
      <c r="BQ6" s="14" t="s">
        <v>59</v>
      </c>
      <c r="BR6" s="57"/>
      <c r="BS6" s="12">
        <v>5</v>
      </c>
      <c r="BT6" s="27" t="s">
        <v>1517</v>
      </c>
      <c r="BU6" s="13" t="s">
        <v>1518</v>
      </c>
      <c r="BV6" s="14" t="s">
        <v>59</v>
      </c>
      <c r="BW6" s="57"/>
      <c r="BX6" s="12">
        <v>5</v>
      </c>
      <c r="BY6" s="27" t="s">
        <v>1519</v>
      </c>
      <c r="BZ6" s="13" t="s">
        <v>1520</v>
      </c>
      <c r="CA6" s="14" t="s">
        <v>60</v>
      </c>
      <c r="CB6" s="57"/>
      <c r="CC6" s="12">
        <v>5</v>
      </c>
      <c r="CD6" s="27" t="s">
        <v>1484</v>
      </c>
      <c r="CE6" s="13" t="s">
        <v>1485</v>
      </c>
      <c r="CF6" s="14" t="s">
        <v>60</v>
      </c>
      <c r="CG6" s="57"/>
      <c r="CH6" s="12">
        <v>5</v>
      </c>
      <c r="CI6" s="27" t="s">
        <v>1523</v>
      </c>
      <c r="CJ6" s="13" t="s">
        <v>1524</v>
      </c>
      <c r="CK6" s="14" t="s">
        <v>60</v>
      </c>
      <c r="CL6" s="57"/>
      <c r="CM6" s="12">
        <v>5</v>
      </c>
      <c r="CN6" s="27" t="s">
        <v>1488</v>
      </c>
      <c r="CO6" s="13" t="s">
        <v>1489</v>
      </c>
      <c r="CP6" s="14" t="s">
        <v>59</v>
      </c>
      <c r="CQ6" s="7"/>
      <c r="CR6" s="23"/>
      <c r="CS6" s="22"/>
      <c r="CT6" s="52"/>
      <c r="CU6" s="52"/>
      <c r="CV6" s="52"/>
      <c r="CW6" s="52"/>
    </row>
    <row r="7" spans="1:101" s="8" customFormat="1" ht="15" customHeight="1" thickTop="1">
      <c r="A7" s="4">
        <v>6</v>
      </c>
      <c r="B7" s="25" t="s">
        <v>1527</v>
      </c>
      <c r="C7" s="5" t="s">
        <v>1528</v>
      </c>
      <c r="D7" s="6" t="s">
        <v>59</v>
      </c>
      <c r="E7" s="50"/>
      <c r="F7" s="4">
        <v>6</v>
      </c>
      <c r="G7" s="25" t="s">
        <v>1492</v>
      </c>
      <c r="H7" s="5" t="s">
        <v>1493</v>
      </c>
      <c r="I7" s="6" t="s">
        <v>59</v>
      </c>
      <c r="J7" s="50"/>
      <c r="K7" s="4">
        <v>6</v>
      </c>
      <c r="L7" s="25" t="s">
        <v>1494</v>
      </c>
      <c r="M7" s="5" t="s">
        <v>1495</v>
      </c>
      <c r="N7" s="6" t="s">
        <v>59</v>
      </c>
      <c r="O7" s="50"/>
      <c r="P7" s="4">
        <v>6</v>
      </c>
      <c r="Q7" s="25" t="s">
        <v>1533</v>
      </c>
      <c r="R7" s="5" t="s">
        <v>1534</v>
      </c>
      <c r="S7" s="6" t="s">
        <v>59</v>
      </c>
      <c r="T7" s="50"/>
      <c r="U7" s="4">
        <v>6</v>
      </c>
      <c r="V7" s="25" t="s">
        <v>1498</v>
      </c>
      <c r="W7" s="5" t="s">
        <v>2688</v>
      </c>
      <c r="X7" s="6" t="s">
        <v>59</v>
      </c>
      <c r="Y7" s="50"/>
      <c r="Z7" s="4">
        <v>6</v>
      </c>
      <c r="AA7" s="25" t="s">
        <v>1499</v>
      </c>
      <c r="AB7" s="5" t="s">
        <v>1500</v>
      </c>
      <c r="AC7" s="6" t="s">
        <v>59</v>
      </c>
      <c r="AD7" s="50"/>
      <c r="AE7" s="4">
        <v>6</v>
      </c>
      <c r="AF7" s="25" t="s">
        <v>1575</v>
      </c>
      <c r="AG7" s="5" t="s">
        <v>1576</v>
      </c>
      <c r="AH7" s="6" t="s">
        <v>59</v>
      </c>
      <c r="AI7" s="57"/>
      <c r="AJ7" s="4">
        <v>6</v>
      </c>
      <c r="AK7" s="25" t="s">
        <v>1577</v>
      </c>
      <c r="AL7" s="5" t="s">
        <v>1578</v>
      </c>
      <c r="AM7" s="6" t="s">
        <v>59</v>
      </c>
      <c r="AN7" s="50"/>
      <c r="AO7" s="4">
        <v>6</v>
      </c>
      <c r="AP7" s="25" t="s">
        <v>1542</v>
      </c>
      <c r="AQ7" s="5" t="s">
        <v>1543</v>
      </c>
      <c r="AR7" s="6" t="s">
        <v>59</v>
      </c>
      <c r="AS7" s="57"/>
      <c r="AT7" s="4">
        <v>6</v>
      </c>
      <c r="AU7" s="25" t="s">
        <v>1507</v>
      </c>
      <c r="AV7" s="5" t="s">
        <v>1508</v>
      </c>
      <c r="AW7" s="6" t="s">
        <v>59</v>
      </c>
      <c r="AX7" s="50"/>
      <c r="AY7" s="4">
        <v>6</v>
      </c>
      <c r="AZ7" s="25" t="s">
        <v>1546</v>
      </c>
      <c r="BA7" s="5" t="s">
        <v>1547</v>
      </c>
      <c r="BB7" s="6" t="s">
        <v>59</v>
      </c>
      <c r="BC7" s="50"/>
      <c r="BD7" s="4">
        <v>6</v>
      </c>
      <c r="BE7" s="25" t="s">
        <v>1548</v>
      </c>
      <c r="BF7" s="5" t="s">
        <v>952</v>
      </c>
      <c r="BG7" s="6" t="s">
        <v>59</v>
      </c>
      <c r="BH7" s="50"/>
      <c r="BI7" s="4">
        <v>6</v>
      </c>
      <c r="BJ7" s="25" t="s">
        <v>1549</v>
      </c>
      <c r="BK7" s="5" t="s">
        <v>1550</v>
      </c>
      <c r="BL7" s="6" t="s">
        <v>59</v>
      </c>
      <c r="BM7" s="50"/>
      <c r="BN7" s="4">
        <v>6</v>
      </c>
      <c r="BO7" s="25" t="s">
        <v>1515</v>
      </c>
      <c r="BP7" s="5" t="s">
        <v>1516</v>
      </c>
      <c r="BQ7" s="6" t="s">
        <v>59</v>
      </c>
      <c r="BR7" s="57"/>
      <c r="BS7" s="4">
        <v>6</v>
      </c>
      <c r="BT7" s="25" t="s">
        <v>1553</v>
      </c>
      <c r="BU7" s="5" t="s">
        <v>1554</v>
      </c>
      <c r="BV7" s="6" t="s">
        <v>59</v>
      </c>
      <c r="BW7" s="57"/>
      <c r="BX7" s="4">
        <v>6</v>
      </c>
      <c r="BY7" s="25" t="s">
        <v>1555</v>
      </c>
      <c r="BZ7" s="5" t="s">
        <v>1556</v>
      </c>
      <c r="CA7" s="6" t="s">
        <v>60</v>
      </c>
      <c r="CB7" s="57"/>
      <c r="CC7" s="4">
        <v>6</v>
      </c>
      <c r="CD7" s="25" t="s">
        <v>1557</v>
      </c>
      <c r="CE7" s="5" t="s">
        <v>1558</v>
      </c>
      <c r="CF7" s="6" t="s">
        <v>60</v>
      </c>
      <c r="CG7" s="57"/>
      <c r="CH7" s="4">
        <v>6</v>
      </c>
      <c r="CI7" s="25" t="s">
        <v>1559</v>
      </c>
      <c r="CJ7" s="5" t="s">
        <v>1560</v>
      </c>
      <c r="CK7" s="6" t="s">
        <v>59</v>
      </c>
      <c r="CL7" s="57"/>
      <c r="CM7" s="4">
        <v>6</v>
      </c>
      <c r="CN7" s="25" t="s">
        <v>1525</v>
      </c>
      <c r="CO7" s="5" t="s">
        <v>1526</v>
      </c>
      <c r="CP7" s="6" t="s">
        <v>59</v>
      </c>
      <c r="CQ7" s="7"/>
      <c r="CR7" s="23"/>
      <c r="CS7" s="22"/>
      <c r="CT7" s="52"/>
      <c r="CU7" s="52"/>
      <c r="CV7" s="52"/>
      <c r="CW7" s="52"/>
    </row>
    <row r="8" spans="1:101" s="8" customFormat="1" ht="15" customHeight="1">
      <c r="A8" s="9">
        <v>7</v>
      </c>
      <c r="B8" s="26" t="s">
        <v>1563</v>
      </c>
      <c r="C8" s="10" t="s">
        <v>1564</v>
      </c>
      <c r="D8" s="11" t="s">
        <v>59</v>
      </c>
      <c r="E8" s="50"/>
      <c r="F8" s="9">
        <v>7</v>
      </c>
      <c r="G8" s="26" t="s">
        <v>1529</v>
      </c>
      <c r="H8" s="10" t="s">
        <v>1530</v>
      </c>
      <c r="I8" s="11" t="s">
        <v>59</v>
      </c>
      <c r="J8" s="50"/>
      <c r="K8" s="9">
        <v>7</v>
      </c>
      <c r="L8" s="26" t="s">
        <v>1531</v>
      </c>
      <c r="M8" s="10" t="s">
        <v>1532</v>
      </c>
      <c r="N8" s="11" t="s">
        <v>59</v>
      </c>
      <c r="O8" s="50"/>
      <c r="P8" s="9">
        <v>7</v>
      </c>
      <c r="Q8" s="26" t="s">
        <v>1569</v>
      </c>
      <c r="R8" s="10" t="s">
        <v>1570</v>
      </c>
      <c r="S8" s="11" t="s">
        <v>59</v>
      </c>
      <c r="T8" s="50"/>
      <c r="U8" s="9">
        <v>7</v>
      </c>
      <c r="V8" s="26" t="s">
        <v>1535</v>
      </c>
      <c r="W8" s="10" t="s">
        <v>1572</v>
      </c>
      <c r="X8" s="11" t="s">
        <v>59</v>
      </c>
      <c r="Y8" s="50"/>
      <c r="Z8" s="9">
        <v>7</v>
      </c>
      <c r="AA8" s="26" t="s">
        <v>1537</v>
      </c>
      <c r="AB8" s="10" t="s">
        <v>1538</v>
      </c>
      <c r="AC8" s="11" t="s">
        <v>59</v>
      </c>
      <c r="AD8" s="50"/>
      <c r="AE8" s="9">
        <v>7</v>
      </c>
      <c r="AF8" s="26" t="s">
        <v>1651</v>
      </c>
      <c r="AG8" s="10" t="s">
        <v>1652</v>
      </c>
      <c r="AH8" s="11" t="s">
        <v>59</v>
      </c>
      <c r="AI8" s="50"/>
      <c r="AJ8" s="9">
        <v>7</v>
      </c>
      <c r="AK8" s="26" t="s">
        <v>1615</v>
      </c>
      <c r="AL8" s="10" t="s">
        <v>1616</v>
      </c>
      <c r="AM8" s="11" t="s">
        <v>59</v>
      </c>
      <c r="AN8" s="57"/>
      <c r="AO8" s="9">
        <v>7</v>
      </c>
      <c r="AP8" s="26" t="s">
        <v>1579</v>
      </c>
      <c r="AQ8" s="10" t="s">
        <v>1580</v>
      </c>
      <c r="AR8" s="11" t="s">
        <v>60</v>
      </c>
      <c r="AS8" s="50"/>
      <c r="AT8" s="9">
        <v>7</v>
      </c>
      <c r="AU8" s="26" t="s">
        <v>1544</v>
      </c>
      <c r="AV8" s="10" t="s">
        <v>1545</v>
      </c>
      <c r="AW8" s="11" t="s">
        <v>59</v>
      </c>
      <c r="AX8" s="57"/>
      <c r="AY8" s="9">
        <v>7</v>
      </c>
      <c r="AZ8" s="26" t="s">
        <v>1583</v>
      </c>
      <c r="BA8" s="10" t="s">
        <v>1584</v>
      </c>
      <c r="BB8" s="11" t="s">
        <v>59</v>
      </c>
      <c r="BC8" s="50"/>
      <c r="BD8" s="9">
        <v>7</v>
      </c>
      <c r="BE8" s="26" t="s">
        <v>1585</v>
      </c>
      <c r="BF8" s="10" t="s">
        <v>1586</v>
      </c>
      <c r="BG8" s="11" t="s">
        <v>59</v>
      </c>
      <c r="BH8" s="50"/>
      <c r="BI8" s="9">
        <v>7</v>
      </c>
      <c r="BJ8" s="26" t="s">
        <v>1625</v>
      </c>
      <c r="BK8" s="10" t="s">
        <v>1626</v>
      </c>
      <c r="BL8" s="11" t="s">
        <v>59</v>
      </c>
      <c r="BM8" s="207"/>
      <c r="BN8" s="9">
        <v>7</v>
      </c>
      <c r="BO8" s="26" t="s">
        <v>1551</v>
      </c>
      <c r="BP8" s="10" t="s">
        <v>1552</v>
      </c>
      <c r="BQ8" s="11" t="s">
        <v>59</v>
      </c>
      <c r="BR8" s="57"/>
      <c r="BS8" s="9">
        <v>7</v>
      </c>
      <c r="BT8" s="26" t="s">
        <v>1591</v>
      </c>
      <c r="BU8" s="10" t="s">
        <v>1592</v>
      </c>
      <c r="BV8" s="11" t="s">
        <v>59</v>
      </c>
      <c r="BW8" s="57"/>
      <c r="BX8" s="9">
        <v>7</v>
      </c>
      <c r="BY8" s="26" t="s">
        <v>1593</v>
      </c>
      <c r="BZ8" s="10" t="s">
        <v>1594</v>
      </c>
      <c r="CA8" s="11" t="s">
        <v>59</v>
      </c>
      <c r="CB8" s="57"/>
      <c r="CC8" s="9">
        <v>7</v>
      </c>
      <c r="CD8" s="26" t="s">
        <v>1595</v>
      </c>
      <c r="CE8" s="10" t="s">
        <v>1596</v>
      </c>
      <c r="CF8" s="11" t="s">
        <v>59</v>
      </c>
      <c r="CG8" s="57"/>
      <c r="CH8" s="9">
        <v>7</v>
      </c>
      <c r="CI8" s="26" t="s">
        <v>1597</v>
      </c>
      <c r="CJ8" s="10" t="s">
        <v>1598</v>
      </c>
      <c r="CK8" s="11" t="s">
        <v>59</v>
      </c>
      <c r="CL8" s="57"/>
      <c r="CM8" s="9">
        <v>7</v>
      </c>
      <c r="CN8" s="26" t="s">
        <v>1561</v>
      </c>
      <c r="CO8" s="10" t="s">
        <v>1562</v>
      </c>
      <c r="CP8" s="11" t="s">
        <v>59</v>
      </c>
      <c r="CQ8" s="7"/>
      <c r="CR8" s="23"/>
      <c r="CS8" s="22"/>
      <c r="CT8" s="52"/>
      <c r="CU8" s="52"/>
      <c r="CV8" s="52"/>
      <c r="CW8" s="52"/>
    </row>
    <row r="9" spans="1:101" s="8" customFormat="1" ht="15" customHeight="1">
      <c r="A9" s="9">
        <v>8</v>
      </c>
      <c r="B9" s="21" t="s">
        <v>1601</v>
      </c>
      <c r="C9" s="10" t="s">
        <v>1602</v>
      </c>
      <c r="D9" s="11" t="s">
        <v>59</v>
      </c>
      <c r="E9" s="50"/>
      <c r="F9" s="9">
        <v>8</v>
      </c>
      <c r="G9" s="21" t="s">
        <v>1565</v>
      </c>
      <c r="H9" s="10" t="s">
        <v>1566</v>
      </c>
      <c r="I9" s="11" t="s">
        <v>59</v>
      </c>
      <c r="J9" s="50"/>
      <c r="K9" s="9">
        <v>8</v>
      </c>
      <c r="L9" s="21" t="s">
        <v>1567</v>
      </c>
      <c r="M9" s="10" t="s">
        <v>1568</v>
      </c>
      <c r="N9" s="11" t="s">
        <v>59</v>
      </c>
      <c r="O9" s="50"/>
      <c r="P9" s="9">
        <v>8</v>
      </c>
      <c r="Q9" s="21" t="s">
        <v>1607</v>
      </c>
      <c r="R9" s="10" t="s">
        <v>1608</v>
      </c>
      <c r="S9" s="11" t="s">
        <v>59</v>
      </c>
      <c r="T9" s="50"/>
      <c r="U9" s="9">
        <v>8</v>
      </c>
      <c r="V9" s="21" t="s">
        <v>1571</v>
      </c>
      <c r="W9" s="10" t="s">
        <v>1610</v>
      </c>
      <c r="X9" s="11" t="s">
        <v>59</v>
      </c>
      <c r="Y9" s="50"/>
      <c r="Z9" s="9">
        <v>8</v>
      </c>
      <c r="AA9" s="21" t="s">
        <v>1573</v>
      </c>
      <c r="AB9" s="10" t="s">
        <v>1574</v>
      </c>
      <c r="AC9" s="11" t="s">
        <v>59</v>
      </c>
      <c r="AD9" s="50"/>
      <c r="AE9" s="9">
        <v>8</v>
      </c>
      <c r="AF9" s="21" t="s">
        <v>1689</v>
      </c>
      <c r="AG9" s="10" t="s">
        <v>1690</v>
      </c>
      <c r="AH9" s="11" t="s">
        <v>59</v>
      </c>
      <c r="AI9" s="50"/>
      <c r="AJ9" s="9">
        <v>8</v>
      </c>
      <c r="AK9" s="21" t="s">
        <v>1653</v>
      </c>
      <c r="AL9" s="10" t="s">
        <v>1536</v>
      </c>
      <c r="AM9" s="11" t="s">
        <v>60</v>
      </c>
      <c r="AN9" s="57"/>
      <c r="AO9" s="9">
        <v>8</v>
      </c>
      <c r="AP9" s="21" t="s">
        <v>1617</v>
      </c>
      <c r="AQ9" s="10" t="s">
        <v>1618</v>
      </c>
      <c r="AR9" s="11" t="s">
        <v>59</v>
      </c>
      <c r="AS9" s="57"/>
      <c r="AT9" s="9">
        <v>8</v>
      </c>
      <c r="AU9" s="21" t="s">
        <v>1581</v>
      </c>
      <c r="AV9" s="10" t="s">
        <v>1582</v>
      </c>
      <c r="AW9" s="11" t="s">
        <v>59</v>
      </c>
      <c r="AX9" s="57"/>
      <c r="AY9" s="9">
        <v>8</v>
      </c>
      <c r="AZ9" s="21" t="s">
        <v>1621</v>
      </c>
      <c r="BA9" s="10" t="s">
        <v>1622</v>
      </c>
      <c r="BB9" s="11" t="s">
        <v>59</v>
      </c>
      <c r="BC9" s="50"/>
      <c r="BD9" s="9">
        <v>8</v>
      </c>
      <c r="BE9" s="21" t="s">
        <v>1623</v>
      </c>
      <c r="BF9" s="10" t="s">
        <v>1624</v>
      </c>
      <c r="BG9" s="11" t="s">
        <v>59</v>
      </c>
      <c r="BH9" s="50"/>
      <c r="BI9" s="9">
        <v>8</v>
      </c>
      <c r="BJ9" s="21" t="s">
        <v>1663</v>
      </c>
      <c r="BK9" s="10" t="s">
        <v>1664</v>
      </c>
      <c r="BL9" s="11" t="s">
        <v>59</v>
      </c>
      <c r="BM9" s="50"/>
      <c r="BN9" s="9">
        <v>8</v>
      </c>
      <c r="BO9" s="21" t="s">
        <v>1627</v>
      </c>
      <c r="BP9" s="10" t="s">
        <v>1743</v>
      </c>
      <c r="BQ9" s="11" t="s">
        <v>59</v>
      </c>
      <c r="BR9" s="50"/>
      <c r="BS9" s="9">
        <v>8</v>
      </c>
      <c r="BT9" s="21" t="s">
        <v>1629</v>
      </c>
      <c r="BU9" s="10" t="s">
        <v>1630</v>
      </c>
      <c r="BV9" s="11" t="s">
        <v>59</v>
      </c>
      <c r="BW9" s="57"/>
      <c r="BX9" s="9">
        <v>8</v>
      </c>
      <c r="BY9" s="21" t="s">
        <v>1631</v>
      </c>
      <c r="BZ9" s="10" t="s">
        <v>1632</v>
      </c>
      <c r="CA9" s="11" t="s">
        <v>59</v>
      </c>
      <c r="CB9" s="57"/>
      <c r="CC9" s="9">
        <v>8</v>
      </c>
      <c r="CD9" s="21" t="s">
        <v>1633</v>
      </c>
      <c r="CE9" s="10" t="s">
        <v>1634</v>
      </c>
      <c r="CF9" s="11" t="s">
        <v>60</v>
      </c>
      <c r="CG9" s="57"/>
      <c r="CH9" s="9">
        <v>8</v>
      </c>
      <c r="CI9" s="21" t="s">
        <v>1635</v>
      </c>
      <c r="CJ9" s="10" t="s">
        <v>1636</v>
      </c>
      <c r="CK9" s="11" t="s">
        <v>59</v>
      </c>
      <c r="CL9" s="57"/>
      <c r="CM9" s="9">
        <v>8</v>
      </c>
      <c r="CN9" s="21" t="s">
        <v>1599</v>
      </c>
      <c r="CO9" s="10" t="s">
        <v>1600</v>
      </c>
      <c r="CP9" s="11" t="s">
        <v>60</v>
      </c>
      <c r="CQ9" s="7"/>
      <c r="CR9" s="23"/>
      <c r="CS9" s="22"/>
      <c r="CT9" s="52"/>
      <c r="CU9" s="52"/>
      <c r="CV9" s="52"/>
      <c r="CW9" s="52"/>
    </row>
    <row r="10" spans="1:101" s="8" customFormat="1" ht="15" customHeight="1">
      <c r="A10" s="9">
        <v>9</v>
      </c>
      <c r="B10" s="21" t="s">
        <v>1639</v>
      </c>
      <c r="C10" s="10" t="s">
        <v>1640</v>
      </c>
      <c r="D10" s="11" t="s">
        <v>59</v>
      </c>
      <c r="E10" s="57"/>
      <c r="F10" s="9">
        <v>9</v>
      </c>
      <c r="G10" s="21" t="s">
        <v>1603</v>
      </c>
      <c r="H10" s="10" t="s">
        <v>1604</v>
      </c>
      <c r="I10" s="11" t="s">
        <v>59</v>
      </c>
      <c r="J10" s="50"/>
      <c r="K10" s="9">
        <v>9</v>
      </c>
      <c r="L10" s="21" t="s">
        <v>1605</v>
      </c>
      <c r="M10" s="10" t="s">
        <v>1606</v>
      </c>
      <c r="N10" s="11" t="s">
        <v>60</v>
      </c>
      <c r="O10" s="50"/>
      <c r="P10" s="9">
        <v>9</v>
      </c>
      <c r="Q10" s="21" t="s">
        <v>1645</v>
      </c>
      <c r="R10" s="10" t="s">
        <v>1646</v>
      </c>
      <c r="S10" s="11" t="s">
        <v>59</v>
      </c>
      <c r="T10" s="50"/>
      <c r="U10" s="9">
        <v>9</v>
      </c>
      <c r="V10" s="21" t="s">
        <v>1609</v>
      </c>
      <c r="W10" s="10" t="s">
        <v>1648</v>
      </c>
      <c r="X10" s="11" t="s">
        <v>59</v>
      </c>
      <c r="Y10" s="50"/>
      <c r="Z10" s="9">
        <v>9</v>
      </c>
      <c r="AA10" s="21" t="s">
        <v>1611</v>
      </c>
      <c r="AB10" s="10" t="s">
        <v>1612</v>
      </c>
      <c r="AC10" s="11" t="s">
        <v>59</v>
      </c>
      <c r="AD10" s="50"/>
      <c r="AE10" s="9">
        <v>9</v>
      </c>
      <c r="AF10" s="21" t="s">
        <v>1727</v>
      </c>
      <c r="AG10" s="10" t="s">
        <v>955</v>
      </c>
      <c r="AH10" s="11" t="s">
        <v>59</v>
      </c>
      <c r="AI10" s="57"/>
      <c r="AJ10" s="9">
        <v>9</v>
      </c>
      <c r="AK10" s="21" t="s">
        <v>1691</v>
      </c>
      <c r="AL10" s="10" t="s">
        <v>1654</v>
      </c>
      <c r="AM10" s="11" t="s">
        <v>59</v>
      </c>
      <c r="AN10" s="50"/>
      <c r="AO10" s="9">
        <v>9</v>
      </c>
      <c r="AP10" s="21" t="s">
        <v>1655</v>
      </c>
      <c r="AQ10" s="10" t="s">
        <v>1656</v>
      </c>
      <c r="AR10" s="11" t="s">
        <v>60</v>
      </c>
      <c r="AS10" s="57"/>
      <c r="AT10" s="9">
        <v>9</v>
      </c>
      <c r="AU10" s="21" t="s">
        <v>1619</v>
      </c>
      <c r="AV10" s="10" t="s">
        <v>1620</v>
      </c>
      <c r="AW10" s="11" t="s">
        <v>59</v>
      </c>
      <c r="AX10" s="57"/>
      <c r="AY10" s="9">
        <v>9</v>
      </c>
      <c r="AZ10" s="21" t="s">
        <v>1659</v>
      </c>
      <c r="BA10" s="10" t="s">
        <v>1660</v>
      </c>
      <c r="BB10" s="11" t="s">
        <v>59</v>
      </c>
      <c r="BC10" s="50"/>
      <c r="BD10" s="9">
        <v>9</v>
      </c>
      <c r="BE10" s="21" t="s">
        <v>1661</v>
      </c>
      <c r="BF10" s="10" t="s">
        <v>1662</v>
      </c>
      <c r="BG10" s="11" t="s">
        <v>59</v>
      </c>
      <c r="BH10" s="50"/>
      <c r="BI10" s="9">
        <v>9</v>
      </c>
      <c r="BJ10" s="21" t="s">
        <v>1701</v>
      </c>
      <c r="BK10" s="10" t="s">
        <v>1702</v>
      </c>
      <c r="BL10" s="11" t="s">
        <v>59</v>
      </c>
      <c r="BM10" s="50"/>
      <c r="BN10" s="9">
        <v>9</v>
      </c>
      <c r="BO10" s="21" t="s">
        <v>1665</v>
      </c>
      <c r="BP10" s="10" t="s">
        <v>1628</v>
      </c>
      <c r="BQ10" s="11" t="s">
        <v>59</v>
      </c>
      <c r="BR10" s="50"/>
      <c r="BS10" s="9">
        <v>9</v>
      </c>
      <c r="BT10" s="21" t="s">
        <v>1667</v>
      </c>
      <c r="BU10" s="10" t="s">
        <v>1668</v>
      </c>
      <c r="BV10" s="11" t="s">
        <v>59</v>
      </c>
      <c r="BW10" s="57"/>
      <c r="BX10" s="9">
        <v>9</v>
      </c>
      <c r="BY10" s="21" t="s">
        <v>1669</v>
      </c>
      <c r="BZ10" s="10" t="s">
        <v>1670</v>
      </c>
      <c r="CA10" s="11" t="s">
        <v>59</v>
      </c>
      <c r="CB10" s="50"/>
      <c r="CC10" s="9">
        <v>9</v>
      </c>
      <c r="CD10" s="21" t="s">
        <v>1671</v>
      </c>
      <c r="CE10" s="10" t="s">
        <v>1672</v>
      </c>
      <c r="CF10" s="11" t="s">
        <v>60</v>
      </c>
      <c r="CG10" s="57"/>
      <c r="CH10" s="9">
        <v>9</v>
      </c>
      <c r="CI10" s="21" t="s">
        <v>1673</v>
      </c>
      <c r="CJ10" s="10" t="s">
        <v>1674</v>
      </c>
      <c r="CK10" s="11" t="s">
        <v>59</v>
      </c>
      <c r="CL10" s="57"/>
      <c r="CM10" s="9">
        <v>9</v>
      </c>
      <c r="CN10" s="21" t="s">
        <v>1637</v>
      </c>
      <c r="CO10" s="10" t="s">
        <v>1638</v>
      </c>
      <c r="CP10" s="11" t="s">
        <v>59</v>
      </c>
      <c r="CQ10" s="7"/>
      <c r="CR10" s="23"/>
      <c r="CS10" s="22"/>
      <c r="CT10" s="52"/>
      <c r="CU10" s="52"/>
      <c r="CV10" s="52"/>
      <c r="CW10" s="52"/>
    </row>
    <row r="11" spans="1:101" s="8" customFormat="1" ht="15" customHeight="1" thickBot="1">
      <c r="A11" s="12">
        <v>10</v>
      </c>
      <c r="B11" s="27" t="s">
        <v>1677</v>
      </c>
      <c r="C11" s="13" t="s">
        <v>1678</v>
      </c>
      <c r="D11" s="14" t="s">
        <v>60</v>
      </c>
      <c r="E11" s="50"/>
      <c r="F11" s="12">
        <v>10</v>
      </c>
      <c r="G11" s="27" t="s">
        <v>1641</v>
      </c>
      <c r="H11" s="13" t="s">
        <v>1642</v>
      </c>
      <c r="I11" s="14" t="s">
        <v>59</v>
      </c>
      <c r="J11" s="50"/>
      <c r="K11" s="12">
        <v>10</v>
      </c>
      <c r="L11" s="27" t="s">
        <v>1643</v>
      </c>
      <c r="M11" s="13" t="s">
        <v>1644</v>
      </c>
      <c r="N11" s="14" t="s">
        <v>59</v>
      </c>
      <c r="O11" s="50"/>
      <c r="P11" s="12">
        <v>10</v>
      </c>
      <c r="Q11" s="27" t="s">
        <v>1683</v>
      </c>
      <c r="R11" s="13" t="s">
        <v>1684</v>
      </c>
      <c r="S11" s="14" t="s">
        <v>59</v>
      </c>
      <c r="T11" s="50"/>
      <c r="U11" s="12">
        <v>10</v>
      </c>
      <c r="V11" s="27" t="s">
        <v>1647</v>
      </c>
      <c r="W11" s="13" t="s">
        <v>1686</v>
      </c>
      <c r="X11" s="14" t="s">
        <v>59</v>
      </c>
      <c r="Y11" s="50"/>
      <c r="Z11" s="12">
        <v>10</v>
      </c>
      <c r="AA11" s="27" t="s">
        <v>1649</v>
      </c>
      <c r="AB11" s="13" t="s">
        <v>1650</v>
      </c>
      <c r="AC11" s="14" t="s">
        <v>59</v>
      </c>
      <c r="AD11" s="50"/>
      <c r="AE11" s="12">
        <v>10</v>
      </c>
      <c r="AF11" s="27" t="s">
        <v>1764</v>
      </c>
      <c r="AG11" s="13" t="s">
        <v>1765</v>
      </c>
      <c r="AH11" s="14" t="s">
        <v>59</v>
      </c>
      <c r="AI11" s="57"/>
      <c r="AJ11" s="12">
        <v>10</v>
      </c>
      <c r="AK11" s="27" t="s">
        <v>1728</v>
      </c>
      <c r="AL11" s="13" t="s">
        <v>1692</v>
      </c>
      <c r="AM11" s="14" t="s">
        <v>59</v>
      </c>
      <c r="AN11" s="50"/>
      <c r="AO11" s="12">
        <v>10</v>
      </c>
      <c r="AP11" s="27" t="s">
        <v>1693</v>
      </c>
      <c r="AQ11" s="13" t="s">
        <v>1694</v>
      </c>
      <c r="AR11" s="14" t="s">
        <v>59</v>
      </c>
      <c r="AS11" s="57"/>
      <c r="AT11" s="12">
        <v>10</v>
      </c>
      <c r="AU11" s="27" t="s">
        <v>1657</v>
      </c>
      <c r="AV11" s="13" t="s">
        <v>1658</v>
      </c>
      <c r="AW11" s="14" t="s">
        <v>60</v>
      </c>
      <c r="AX11" s="57"/>
      <c r="AY11" s="12">
        <v>10</v>
      </c>
      <c r="AZ11" s="27" t="s">
        <v>1697</v>
      </c>
      <c r="BA11" s="13" t="s">
        <v>1698</v>
      </c>
      <c r="BB11" s="14" t="s">
        <v>59</v>
      </c>
      <c r="BC11" s="50"/>
      <c r="BD11" s="12">
        <v>10</v>
      </c>
      <c r="BE11" s="27" t="s">
        <v>1699</v>
      </c>
      <c r="BF11" s="13" t="s">
        <v>1700</v>
      </c>
      <c r="BG11" s="14" t="s">
        <v>59</v>
      </c>
      <c r="BH11" s="50"/>
      <c r="BI11" s="12">
        <v>10</v>
      </c>
      <c r="BJ11" s="27" t="s">
        <v>1738</v>
      </c>
      <c r="BK11" s="13" t="s">
        <v>1739</v>
      </c>
      <c r="BL11" s="14" t="s">
        <v>59</v>
      </c>
      <c r="BM11" s="50"/>
      <c r="BN11" s="12">
        <v>10</v>
      </c>
      <c r="BO11" s="27" t="s">
        <v>1703</v>
      </c>
      <c r="BP11" s="13" t="s">
        <v>1704</v>
      </c>
      <c r="BQ11" s="14" t="s">
        <v>59</v>
      </c>
      <c r="BR11" s="50"/>
      <c r="BS11" s="12">
        <v>10</v>
      </c>
      <c r="BT11" s="27" t="s">
        <v>1705</v>
      </c>
      <c r="BU11" s="13" t="s">
        <v>1706</v>
      </c>
      <c r="BV11" s="14" t="s">
        <v>59</v>
      </c>
      <c r="BW11" s="50"/>
      <c r="BX11" s="12">
        <v>10</v>
      </c>
      <c r="BY11" s="27" t="s">
        <v>1707</v>
      </c>
      <c r="BZ11" s="13" t="s">
        <v>1708</v>
      </c>
      <c r="CA11" s="14" t="s">
        <v>60</v>
      </c>
      <c r="CB11" s="57"/>
      <c r="CC11" s="12">
        <v>10</v>
      </c>
      <c r="CD11" s="27" t="s">
        <v>1709</v>
      </c>
      <c r="CE11" s="13" t="s">
        <v>1710</v>
      </c>
      <c r="CF11" s="14" t="s">
        <v>60</v>
      </c>
      <c r="CG11" s="57"/>
      <c r="CH11" s="12">
        <v>10</v>
      </c>
      <c r="CI11" s="27" t="s">
        <v>1711</v>
      </c>
      <c r="CJ11" s="13" t="s">
        <v>1712</v>
      </c>
      <c r="CK11" s="14" t="s">
        <v>59</v>
      </c>
      <c r="CL11" s="57"/>
      <c r="CM11" s="12">
        <v>10</v>
      </c>
      <c r="CN11" s="27" t="s">
        <v>1675</v>
      </c>
      <c r="CO11" s="13" t="s">
        <v>1676</v>
      </c>
      <c r="CP11" s="14" t="s">
        <v>59</v>
      </c>
      <c r="CQ11" s="7"/>
      <c r="CR11" s="23"/>
      <c r="CS11" s="22"/>
      <c r="CT11" s="52"/>
      <c r="CU11" s="52"/>
      <c r="CV11" s="52"/>
      <c r="CW11" s="52"/>
    </row>
    <row r="12" spans="1:101" s="8" customFormat="1" ht="15" customHeight="1" thickTop="1">
      <c r="A12" s="4">
        <v>11</v>
      </c>
      <c r="B12" s="25" t="s">
        <v>1715</v>
      </c>
      <c r="C12" s="5" t="s">
        <v>1716</v>
      </c>
      <c r="D12" s="6" t="s">
        <v>59</v>
      </c>
      <c r="E12" s="50"/>
      <c r="F12" s="4">
        <v>11</v>
      </c>
      <c r="G12" s="25" t="s">
        <v>1754</v>
      </c>
      <c r="H12" s="5" t="s">
        <v>1755</v>
      </c>
      <c r="I12" s="6" t="s">
        <v>59</v>
      </c>
      <c r="J12" s="50"/>
      <c r="K12" s="4">
        <v>11</v>
      </c>
      <c r="L12" s="25" t="s">
        <v>1681</v>
      </c>
      <c r="M12" s="5" t="s">
        <v>1682</v>
      </c>
      <c r="N12" s="6" t="s">
        <v>59</v>
      </c>
      <c r="O12" s="50"/>
      <c r="P12" s="4">
        <v>11</v>
      </c>
      <c r="Q12" s="25" t="s">
        <v>1721</v>
      </c>
      <c r="R12" s="5" t="s">
        <v>1722</v>
      </c>
      <c r="S12" s="6" t="s">
        <v>59</v>
      </c>
      <c r="T12" s="50"/>
      <c r="U12" s="4">
        <v>11</v>
      </c>
      <c r="V12" s="25" t="s">
        <v>1685</v>
      </c>
      <c r="W12" s="5" t="s">
        <v>1724</v>
      </c>
      <c r="X12" s="6" t="s">
        <v>59</v>
      </c>
      <c r="Y12" s="50"/>
      <c r="Z12" s="4">
        <v>11</v>
      </c>
      <c r="AA12" s="25" t="s">
        <v>1687</v>
      </c>
      <c r="AB12" s="5" t="s">
        <v>1688</v>
      </c>
      <c r="AC12" s="6" t="s">
        <v>59</v>
      </c>
      <c r="AD12" s="50"/>
      <c r="AE12" s="4">
        <v>11</v>
      </c>
      <c r="AF12" s="25" t="s">
        <v>1801</v>
      </c>
      <c r="AG12" s="5" t="s">
        <v>1802</v>
      </c>
      <c r="AH12" s="6" t="s">
        <v>59</v>
      </c>
      <c r="AI12" s="57"/>
      <c r="AJ12" s="4">
        <v>11</v>
      </c>
      <c r="AK12" s="25" t="s">
        <v>1766</v>
      </c>
      <c r="AL12" s="5" t="s">
        <v>1729</v>
      </c>
      <c r="AM12" s="6" t="s">
        <v>59</v>
      </c>
      <c r="AN12" s="57"/>
      <c r="AO12" s="4">
        <v>11</v>
      </c>
      <c r="AP12" s="25" t="s">
        <v>1730</v>
      </c>
      <c r="AQ12" s="5" t="s">
        <v>1731</v>
      </c>
      <c r="AR12" s="6" t="s">
        <v>59</v>
      </c>
      <c r="AS12" s="57"/>
      <c r="AT12" s="4">
        <v>11</v>
      </c>
      <c r="AU12" s="25" t="s">
        <v>1732</v>
      </c>
      <c r="AV12" s="5" t="s">
        <v>1733</v>
      </c>
      <c r="AW12" s="6" t="s">
        <v>59</v>
      </c>
      <c r="AX12" s="57"/>
      <c r="AY12" s="4">
        <v>11</v>
      </c>
      <c r="AZ12" s="25" t="s">
        <v>1734</v>
      </c>
      <c r="BA12" s="5" t="s">
        <v>1735</v>
      </c>
      <c r="BB12" s="6" t="s">
        <v>59</v>
      </c>
      <c r="BC12" s="50"/>
      <c r="BD12" s="4">
        <v>11</v>
      </c>
      <c r="BE12" s="25" t="s">
        <v>1773</v>
      </c>
      <c r="BF12" s="5" t="s">
        <v>1774</v>
      </c>
      <c r="BG12" s="6" t="s">
        <v>59</v>
      </c>
      <c r="BH12" s="50"/>
      <c r="BI12" s="4">
        <v>11</v>
      </c>
      <c r="BJ12" s="25" t="s">
        <v>1775</v>
      </c>
      <c r="BK12" s="5" t="s">
        <v>1776</v>
      </c>
      <c r="BL12" s="6" t="s">
        <v>59</v>
      </c>
      <c r="BM12" s="50"/>
      <c r="BN12" s="4">
        <v>11</v>
      </c>
      <c r="BO12" s="25" t="s">
        <v>1777</v>
      </c>
      <c r="BP12" s="5" t="s">
        <v>1778</v>
      </c>
      <c r="BQ12" s="6" t="s">
        <v>59</v>
      </c>
      <c r="BR12" s="50"/>
      <c r="BS12" s="4">
        <v>11</v>
      </c>
      <c r="BT12" s="25" t="s">
        <v>1742</v>
      </c>
      <c r="BU12" s="5" t="s">
        <v>1666</v>
      </c>
      <c r="BV12" s="6" t="s">
        <v>60</v>
      </c>
      <c r="BW12" s="57"/>
      <c r="BX12" s="4">
        <v>11</v>
      </c>
      <c r="BY12" s="25" t="s">
        <v>1744</v>
      </c>
      <c r="BZ12" s="5" t="s">
        <v>1745</v>
      </c>
      <c r="CA12" s="6" t="s">
        <v>60</v>
      </c>
      <c r="CB12" s="50"/>
      <c r="CC12" s="4">
        <v>11</v>
      </c>
      <c r="CD12" s="25" t="s">
        <v>1746</v>
      </c>
      <c r="CE12" s="5" t="s">
        <v>1747</v>
      </c>
      <c r="CF12" s="6" t="s">
        <v>60</v>
      </c>
      <c r="CG12" s="57"/>
      <c r="CH12" s="4">
        <v>11</v>
      </c>
      <c r="CI12" s="25" t="s">
        <v>1748</v>
      </c>
      <c r="CJ12" s="5" t="s">
        <v>1749</v>
      </c>
      <c r="CK12" s="6" t="s">
        <v>59</v>
      </c>
      <c r="CL12" s="57"/>
      <c r="CM12" s="4">
        <v>11</v>
      </c>
      <c r="CN12" s="25" t="s">
        <v>1713</v>
      </c>
      <c r="CO12" s="5" t="s">
        <v>1714</v>
      </c>
      <c r="CP12" s="6" t="s">
        <v>59</v>
      </c>
      <c r="CQ12" s="7"/>
      <c r="CR12" s="23"/>
      <c r="CS12" s="22"/>
      <c r="CT12" s="52"/>
      <c r="CU12" s="52"/>
      <c r="CV12" s="52"/>
      <c r="CW12" s="52"/>
    </row>
    <row r="13" spans="1:101" s="8" customFormat="1" ht="15" customHeight="1">
      <c r="A13" s="9">
        <v>12</v>
      </c>
      <c r="B13" s="26" t="s">
        <v>1752</v>
      </c>
      <c r="C13" s="10" t="s">
        <v>1753</v>
      </c>
      <c r="D13" s="11" t="s">
        <v>60</v>
      </c>
      <c r="E13" s="50"/>
      <c r="F13" s="9">
        <v>12</v>
      </c>
      <c r="G13" s="26" t="s">
        <v>1791</v>
      </c>
      <c r="H13" s="10" t="s">
        <v>1792</v>
      </c>
      <c r="I13" s="11" t="s">
        <v>59</v>
      </c>
      <c r="J13" s="50"/>
      <c r="K13" s="9">
        <v>12</v>
      </c>
      <c r="L13" s="26" t="s">
        <v>1719</v>
      </c>
      <c r="M13" s="10" t="s">
        <v>1720</v>
      </c>
      <c r="N13" s="11" t="s">
        <v>59</v>
      </c>
      <c r="O13" s="50"/>
      <c r="P13" s="9">
        <v>12</v>
      </c>
      <c r="Q13" s="26" t="s">
        <v>1758</v>
      </c>
      <c r="R13" s="10" t="s">
        <v>1759</v>
      </c>
      <c r="S13" s="11" t="s">
        <v>59</v>
      </c>
      <c r="T13" s="50"/>
      <c r="U13" s="9">
        <v>12</v>
      </c>
      <c r="V13" s="26" t="s">
        <v>1723</v>
      </c>
      <c r="W13" s="10" t="s">
        <v>1761</v>
      </c>
      <c r="X13" s="11" t="s">
        <v>59</v>
      </c>
      <c r="Y13" s="50"/>
      <c r="Z13" s="9">
        <v>12</v>
      </c>
      <c r="AA13" s="26" t="s">
        <v>1725</v>
      </c>
      <c r="AB13" s="10" t="s">
        <v>1726</v>
      </c>
      <c r="AC13" s="11" t="s">
        <v>59</v>
      </c>
      <c r="AD13" s="50"/>
      <c r="AE13" s="9">
        <v>12</v>
      </c>
      <c r="AF13" s="26" t="s">
        <v>1834</v>
      </c>
      <c r="AG13" s="10" t="s">
        <v>1835</v>
      </c>
      <c r="AH13" s="11" t="s">
        <v>59</v>
      </c>
      <c r="AI13" s="50"/>
      <c r="AJ13" s="9">
        <v>12</v>
      </c>
      <c r="AK13" s="26" t="s">
        <v>1803</v>
      </c>
      <c r="AL13" s="10" t="s">
        <v>1767</v>
      </c>
      <c r="AM13" s="11" t="s">
        <v>59</v>
      </c>
      <c r="AN13" s="50"/>
      <c r="AO13" s="9">
        <v>12</v>
      </c>
      <c r="AP13" s="26" t="s">
        <v>1768</v>
      </c>
      <c r="AQ13" s="10" t="s">
        <v>582</v>
      </c>
      <c r="AR13" s="11" t="s">
        <v>59</v>
      </c>
      <c r="AS13" s="54"/>
      <c r="AT13" s="9">
        <v>12</v>
      </c>
      <c r="AU13" s="26" t="s">
        <v>1769</v>
      </c>
      <c r="AV13" s="10" t="s">
        <v>1770</v>
      </c>
      <c r="AW13" s="11" t="s">
        <v>59</v>
      </c>
      <c r="AX13" s="57"/>
      <c r="AY13" s="9">
        <v>12</v>
      </c>
      <c r="AZ13" s="26" t="s">
        <v>1771</v>
      </c>
      <c r="BA13" s="10" t="s">
        <v>1772</v>
      </c>
      <c r="BB13" s="11" t="s">
        <v>59</v>
      </c>
      <c r="BC13" s="50"/>
      <c r="BD13" s="9">
        <v>12</v>
      </c>
      <c r="BE13" s="26" t="s">
        <v>1809</v>
      </c>
      <c r="BF13" s="10" t="s">
        <v>1810</v>
      </c>
      <c r="BG13" s="11" t="s">
        <v>59</v>
      </c>
      <c r="BH13" s="50"/>
      <c r="BI13" s="9">
        <v>12</v>
      </c>
      <c r="BJ13" s="26" t="s">
        <v>1846</v>
      </c>
      <c r="BK13" s="10" t="s">
        <v>1847</v>
      </c>
      <c r="BL13" s="11" t="s">
        <v>60</v>
      </c>
      <c r="BM13" s="207"/>
      <c r="BN13" s="9">
        <v>12</v>
      </c>
      <c r="BO13" s="26" t="s">
        <v>1813</v>
      </c>
      <c r="BP13" s="10" t="s">
        <v>1814</v>
      </c>
      <c r="BQ13" s="11" t="s">
        <v>59</v>
      </c>
      <c r="BR13" s="50"/>
      <c r="BS13" s="9">
        <v>12</v>
      </c>
      <c r="BT13" s="26" t="s">
        <v>1779</v>
      </c>
      <c r="BU13" s="10" t="s">
        <v>1780</v>
      </c>
      <c r="BV13" s="11" t="s">
        <v>59</v>
      </c>
      <c r="BW13" s="57"/>
      <c r="BX13" s="9">
        <v>12</v>
      </c>
      <c r="BY13" s="26" t="s">
        <v>1781</v>
      </c>
      <c r="BZ13" s="10" t="s">
        <v>1782</v>
      </c>
      <c r="CA13" s="11" t="s">
        <v>59</v>
      </c>
      <c r="CB13" s="57"/>
      <c r="CC13" s="9">
        <v>12</v>
      </c>
      <c r="CD13" s="26" t="s">
        <v>1783</v>
      </c>
      <c r="CE13" s="10" t="s">
        <v>1784</v>
      </c>
      <c r="CF13" s="11" t="s">
        <v>59</v>
      </c>
      <c r="CG13" s="15"/>
      <c r="CH13" s="9">
        <v>12</v>
      </c>
      <c r="CI13" s="26" t="s">
        <v>1785</v>
      </c>
      <c r="CJ13" s="10" t="s">
        <v>1786</v>
      </c>
      <c r="CK13" s="11" t="s">
        <v>59</v>
      </c>
      <c r="CL13" s="57"/>
      <c r="CM13" s="9">
        <v>12</v>
      </c>
      <c r="CN13" s="26" t="s">
        <v>1750</v>
      </c>
      <c r="CO13" s="10" t="s">
        <v>1751</v>
      </c>
      <c r="CP13" s="11" t="s">
        <v>59</v>
      </c>
      <c r="CQ13" s="7"/>
      <c r="CR13" s="23"/>
      <c r="CS13" s="22"/>
      <c r="CT13" s="52"/>
      <c r="CU13" s="52"/>
      <c r="CV13" s="52"/>
      <c r="CW13" s="52"/>
    </row>
    <row r="14" spans="1:101" s="8" customFormat="1" ht="15" customHeight="1">
      <c r="A14" s="9">
        <v>13</v>
      </c>
      <c r="B14" s="21" t="s">
        <v>1789</v>
      </c>
      <c r="C14" s="10" t="s">
        <v>1790</v>
      </c>
      <c r="D14" s="11" t="s">
        <v>59</v>
      </c>
      <c r="E14" s="50"/>
      <c r="F14" s="9">
        <v>13</v>
      </c>
      <c r="G14" s="21" t="s">
        <v>1825</v>
      </c>
      <c r="H14" s="10" t="s">
        <v>1826</v>
      </c>
      <c r="I14" s="11" t="s">
        <v>59</v>
      </c>
      <c r="J14" s="50"/>
      <c r="K14" s="9">
        <v>13</v>
      </c>
      <c r="L14" s="21" t="s">
        <v>1756</v>
      </c>
      <c r="M14" s="10" t="s">
        <v>1757</v>
      </c>
      <c r="N14" s="11" t="s">
        <v>59</v>
      </c>
      <c r="O14" s="50"/>
      <c r="P14" s="9">
        <v>13</v>
      </c>
      <c r="Q14" s="21" t="s">
        <v>1795</v>
      </c>
      <c r="R14" s="10" t="s">
        <v>1796</v>
      </c>
      <c r="S14" s="11" t="s">
        <v>59</v>
      </c>
      <c r="T14" s="50"/>
      <c r="U14" s="9">
        <v>13</v>
      </c>
      <c r="V14" s="21" t="s">
        <v>1760</v>
      </c>
      <c r="W14" s="10" t="s">
        <v>1798</v>
      </c>
      <c r="X14" s="11" t="s">
        <v>59</v>
      </c>
      <c r="Y14" s="50"/>
      <c r="Z14" s="9">
        <v>13</v>
      </c>
      <c r="AA14" s="21" t="s">
        <v>1762</v>
      </c>
      <c r="AB14" s="10" t="s">
        <v>1763</v>
      </c>
      <c r="AC14" s="11" t="s">
        <v>59</v>
      </c>
      <c r="AD14" s="50"/>
      <c r="AE14" s="9">
        <v>13</v>
      </c>
      <c r="AF14" s="21" t="s">
        <v>1869</v>
      </c>
      <c r="AG14" s="10" t="s">
        <v>1870</v>
      </c>
      <c r="AH14" s="11" t="s">
        <v>59</v>
      </c>
      <c r="AI14" s="57"/>
      <c r="AJ14" s="9">
        <v>13</v>
      </c>
      <c r="AK14" s="21" t="s">
        <v>1836</v>
      </c>
      <c r="AL14" s="10" t="s">
        <v>552</v>
      </c>
      <c r="AM14" s="11" t="s">
        <v>59</v>
      </c>
      <c r="AN14" s="57"/>
      <c r="AO14" s="9">
        <v>13</v>
      </c>
      <c r="AP14" s="21" t="s">
        <v>1804</v>
      </c>
      <c r="AQ14" s="10" t="s">
        <v>598</v>
      </c>
      <c r="AR14" s="11" t="s">
        <v>59</v>
      </c>
      <c r="AS14" s="57"/>
      <c r="AT14" s="9">
        <v>13</v>
      </c>
      <c r="AU14" s="21" t="s">
        <v>1805</v>
      </c>
      <c r="AV14" s="10" t="s">
        <v>1806</v>
      </c>
      <c r="AW14" s="11" t="s">
        <v>59</v>
      </c>
      <c r="AX14" s="57"/>
      <c r="AY14" s="9">
        <v>13</v>
      </c>
      <c r="AZ14" s="21" t="s">
        <v>1807</v>
      </c>
      <c r="BA14" s="10" t="s">
        <v>1808</v>
      </c>
      <c r="BB14" s="11" t="s">
        <v>59</v>
      </c>
      <c r="BC14" s="50"/>
      <c r="BD14" s="9">
        <v>13</v>
      </c>
      <c r="BE14" s="21" t="s">
        <v>1844</v>
      </c>
      <c r="BF14" s="10" t="s">
        <v>1845</v>
      </c>
      <c r="BG14" s="11" t="s">
        <v>59</v>
      </c>
      <c r="BH14" s="50"/>
      <c r="BI14" s="9">
        <v>13</v>
      </c>
      <c r="BJ14" s="21" t="s">
        <v>1880</v>
      </c>
      <c r="BK14" s="10" t="s">
        <v>1881</v>
      </c>
      <c r="BL14" s="11" t="s">
        <v>59</v>
      </c>
      <c r="BM14" s="207"/>
      <c r="BN14" s="9">
        <v>13</v>
      </c>
      <c r="BO14" s="21" t="s">
        <v>1848</v>
      </c>
      <c r="BP14" s="10" t="s">
        <v>1849</v>
      </c>
      <c r="BQ14" s="11" t="s">
        <v>59</v>
      </c>
      <c r="BR14" s="57"/>
      <c r="BS14" s="9">
        <v>13</v>
      </c>
      <c r="BT14" s="21" t="s">
        <v>1815</v>
      </c>
      <c r="BU14" s="10" t="s">
        <v>1816</v>
      </c>
      <c r="BV14" s="11" t="s">
        <v>59</v>
      </c>
      <c r="BW14" s="50"/>
      <c r="BX14" s="9">
        <v>13</v>
      </c>
      <c r="BY14" s="21" t="s">
        <v>1817</v>
      </c>
      <c r="BZ14" s="10" t="s">
        <v>1818</v>
      </c>
      <c r="CA14" s="11" t="s">
        <v>60</v>
      </c>
      <c r="CB14" s="57"/>
      <c r="CC14" s="9">
        <v>13</v>
      </c>
      <c r="CD14" s="21" t="s">
        <v>1854</v>
      </c>
      <c r="CE14" s="10" t="s">
        <v>1855</v>
      </c>
      <c r="CF14" s="11" t="s">
        <v>59</v>
      </c>
      <c r="CG14" s="57"/>
      <c r="CH14" s="9">
        <v>13</v>
      </c>
      <c r="CI14" s="21" t="s">
        <v>3478</v>
      </c>
      <c r="CJ14" s="10" t="s">
        <v>3479</v>
      </c>
      <c r="CK14" s="11" t="s">
        <v>3480</v>
      </c>
      <c r="CL14" s="57"/>
      <c r="CM14" s="9">
        <v>13</v>
      </c>
      <c r="CN14" s="21" t="s">
        <v>1787</v>
      </c>
      <c r="CO14" s="10" t="s">
        <v>1788</v>
      </c>
      <c r="CP14" s="11" t="s">
        <v>60</v>
      </c>
      <c r="CQ14" s="7"/>
      <c r="CR14" s="23"/>
      <c r="CS14" s="22"/>
      <c r="CT14" s="52"/>
      <c r="CU14" s="52"/>
      <c r="CV14" s="52"/>
      <c r="CW14" s="52"/>
    </row>
    <row r="15" spans="1:101" s="8" customFormat="1" ht="15" customHeight="1">
      <c r="A15" s="9">
        <v>14</v>
      </c>
      <c r="B15" s="26" t="s">
        <v>1823</v>
      </c>
      <c r="C15" s="10" t="s">
        <v>1824</v>
      </c>
      <c r="D15" s="11" t="s">
        <v>59</v>
      </c>
      <c r="E15" s="50"/>
      <c r="F15" s="9">
        <v>14</v>
      </c>
      <c r="G15" s="26" t="s">
        <v>1860</v>
      </c>
      <c r="H15" s="10" t="s">
        <v>1861</v>
      </c>
      <c r="I15" s="11" t="s">
        <v>59</v>
      </c>
      <c r="J15" s="50"/>
      <c r="K15" s="9">
        <v>14</v>
      </c>
      <c r="L15" s="26" t="s">
        <v>1793</v>
      </c>
      <c r="M15" s="10" t="s">
        <v>1794</v>
      </c>
      <c r="N15" s="11" t="s">
        <v>59</v>
      </c>
      <c r="O15" s="50"/>
      <c r="P15" s="9">
        <v>14</v>
      </c>
      <c r="Q15" s="26" t="s">
        <v>1828</v>
      </c>
      <c r="R15" s="10" t="s">
        <v>1829</v>
      </c>
      <c r="S15" s="11" t="s">
        <v>59</v>
      </c>
      <c r="T15" s="50"/>
      <c r="U15" s="9">
        <v>14</v>
      </c>
      <c r="V15" s="26" t="s">
        <v>1797</v>
      </c>
      <c r="W15" s="10" t="s">
        <v>1831</v>
      </c>
      <c r="X15" s="11" t="s">
        <v>59</v>
      </c>
      <c r="Y15" s="50"/>
      <c r="Z15" s="9">
        <v>14</v>
      </c>
      <c r="AA15" s="26" t="s">
        <v>1799</v>
      </c>
      <c r="AB15" s="10" t="s">
        <v>1800</v>
      </c>
      <c r="AC15" s="11" t="s">
        <v>59</v>
      </c>
      <c r="AD15" s="50"/>
      <c r="AE15" s="9">
        <v>14</v>
      </c>
      <c r="AF15" s="26" t="s">
        <v>1904</v>
      </c>
      <c r="AG15" s="10" t="s">
        <v>1905</v>
      </c>
      <c r="AH15" s="11" t="s">
        <v>59</v>
      </c>
      <c r="AI15" s="50"/>
      <c r="AJ15" s="9">
        <v>14</v>
      </c>
      <c r="AK15" s="26" t="s">
        <v>1871</v>
      </c>
      <c r="AL15" s="10" t="s">
        <v>1837</v>
      </c>
      <c r="AM15" s="11" t="s">
        <v>59</v>
      </c>
      <c r="AN15" s="57"/>
      <c r="AO15" s="9">
        <v>14</v>
      </c>
      <c r="AP15" s="26" t="s">
        <v>1838</v>
      </c>
      <c r="AQ15" s="10" t="s">
        <v>1839</v>
      </c>
      <c r="AR15" s="11" t="s">
        <v>59</v>
      </c>
      <c r="AS15" s="57"/>
      <c r="AT15" s="9">
        <v>14</v>
      </c>
      <c r="AU15" s="26" t="s">
        <v>1840</v>
      </c>
      <c r="AV15" s="10" t="s">
        <v>1841</v>
      </c>
      <c r="AW15" s="11" t="s">
        <v>60</v>
      </c>
      <c r="AX15" s="57"/>
      <c r="AY15" s="9">
        <v>14</v>
      </c>
      <c r="AZ15" s="26" t="s">
        <v>1842</v>
      </c>
      <c r="BA15" s="10" t="s">
        <v>1843</v>
      </c>
      <c r="BB15" s="11" t="s">
        <v>60</v>
      </c>
      <c r="BC15" s="50"/>
      <c r="BD15" s="9">
        <v>14</v>
      </c>
      <c r="BE15" s="26" t="s">
        <v>1878</v>
      </c>
      <c r="BF15" s="10" t="s">
        <v>1879</v>
      </c>
      <c r="BG15" s="11" t="s">
        <v>59</v>
      </c>
      <c r="BH15" s="50"/>
      <c r="BI15" s="9">
        <v>14</v>
      </c>
      <c r="BJ15" s="26" t="s">
        <v>1916</v>
      </c>
      <c r="BK15" s="10" t="s">
        <v>991</v>
      </c>
      <c r="BL15" s="11" t="s">
        <v>59</v>
      </c>
      <c r="BM15" s="50"/>
      <c r="BN15" s="9">
        <v>14</v>
      </c>
      <c r="BO15" s="26" t="s">
        <v>1882</v>
      </c>
      <c r="BP15" s="10" t="s">
        <v>1883</v>
      </c>
      <c r="BQ15" s="11" t="s">
        <v>59</v>
      </c>
      <c r="BR15" s="57"/>
      <c r="BS15" s="9">
        <v>14</v>
      </c>
      <c r="BT15" s="26" t="s">
        <v>1850</v>
      </c>
      <c r="BU15" s="10" t="s">
        <v>1851</v>
      </c>
      <c r="BV15" s="11" t="s">
        <v>59</v>
      </c>
      <c r="BW15" s="57"/>
      <c r="BX15" s="9">
        <v>14</v>
      </c>
      <c r="BY15" s="26" t="s">
        <v>1852</v>
      </c>
      <c r="BZ15" s="10" t="s">
        <v>1853</v>
      </c>
      <c r="CA15" s="11" t="s">
        <v>59</v>
      </c>
      <c r="CB15" s="57"/>
      <c r="CC15" s="9">
        <v>14</v>
      </c>
      <c r="CD15" s="26" t="s">
        <v>1888</v>
      </c>
      <c r="CE15" s="10" t="s">
        <v>1889</v>
      </c>
      <c r="CF15" s="11" t="s">
        <v>60</v>
      </c>
      <c r="CG15" s="57"/>
      <c r="CH15" s="9"/>
      <c r="CI15" s="26"/>
      <c r="CJ15" s="10"/>
      <c r="CK15" s="11"/>
      <c r="CL15" s="57"/>
      <c r="CM15" s="9">
        <v>14</v>
      </c>
      <c r="CN15" s="26" t="s">
        <v>1821</v>
      </c>
      <c r="CO15" s="10" t="s">
        <v>1822</v>
      </c>
      <c r="CP15" s="11" t="s">
        <v>59</v>
      </c>
      <c r="CQ15" s="7"/>
      <c r="CR15" s="23"/>
      <c r="CS15" s="22"/>
      <c r="CT15" s="52"/>
      <c r="CU15" s="52"/>
      <c r="CV15" s="52"/>
      <c r="CW15" s="52"/>
    </row>
    <row r="16" spans="1:101" s="8" customFormat="1" ht="15" customHeight="1" thickBot="1">
      <c r="A16" s="16">
        <v>15</v>
      </c>
      <c r="B16" s="28" t="s">
        <v>1858</v>
      </c>
      <c r="C16" s="17" t="s">
        <v>1859</v>
      </c>
      <c r="D16" s="14" t="s">
        <v>59</v>
      </c>
      <c r="E16" s="50"/>
      <c r="F16" s="16">
        <v>15</v>
      </c>
      <c r="G16" s="28" t="s">
        <v>1894</v>
      </c>
      <c r="H16" s="17" t="s">
        <v>1895</v>
      </c>
      <c r="I16" s="14" t="s">
        <v>59</v>
      </c>
      <c r="J16" s="50"/>
      <c r="K16" s="16">
        <v>15</v>
      </c>
      <c r="L16" s="28" t="s">
        <v>1827</v>
      </c>
      <c r="M16" s="17" t="s">
        <v>150</v>
      </c>
      <c r="N16" s="14" t="s">
        <v>59</v>
      </c>
      <c r="O16" s="50"/>
      <c r="P16" s="16">
        <v>15</v>
      </c>
      <c r="Q16" s="28" t="s">
        <v>1863</v>
      </c>
      <c r="R16" s="17" t="s">
        <v>1864</v>
      </c>
      <c r="S16" s="14" t="s">
        <v>59</v>
      </c>
      <c r="T16" s="50"/>
      <c r="U16" s="16">
        <v>15</v>
      </c>
      <c r="V16" s="28" t="s">
        <v>1830</v>
      </c>
      <c r="W16" s="17" t="s">
        <v>1866</v>
      </c>
      <c r="X16" s="14" t="s">
        <v>59</v>
      </c>
      <c r="Y16" s="50"/>
      <c r="Z16" s="16">
        <v>15</v>
      </c>
      <c r="AA16" s="28" t="s">
        <v>1832</v>
      </c>
      <c r="AB16" s="17" t="s">
        <v>1833</v>
      </c>
      <c r="AC16" s="14" t="s">
        <v>59</v>
      </c>
      <c r="AD16" s="50"/>
      <c r="AE16" s="16">
        <v>15</v>
      </c>
      <c r="AF16" s="28" t="s">
        <v>1938</v>
      </c>
      <c r="AG16" s="17" t="s">
        <v>1939</v>
      </c>
      <c r="AH16" s="14" t="s">
        <v>59</v>
      </c>
      <c r="AI16" s="57"/>
      <c r="AJ16" s="16">
        <v>15</v>
      </c>
      <c r="AK16" s="28" t="s">
        <v>1906</v>
      </c>
      <c r="AL16" s="17" t="s">
        <v>1872</v>
      </c>
      <c r="AM16" s="14" t="s">
        <v>59</v>
      </c>
      <c r="AN16" s="57"/>
      <c r="AO16" s="16">
        <v>15</v>
      </c>
      <c r="AP16" s="28" t="s">
        <v>1873</v>
      </c>
      <c r="AQ16" s="17" t="s">
        <v>1874</v>
      </c>
      <c r="AR16" s="14" t="s">
        <v>59</v>
      </c>
      <c r="AS16" s="57"/>
      <c r="AT16" s="16">
        <v>15</v>
      </c>
      <c r="AU16" s="28" t="s">
        <v>1875</v>
      </c>
      <c r="AV16" s="17" t="s">
        <v>985</v>
      </c>
      <c r="AW16" s="14" t="s">
        <v>59</v>
      </c>
      <c r="AX16" s="57"/>
      <c r="AY16" s="16">
        <v>15</v>
      </c>
      <c r="AZ16" s="28" t="s">
        <v>1876</v>
      </c>
      <c r="BA16" s="17" t="s">
        <v>1877</v>
      </c>
      <c r="BB16" s="14" t="s">
        <v>59</v>
      </c>
      <c r="BC16" s="50"/>
      <c r="BD16" s="16">
        <v>15</v>
      </c>
      <c r="BE16" s="28" t="s">
        <v>1914</v>
      </c>
      <c r="BF16" s="17" t="s">
        <v>1915</v>
      </c>
      <c r="BG16" s="14" t="s">
        <v>59</v>
      </c>
      <c r="BH16" s="50"/>
      <c r="BI16" s="16">
        <v>15</v>
      </c>
      <c r="BJ16" s="28" t="s">
        <v>1950</v>
      </c>
      <c r="BK16" s="17" t="s">
        <v>1951</v>
      </c>
      <c r="BL16" s="14" t="s">
        <v>59</v>
      </c>
      <c r="BM16" s="50"/>
      <c r="BN16" s="16">
        <v>15</v>
      </c>
      <c r="BO16" s="28" t="s">
        <v>1917</v>
      </c>
      <c r="BP16" s="17" t="s">
        <v>1918</v>
      </c>
      <c r="BQ16" s="14" t="s">
        <v>59</v>
      </c>
      <c r="BR16" s="57"/>
      <c r="BS16" s="16">
        <v>15</v>
      </c>
      <c r="BT16" s="28" t="s">
        <v>1884</v>
      </c>
      <c r="BU16" s="17" t="s">
        <v>1885</v>
      </c>
      <c r="BV16" s="14" t="s">
        <v>59</v>
      </c>
      <c r="BW16" s="50"/>
      <c r="BX16" s="16">
        <v>15</v>
      </c>
      <c r="BY16" s="28" t="s">
        <v>1886</v>
      </c>
      <c r="BZ16" s="17" t="s">
        <v>1887</v>
      </c>
      <c r="CA16" s="14" t="s">
        <v>59</v>
      </c>
      <c r="CB16" s="57"/>
      <c r="CC16" s="16">
        <v>15</v>
      </c>
      <c r="CD16" s="28" t="s">
        <v>1923</v>
      </c>
      <c r="CE16" s="17" t="s">
        <v>1924</v>
      </c>
      <c r="CF16" s="14" t="s">
        <v>60</v>
      </c>
      <c r="CG16" s="57"/>
      <c r="CH16" s="16"/>
      <c r="CI16" s="28"/>
      <c r="CJ16" s="17"/>
      <c r="CK16" s="14"/>
      <c r="CL16" s="57"/>
      <c r="CM16" s="16">
        <v>15</v>
      </c>
      <c r="CN16" s="28" t="s">
        <v>1856</v>
      </c>
      <c r="CO16" s="17" t="s">
        <v>1857</v>
      </c>
      <c r="CP16" s="14" t="s">
        <v>60</v>
      </c>
      <c r="CQ16" s="7"/>
      <c r="CR16" s="23"/>
      <c r="CS16" s="22"/>
      <c r="CT16" s="52"/>
      <c r="CU16" s="52"/>
      <c r="CV16" s="52"/>
      <c r="CW16" s="52"/>
    </row>
    <row r="17" spans="1:101" s="8" customFormat="1" ht="15" customHeight="1" thickTop="1">
      <c r="A17" s="4">
        <v>16</v>
      </c>
      <c r="B17" s="25" t="s">
        <v>1892</v>
      </c>
      <c r="C17" s="5" t="s">
        <v>1893</v>
      </c>
      <c r="D17" s="6" t="s">
        <v>59</v>
      </c>
      <c r="E17" s="50"/>
      <c r="F17" s="4">
        <v>16</v>
      </c>
      <c r="G17" s="25" t="s">
        <v>1929</v>
      </c>
      <c r="H17" s="5" t="s">
        <v>1930</v>
      </c>
      <c r="I17" s="6" t="s">
        <v>59</v>
      </c>
      <c r="J17" s="50"/>
      <c r="K17" s="4">
        <v>16</v>
      </c>
      <c r="L17" s="25" t="s">
        <v>1862</v>
      </c>
      <c r="M17" s="5" t="s">
        <v>607</v>
      </c>
      <c r="N17" s="6" t="s">
        <v>59</v>
      </c>
      <c r="O17" s="50"/>
      <c r="P17" s="4">
        <v>16</v>
      </c>
      <c r="Q17" s="25" t="s">
        <v>1898</v>
      </c>
      <c r="R17" s="5" t="s">
        <v>1899</v>
      </c>
      <c r="S17" s="6" t="s">
        <v>59</v>
      </c>
      <c r="T17" s="50"/>
      <c r="U17" s="4">
        <v>16</v>
      </c>
      <c r="V17" s="25" t="s">
        <v>1865</v>
      </c>
      <c r="W17" s="5" t="s">
        <v>1901</v>
      </c>
      <c r="X17" s="6" t="s">
        <v>59</v>
      </c>
      <c r="Y17" s="50"/>
      <c r="Z17" s="4">
        <v>16</v>
      </c>
      <c r="AA17" s="25" t="s">
        <v>1867</v>
      </c>
      <c r="AB17" s="5" t="s">
        <v>1868</v>
      </c>
      <c r="AC17" s="6" t="s">
        <v>59</v>
      </c>
      <c r="AD17" s="50"/>
      <c r="AE17" s="4">
        <v>16</v>
      </c>
      <c r="AF17" s="25" t="s">
        <v>1972</v>
      </c>
      <c r="AG17" s="5" t="s">
        <v>1973</v>
      </c>
      <c r="AH17" s="6" t="s">
        <v>59</v>
      </c>
      <c r="AI17" s="57"/>
      <c r="AJ17" s="4">
        <v>16</v>
      </c>
      <c r="AK17" s="25" t="s">
        <v>1940</v>
      </c>
      <c r="AL17" s="5" t="s">
        <v>1907</v>
      </c>
      <c r="AM17" s="6" t="s">
        <v>59</v>
      </c>
      <c r="AN17" s="57"/>
      <c r="AO17" s="4">
        <v>16</v>
      </c>
      <c r="AP17" s="25" t="s">
        <v>1908</v>
      </c>
      <c r="AQ17" s="5" t="s">
        <v>1909</v>
      </c>
      <c r="AR17" s="6" t="s">
        <v>59</v>
      </c>
      <c r="AS17" s="50"/>
      <c r="AT17" s="4">
        <v>16</v>
      </c>
      <c r="AU17" s="25" t="s">
        <v>1910</v>
      </c>
      <c r="AV17" s="5" t="s">
        <v>1911</v>
      </c>
      <c r="AW17" s="6" t="s">
        <v>59</v>
      </c>
      <c r="AX17" s="57"/>
      <c r="AY17" s="4">
        <v>16</v>
      </c>
      <c r="AZ17" s="25" t="s">
        <v>1912</v>
      </c>
      <c r="BA17" s="5" t="s">
        <v>1913</v>
      </c>
      <c r="BB17" s="6" t="s">
        <v>59</v>
      </c>
      <c r="BC17" s="50"/>
      <c r="BD17" s="4">
        <v>16</v>
      </c>
      <c r="BE17" s="25" t="s">
        <v>1948</v>
      </c>
      <c r="BF17" s="5" t="s">
        <v>1949</v>
      </c>
      <c r="BG17" s="6" t="s">
        <v>59</v>
      </c>
      <c r="BH17" s="50"/>
      <c r="BI17" s="4">
        <v>16</v>
      </c>
      <c r="BJ17" s="25" t="s">
        <v>2017</v>
      </c>
      <c r="BK17" s="5" t="s">
        <v>2018</v>
      </c>
      <c r="BL17" s="6" t="s">
        <v>60</v>
      </c>
      <c r="BM17" s="50"/>
      <c r="BN17" s="4">
        <v>16</v>
      </c>
      <c r="BO17" s="25" t="s">
        <v>1986</v>
      </c>
      <c r="BP17" s="5" t="s">
        <v>1987</v>
      </c>
      <c r="BQ17" s="6" t="s">
        <v>59</v>
      </c>
      <c r="BR17" s="50"/>
      <c r="BS17" s="4">
        <v>16</v>
      </c>
      <c r="BT17" s="25" t="s">
        <v>1954</v>
      </c>
      <c r="BU17" s="5" t="s">
        <v>1955</v>
      </c>
      <c r="BV17" s="6" t="s">
        <v>59</v>
      </c>
      <c r="BW17" s="50"/>
      <c r="BX17" s="4">
        <v>16</v>
      </c>
      <c r="BY17" s="25" t="s">
        <v>1921</v>
      </c>
      <c r="BZ17" s="5" t="s">
        <v>1922</v>
      </c>
      <c r="CA17" s="6" t="s">
        <v>60</v>
      </c>
      <c r="CB17" s="50"/>
      <c r="CC17" s="4">
        <v>16</v>
      </c>
      <c r="CD17" s="25" t="s">
        <v>1958</v>
      </c>
      <c r="CE17" s="5" t="s">
        <v>1959</v>
      </c>
      <c r="CF17" s="6" t="s">
        <v>59</v>
      </c>
      <c r="CG17" s="15"/>
      <c r="CH17" s="4"/>
      <c r="CI17" s="25"/>
      <c r="CJ17" s="5"/>
      <c r="CK17" s="6"/>
      <c r="CL17" s="57"/>
      <c r="CM17" s="4">
        <v>16</v>
      </c>
      <c r="CN17" s="25" t="s">
        <v>1890</v>
      </c>
      <c r="CO17" s="5" t="s">
        <v>1891</v>
      </c>
      <c r="CP17" s="6" t="s">
        <v>60</v>
      </c>
      <c r="CQ17" s="7"/>
      <c r="CR17" s="23"/>
      <c r="CS17" s="22"/>
      <c r="CT17" s="52"/>
      <c r="CU17" s="52"/>
      <c r="CV17" s="52"/>
      <c r="CW17" s="52"/>
    </row>
    <row r="18" spans="1:101" s="8" customFormat="1" ht="15" customHeight="1">
      <c r="A18" s="9">
        <v>17</v>
      </c>
      <c r="B18" s="21" t="s">
        <v>1927</v>
      </c>
      <c r="C18" s="10" t="s">
        <v>1928</v>
      </c>
      <c r="D18" s="11" t="s">
        <v>60</v>
      </c>
      <c r="E18" s="50"/>
      <c r="F18" s="9">
        <v>17</v>
      </c>
      <c r="G18" s="21" t="s">
        <v>1964</v>
      </c>
      <c r="H18" s="10" t="s">
        <v>1965</v>
      </c>
      <c r="I18" s="11" t="s">
        <v>59</v>
      </c>
      <c r="J18" s="50"/>
      <c r="K18" s="9">
        <v>17</v>
      </c>
      <c r="L18" s="21" t="s">
        <v>1896</v>
      </c>
      <c r="M18" s="10" t="s">
        <v>1897</v>
      </c>
      <c r="N18" s="11" t="s">
        <v>59</v>
      </c>
      <c r="O18" s="50"/>
      <c r="P18" s="9">
        <v>17</v>
      </c>
      <c r="Q18" s="21" t="s">
        <v>1933</v>
      </c>
      <c r="R18" s="10" t="s">
        <v>1934</v>
      </c>
      <c r="S18" s="11" t="s">
        <v>60</v>
      </c>
      <c r="T18" s="57"/>
      <c r="U18" s="9">
        <v>17</v>
      </c>
      <c r="V18" s="21" t="s">
        <v>1900</v>
      </c>
      <c r="W18" s="10" t="s">
        <v>1936</v>
      </c>
      <c r="X18" s="11" t="s">
        <v>59</v>
      </c>
      <c r="Y18" s="50"/>
      <c r="Z18" s="9">
        <v>17</v>
      </c>
      <c r="AA18" s="21" t="s">
        <v>1902</v>
      </c>
      <c r="AB18" s="10" t="s">
        <v>1903</v>
      </c>
      <c r="AC18" s="11" t="s">
        <v>59</v>
      </c>
      <c r="AD18" s="50"/>
      <c r="AE18" s="9">
        <v>17</v>
      </c>
      <c r="AF18" s="21" t="s">
        <v>2006</v>
      </c>
      <c r="AG18" s="10" t="s">
        <v>2007</v>
      </c>
      <c r="AH18" s="11" t="s">
        <v>59</v>
      </c>
      <c r="AI18" s="57"/>
      <c r="AJ18" s="9">
        <v>17</v>
      </c>
      <c r="AK18" s="21" t="s">
        <v>1974</v>
      </c>
      <c r="AL18" s="10" t="s">
        <v>1941</v>
      </c>
      <c r="AM18" s="11" t="s">
        <v>59</v>
      </c>
      <c r="AN18" s="50"/>
      <c r="AO18" s="9">
        <v>17</v>
      </c>
      <c r="AP18" s="21" t="s">
        <v>1942</v>
      </c>
      <c r="AQ18" s="10" t="s">
        <v>1943</v>
      </c>
      <c r="AR18" s="11" t="s">
        <v>59</v>
      </c>
      <c r="AS18" s="50"/>
      <c r="AT18" s="9">
        <v>17</v>
      </c>
      <c r="AU18" s="21" t="s">
        <v>1944</v>
      </c>
      <c r="AV18" s="10" t="s">
        <v>1945</v>
      </c>
      <c r="AW18" s="11" t="s">
        <v>59</v>
      </c>
      <c r="AX18" s="57"/>
      <c r="AY18" s="9">
        <v>17</v>
      </c>
      <c r="AZ18" s="21" t="s">
        <v>1946</v>
      </c>
      <c r="BA18" s="10" t="s">
        <v>1947</v>
      </c>
      <c r="BB18" s="11" t="s">
        <v>59</v>
      </c>
      <c r="BC18" s="50"/>
      <c r="BD18" s="9">
        <v>17</v>
      </c>
      <c r="BE18" s="21" t="s">
        <v>1982</v>
      </c>
      <c r="BF18" s="10" t="s">
        <v>1983</v>
      </c>
      <c r="BG18" s="11" t="s">
        <v>59</v>
      </c>
      <c r="BH18" s="50"/>
      <c r="BI18" s="9">
        <v>17</v>
      </c>
      <c r="BJ18" s="21" t="s">
        <v>2049</v>
      </c>
      <c r="BK18" s="10" t="s">
        <v>2050</v>
      </c>
      <c r="BL18" s="11" t="s">
        <v>59</v>
      </c>
      <c r="BM18" s="50"/>
      <c r="BN18" s="9">
        <v>17</v>
      </c>
      <c r="BO18" s="21" t="s">
        <v>2051</v>
      </c>
      <c r="BP18" s="10" t="s">
        <v>2052</v>
      </c>
      <c r="BQ18" s="11" t="s">
        <v>59</v>
      </c>
      <c r="BR18" s="57"/>
      <c r="BS18" s="9">
        <v>17</v>
      </c>
      <c r="BT18" s="21" t="s">
        <v>1988</v>
      </c>
      <c r="BU18" s="10" t="s">
        <v>1989</v>
      </c>
      <c r="BV18" s="11" t="s">
        <v>59</v>
      </c>
      <c r="BW18" s="207"/>
      <c r="BX18" s="9">
        <v>17</v>
      </c>
      <c r="BY18" s="21" t="s">
        <v>1956</v>
      </c>
      <c r="BZ18" s="10" t="s">
        <v>1957</v>
      </c>
      <c r="CA18" s="11" t="s">
        <v>60</v>
      </c>
      <c r="CB18" s="50"/>
      <c r="CC18" s="9">
        <v>17</v>
      </c>
      <c r="CD18" s="21" t="s">
        <v>2025</v>
      </c>
      <c r="CE18" s="10" t="s">
        <v>2026</v>
      </c>
      <c r="CF18" s="11" t="s">
        <v>59</v>
      </c>
      <c r="CG18" s="57"/>
      <c r="CH18" s="9"/>
      <c r="CI18" s="21"/>
      <c r="CJ18" s="10"/>
      <c r="CK18" s="11"/>
      <c r="CL18" s="120"/>
      <c r="CM18" s="9">
        <v>17</v>
      </c>
      <c r="CN18" s="21" t="s">
        <v>1925</v>
      </c>
      <c r="CO18" s="10" t="s">
        <v>1926</v>
      </c>
      <c r="CP18" s="11" t="s">
        <v>59</v>
      </c>
      <c r="CQ18" s="7"/>
      <c r="CR18" s="23"/>
      <c r="CS18" s="22"/>
      <c r="CT18" s="52"/>
      <c r="CU18" s="52"/>
      <c r="CV18" s="52"/>
      <c r="CW18" s="52"/>
    </row>
    <row r="19" spans="1:101" s="8" customFormat="1" ht="15" customHeight="1">
      <c r="A19" s="9">
        <v>18</v>
      </c>
      <c r="B19" s="21" t="s">
        <v>1962</v>
      </c>
      <c r="C19" s="10" t="s">
        <v>1963</v>
      </c>
      <c r="D19" s="11" t="s">
        <v>59</v>
      </c>
      <c r="E19" s="50"/>
      <c r="F19" s="9">
        <v>18</v>
      </c>
      <c r="G19" s="21" t="s">
        <v>2095</v>
      </c>
      <c r="H19" s="10" t="s">
        <v>2096</v>
      </c>
      <c r="I19" s="11" t="s">
        <v>59</v>
      </c>
      <c r="J19" s="50"/>
      <c r="K19" s="9">
        <v>18</v>
      </c>
      <c r="L19" s="21" t="s">
        <v>1931</v>
      </c>
      <c r="M19" s="10" t="s">
        <v>1932</v>
      </c>
      <c r="N19" s="11" t="s">
        <v>59</v>
      </c>
      <c r="O19" s="50"/>
      <c r="P19" s="9">
        <v>18</v>
      </c>
      <c r="Q19" s="21" t="s">
        <v>1968</v>
      </c>
      <c r="R19" s="10" t="s">
        <v>992</v>
      </c>
      <c r="S19" s="11" t="s">
        <v>59</v>
      </c>
      <c r="T19" s="50"/>
      <c r="U19" s="9">
        <v>18</v>
      </c>
      <c r="V19" s="21" t="s">
        <v>1935</v>
      </c>
      <c r="W19" s="10" t="s">
        <v>1970</v>
      </c>
      <c r="X19" s="11" t="s">
        <v>59</v>
      </c>
      <c r="Y19" s="50"/>
      <c r="Z19" s="9">
        <v>18</v>
      </c>
      <c r="AA19" s="21" t="s">
        <v>1937</v>
      </c>
      <c r="AB19" s="10" t="s">
        <v>991</v>
      </c>
      <c r="AC19" s="11" t="s">
        <v>59</v>
      </c>
      <c r="AD19" s="50"/>
      <c r="AE19" s="9">
        <v>18</v>
      </c>
      <c r="AF19" s="21" t="s">
        <v>2038</v>
      </c>
      <c r="AG19" s="10" t="s">
        <v>2039</v>
      </c>
      <c r="AH19" s="11" t="s">
        <v>59</v>
      </c>
      <c r="AI19" s="57"/>
      <c r="AJ19" s="9">
        <v>18</v>
      </c>
      <c r="AK19" s="21" t="s">
        <v>2008</v>
      </c>
      <c r="AL19" s="10" t="s">
        <v>1975</v>
      </c>
      <c r="AM19" s="11" t="s">
        <v>59</v>
      </c>
      <c r="AN19" s="50"/>
      <c r="AO19" s="9">
        <v>18</v>
      </c>
      <c r="AP19" s="21" t="s">
        <v>1976</v>
      </c>
      <c r="AQ19" s="10" t="s">
        <v>1977</v>
      </c>
      <c r="AR19" s="11" t="s">
        <v>59</v>
      </c>
      <c r="AS19" s="57"/>
      <c r="AT19" s="9">
        <v>18</v>
      </c>
      <c r="AU19" s="21" t="s">
        <v>1978</v>
      </c>
      <c r="AV19" s="10" t="s">
        <v>1979</v>
      </c>
      <c r="AW19" s="11" t="s">
        <v>59</v>
      </c>
      <c r="AX19" s="57"/>
      <c r="AY19" s="9">
        <v>18</v>
      </c>
      <c r="AZ19" s="21" t="s">
        <v>1980</v>
      </c>
      <c r="BA19" s="10" t="s">
        <v>1981</v>
      </c>
      <c r="BB19" s="11" t="s">
        <v>59</v>
      </c>
      <c r="BC19" s="50"/>
      <c r="BD19" s="9">
        <v>18</v>
      </c>
      <c r="BE19" s="21" t="s">
        <v>2015</v>
      </c>
      <c r="BF19" s="10" t="s">
        <v>2016</v>
      </c>
      <c r="BG19" s="11" t="s">
        <v>59</v>
      </c>
      <c r="BH19" s="50"/>
      <c r="BI19" s="9">
        <v>18</v>
      </c>
      <c r="BJ19" s="21" t="s">
        <v>2083</v>
      </c>
      <c r="BK19" s="10" t="s">
        <v>2084</v>
      </c>
      <c r="BL19" s="11" t="s">
        <v>59</v>
      </c>
      <c r="BM19" s="50"/>
      <c r="BN19" s="9">
        <v>18</v>
      </c>
      <c r="BO19" s="21" t="s">
        <v>2085</v>
      </c>
      <c r="BP19" s="10" t="s">
        <v>2120</v>
      </c>
      <c r="BQ19" s="11" t="s">
        <v>59</v>
      </c>
      <c r="BR19" s="57"/>
      <c r="BS19" s="9">
        <v>18</v>
      </c>
      <c r="BT19" s="21" t="s">
        <v>2053</v>
      </c>
      <c r="BU19" s="10" t="s">
        <v>2054</v>
      </c>
      <c r="BV19" s="11" t="s">
        <v>59</v>
      </c>
      <c r="BW19" s="50"/>
      <c r="BX19" s="9">
        <v>18</v>
      </c>
      <c r="BY19" s="21" t="s">
        <v>1990</v>
      </c>
      <c r="BZ19" s="10" t="s">
        <v>1991</v>
      </c>
      <c r="CA19" s="11" t="s">
        <v>60</v>
      </c>
      <c r="CB19" s="57"/>
      <c r="CC19" s="9">
        <v>18</v>
      </c>
      <c r="CD19" s="21" t="s">
        <v>2091</v>
      </c>
      <c r="CE19" s="10" t="s">
        <v>2092</v>
      </c>
      <c r="CF19" s="11" t="s">
        <v>60</v>
      </c>
      <c r="CG19" s="57"/>
      <c r="CH19" s="9"/>
      <c r="CI19" s="21"/>
      <c r="CJ19" s="10"/>
      <c r="CK19" s="11"/>
      <c r="CL19" s="57"/>
      <c r="CM19" s="9">
        <v>18</v>
      </c>
      <c r="CN19" s="21" t="s">
        <v>1960</v>
      </c>
      <c r="CO19" s="10" t="s">
        <v>1961</v>
      </c>
      <c r="CP19" s="11" t="s">
        <v>59</v>
      </c>
      <c r="CQ19" s="7"/>
      <c r="CR19" s="23"/>
      <c r="CS19" s="52"/>
      <c r="CT19" s="52"/>
      <c r="CU19" s="52"/>
      <c r="CV19" s="52"/>
      <c r="CW19" s="52"/>
    </row>
    <row r="20" spans="1:101" s="8" customFormat="1" ht="15" customHeight="1">
      <c r="A20" s="9">
        <v>19</v>
      </c>
      <c r="B20" s="26" t="s">
        <v>1996</v>
      </c>
      <c r="C20" s="10" t="s">
        <v>141</v>
      </c>
      <c r="D20" s="11" t="s">
        <v>59</v>
      </c>
      <c r="E20" s="50"/>
      <c r="F20" s="9">
        <v>19</v>
      </c>
      <c r="G20" s="26" t="s">
        <v>2127</v>
      </c>
      <c r="H20" s="10" t="s">
        <v>2128</v>
      </c>
      <c r="I20" s="11" t="s">
        <v>59</v>
      </c>
      <c r="J20" s="50"/>
      <c r="K20" s="9">
        <v>19</v>
      </c>
      <c r="L20" s="26" t="s">
        <v>1966</v>
      </c>
      <c r="M20" s="10" t="s">
        <v>1967</v>
      </c>
      <c r="N20" s="11" t="s">
        <v>59</v>
      </c>
      <c r="O20" s="50"/>
      <c r="P20" s="9">
        <v>19</v>
      </c>
      <c r="Q20" s="26" t="s">
        <v>2001</v>
      </c>
      <c r="R20" s="10" t="s">
        <v>119</v>
      </c>
      <c r="S20" s="11" t="s">
        <v>59</v>
      </c>
      <c r="T20" s="57"/>
      <c r="U20" s="9">
        <v>19</v>
      </c>
      <c r="V20" s="26" t="s">
        <v>1969</v>
      </c>
      <c r="W20" s="10" t="s">
        <v>2003</v>
      </c>
      <c r="X20" s="11" t="s">
        <v>59</v>
      </c>
      <c r="Y20" s="50"/>
      <c r="Z20" s="9">
        <v>19</v>
      </c>
      <c r="AA20" s="26" t="s">
        <v>1971</v>
      </c>
      <c r="AB20" s="10" t="s">
        <v>607</v>
      </c>
      <c r="AC20" s="11" t="s">
        <v>59</v>
      </c>
      <c r="AD20" s="57"/>
      <c r="AE20" s="9">
        <v>19</v>
      </c>
      <c r="AF20" s="26" t="s">
        <v>2071</v>
      </c>
      <c r="AG20" s="10" t="s">
        <v>2072</v>
      </c>
      <c r="AH20" s="11" t="s">
        <v>59</v>
      </c>
      <c r="AI20" s="50"/>
      <c r="AJ20" s="9">
        <v>19</v>
      </c>
      <c r="AK20" s="26" t="s">
        <v>2040</v>
      </c>
      <c r="AL20" s="10" t="s">
        <v>2009</v>
      </c>
      <c r="AM20" s="11" t="s">
        <v>59</v>
      </c>
      <c r="AN20" s="57"/>
      <c r="AO20" s="9">
        <v>19</v>
      </c>
      <c r="AP20" s="26" t="s">
        <v>2010</v>
      </c>
      <c r="AQ20" s="10" t="s">
        <v>2011</v>
      </c>
      <c r="AR20" s="11" t="s">
        <v>60</v>
      </c>
      <c r="AS20" s="57"/>
      <c r="AT20" s="9">
        <v>19</v>
      </c>
      <c r="AU20" s="26" t="s">
        <v>2012</v>
      </c>
      <c r="AV20" s="10" t="s">
        <v>607</v>
      </c>
      <c r="AW20" s="11" t="s">
        <v>59</v>
      </c>
      <c r="AX20" s="57"/>
      <c r="AY20" s="9">
        <v>19</v>
      </c>
      <c r="AZ20" s="26" t="s">
        <v>2046</v>
      </c>
      <c r="BA20" s="10" t="s">
        <v>141</v>
      </c>
      <c r="BB20" s="11" t="s">
        <v>59</v>
      </c>
      <c r="BC20" s="50"/>
      <c r="BD20" s="9">
        <v>19</v>
      </c>
      <c r="BE20" s="26" t="s">
        <v>2047</v>
      </c>
      <c r="BF20" s="10" t="s">
        <v>2048</v>
      </c>
      <c r="BG20" s="11" t="s">
        <v>59</v>
      </c>
      <c r="BH20" s="50"/>
      <c r="BI20" s="9">
        <v>19</v>
      </c>
      <c r="BJ20" s="26" t="s">
        <v>2115</v>
      </c>
      <c r="BK20" s="10" t="s">
        <v>2116</v>
      </c>
      <c r="BL20" s="11" t="s">
        <v>59</v>
      </c>
      <c r="BM20" s="50"/>
      <c r="BN20" s="9">
        <v>19</v>
      </c>
      <c r="BO20" s="26" t="s">
        <v>2117</v>
      </c>
      <c r="BP20" s="10" t="s">
        <v>2118</v>
      </c>
      <c r="BQ20" s="11" t="s">
        <v>59</v>
      </c>
      <c r="BR20" s="57"/>
      <c r="BS20" s="9">
        <v>19</v>
      </c>
      <c r="BT20" s="26" t="s">
        <v>2087</v>
      </c>
      <c r="BU20" s="10" t="s">
        <v>2088</v>
      </c>
      <c r="BV20" s="11" t="s">
        <v>59</v>
      </c>
      <c r="BW20" s="57"/>
      <c r="BX20" s="9">
        <v>19</v>
      </c>
      <c r="BY20" s="26" t="s">
        <v>2023</v>
      </c>
      <c r="BZ20" s="10" t="s">
        <v>2024</v>
      </c>
      <c r="CA20" s="11" t="s">
        <v>60</v>
      </c>
      <c r="CB20" s="57"/>
      <c r="CC20" s="9">
        <v>19</v>
      </c>
      <c r="CD20" s="26" t="s">
        <v>2123</v>
      </c>
      <c r="CE20" s="10" t="s">
        <v>2124</v>
      </c>
      <c r="CF20" s="11" t="s">
        <v>60</v>
      </c>
      <c r="CG20" s="298"/>
      <c r="CH20" s="9"/>
      <c r="CI20" s="26"/>
      <c r="CJ20" s="10"/>
      <c r="CK20" s="11"/>
      <c r="CL20" s="57"/>
      <c r="CM20" s="9">
        <v>19</v>
      </c>
      <c r="CN20" s="26" t="s">
        <v>2671</v>
      </c>
      <c r="CO20" s="10" t="s">
        <v>2666</v>
      </c>
      <c r="CP20" s="11" t="s">
        <v>59</v>
      </c>
      <c r="CQ20" s="7"/>
      <c r="CR20" s="23"/>
      <c r="CS20" s="52"/>
      <c r="CT20" s="52"/>
      <c r="CU20" s="52"/>
      <c r="CV20" s="52"/>
      <c r="CW20" s="52"/>
    </row>
    <row r="21" spans="1:101" s="8" customFormat="1" ht="15" customHeight="1" thickBot="1">
      <c r="A21" s="16">
        <v>20</v>
      </c>
      <c r="B21" s="28" t="s">
        <v>2027</v>
      </c>
      <c r="C21" s="17" t="s">
        <v>143</v>
      </c>
      <c r="D21" s="14" t="s">
        <v>59</v>
      </c>
      <c r="E21" s="50"/>
      <c r="F21" s="16">
        <v>20</v>
      </c>
      <c r="G21" s="28" t="s">
        <v>2161</v>
      </c>
      <c r="H21" s="17" t="s">
        <v>2162</v>
      </c>
      <c r="I21" s="14" t="s">
        <v>59</v>
      </c>
      <c r="J21" s="50"/>
      <c r="K21" s="16">
        <v>20</v>
      </c>
      <c r="L21" s="28" t="s">
        <v>1999</v>
      </c>
      <c r="M21" s="17" t="s">
        <v>2000</v>
      </c>
      <c r="N21" s="14" t="s">
        <v>59</v>
      </c>
      <c r="O21" s="50"/>
      <c r="P21" s="16">
        <v>20</v>
      </c>
      <c r="Q21" s="28" t="s">
        <v>2032</v>
      </c>
      <c r="R21" s="17" t="s">
        <v>2033</v>
      </c>
      <c r="S21" s="14" t="s">
        <v>59</v>
      </c>
      <c r="T21" s="50"/>
      <c r="U21" s="16">
        <v>20</v>
      </c>
      <c r="V21" s="28" t="s">
        <v>2034</v>
      </c>
      <c r="W21" s="17" t="s">
        <v>2068</v>
      </c>
      <c r="X21" s="14" t="s">
        <v>59</v>
      </c>
      <c r="Y21" s="50"/>
      <c r="Z21" s="16">
        <v>20</v>
      </c>
      <c r="AA21" s="28" t="s">
        <v>2004</v>
      </c>
      <c r="AB21" s="17" t="s">
        <v>2005</v>
      </c>
      <c r="AC21" s="14" t="s">
        <v>59</v>
      </c>
      <c r="AD21" s="50"/>
      <c r="AE21" s="16">
        <v>20</v>
      </c>
      <c r="AF21" s="28" t="s">
        <v>2137</v>
      </c>
      <c r="AG21" s="17" t="s">
        <v>2138</v>
      </c>
      <c r="AH21" s="14" t="s">
        <v>59</v>
      </c>
      <c r="AI21" s="57"/>
      <c r="AJ21" s="16">
        <v>20</v>
      </c>
      <c r="AK21" s="28" t="s">
        <v>2106</v>
      </c>
      <c r="AL21" s="17" t="s">
        <v>2074</v>
      </c>
      <c r="AM21" s="14" t="s">
        <v>59</v>
      </c>
      <c r="AN21" s="298"/>
      <c r="AO21" s="16">
        <v>20</v>
      </c>
      <c r="AP21" s="28" t="s">
        <v>2042</v>
      </c>
      <c r="AQ21" s="17" t="s">
        <v>2043</v>
      </c>
      <c r="AR21" s="14" t="s">
        <v>59</v>
      </c>
      <c r="AS21" s="50"/>
      <c r="AT21" s="16">
        <v>20</v>
      </c>
      <c r="AU21" s="28" t="s">
        <v>2044</v>
      </c>
      <c r="AV21" s="17" t="s">
        <v>2045</v>
      </c>
      <c r="AW21" s="14" t="s">
        <v>59</v>
      </c>
      <c r="AX21" s="57"/>
      <c r="AY21" s="16">
        <v>20</v>
      </c>
      <c r="AZ21" s="28" t="s">
        <v>2079</v>
      </c>
      <c r="BA21" s="17" t="s">
        <v>2080</v>
      </c>
      <c r="BB21" s="14" t="s">
        <v>59</v>
      </c>
      <c r="BC21" s="50"/>
      <c r="BD21" s="16">
        <v>20</v>
      </c>
      <c r="BE21" s="28" t="s">
        <v>2081</v>
      </c>
      <c r="BF21" s="17" t="s">
        <v>2082</v>
      </c>
      <c r="BG21" s="14" t="s">
        <v>59</v>
      </c>
      <c r="BH21" s="50"/>
      <c r="BI21" s="16">
        <v>20</v>
      </c>
      <c r="BJ21" s="28" t="s">
        <v>2149</v>
      </c>
      <c r="BK21" s="17" t="s">
        <v>2150</v>
      </c>
      <c r="BL21" s="14" t="s">
        <v>59</v>
      </c>
      <c r="BM21" s="50"/>
      <c r="BN21" s="16">
        <v>20</v>
      </c>
      <c r="BO21" s="28" t="s">
        <v>2151</v>
      </c>
      <c r="BP21" s="17" t="s">
        <v>2152</v>
      </c>
      <c r="BQ21" s="14" t="s">
        <v>59</v>
      </c>
      <c r="BR21" s="50"/>
      <c r="BS21" s="16">
        <v>20</v>
      </c>
      <c r="BT21" s="28" t="s">
        <v>2119</v>
      </c>
      <c r="BU21" s="17" t="s">
        <v>2086</v>
      </c>
      <c r="BV21" s="14" t="s">
        <v>60</v>
      </c>
      <c r="BW21" s="57"/>
      <c r="BX21" s="16">
        <v>20</v>
      </c>
      <c r="BY21" s="28" t="s">
        <v>2055</v>
      </c>
      <c r="BZ21" s="17" t="s">
        <v>2056</v>
      </c>
      <c r="CA21" s="14" t="s">
        <v>59</v>
      </c>
      <c r="CB21" s="50"/>
      <c r="CC21" s="16">
        <v>20</v>
      </c>
      <c r="CD21" s="28" t="s">
        <v>2157</v>
      </c>
      <c r="CE21" s="17" t="s">
        <v>2158</v>
      </c>
      <c r="CF21" s="14" t="s">
        <v>60</v>
      </c>
      <c r="CG21" s="57"/>
      <c r="CH21" s="16"/>
      <c r="CI21" s="28"/>
      <c r="CJ21" s="17"/>
      <c r="CK21" s="14"/>
      <c r="CL21" s="57"/>
      <c r="CM21" s="16">
        <v>20</v>
      </c>
      <c r="CN21" s="28" t="s">
        <v>2672</v>
      </c>
      <c r="CO21" s="17" t="s">
        <v>2667</v>
      </c>
      <c r="CP21" s="14" t="s">
        <v>59</v>
      </c>
      <c r="CQ21" s="57"/>
      <c r="CR21" s="23"/>
      <c r="CS21" s="52"/>
      <c r="CT21" s="52"/>
      <c r="CU21" s="52"/>
      <c r="CV21" s="52"/>
      <c r="CW21" s="52"/>
    </row>
    <row r="22" spans="1:101" s="8" customFormat="1" ht="15" customHeight="1" thickTop="1">
      <c r="A22" s="4">
        <v>21</v>
      </c>
      <c r="B22" s="29" t="s">
        <v>2059</v>
      </c>
      <c r="C22" s="5" t="s">
        <v>2060</v>
      </c>
      <c r="D22" s="6" t="s">
        <v>59</v>
      </c>
      <c r="E22" s="50"/>
      <c r="F22" s="4">
        <v>21</v>
      </c>
      <c r="G22" s="29" t="s">
        <v>2228</v>
      </c>
      <c r="H22" s="5" t="s">
        <v>2229</v>
      </c>
      <c r="I22" s="6" t="s">
        <v>59</v>
      </c>
      <c r="J22" s="50"/>
      <c r="K22" s="4">
        <v>21</v>
      </c>
      <c r="L22" s="29" t="s">
        <v>2030</v>
      </c>
      <c r="M22" s="5" t="s">
        <v>2031</v>
      </c>
      <c r="N22" s="6" t="s">
        <v>60</v>
      </c>
      <c r="O22" s="50"/>
      <c r="P22" s="4">
        <v>21</v>
      </c>
      <c r="Q22" s="29" t="s">
        <v>2065</v>
      </c>
      <c r="R22" s="5" t="s">
        <v>2066</v>
      </c>
      <c r="S22" s="6" t="s">
        <v>59</v>
      </c>
      <c r="T22" s="50"/>
      <c r="U22" s="4">
        <v>21</v>
      </c>
      <c r="V22" s="29" t="s">
        <v>2067</v>
      </c>
      <c r="W22" s="5" t="s">
        <v>2101</v>
      </c>
      <c r="X22" s="6" t="s">
        <v>59</v>
      </c>
      <c r="Y22" s="50"/>
      <c r="Z22" s="4">
        <v>21</v>
      </c>
      <c r="AA22" s="29" t="s">
        <v>2036</v>
      </c>
      <c r="AB22" s="5" t="s">
        <v>2037</v>
      </c>
      <c r="AC22" s="6" t="s">
        <v>59</v>
      </c>
      <c r="AD22" s="50"/>
      <c r="AE22" s="4">
        <v>21</v>
      </c>
      <c r="AF22" s="29" t="s">
        <v>2171</v>
      </c>
      <c r="AG22" s="5" t="s">
        <v>2172</v>
      </c>
      <c r="AH22" s="6" t="s">
        <v>59</v>
      </c>
      <c r="AI22" s="57"/>
      <c r="AJ22" s="4">
        <v>21</v>
      </c>
      <c r="AK22" s="29" t="s">
        <v>2139</v>
      </c>
      <c r="AL22" s="5" t="s">
        <v>2107</v>
      </c>
      <c r="AM22" s="6" t="s">
        <v>59</v>
      </c>
      <c r="AN22" s="57"/>
      <c r="AO22" s="4">
        <v>21</v>
      </c>
      <c r="AP22" s="29" t="s">
        <v>2075</v>
      </c>
      <c r="AQ22" s="5" t="s">
        <v>2076</v>
      </c>
      <c r="AR22" s="6" t="s">
        <v>59</v>
      </c>
      <c r="AS22" s="57"/>
      <c r="AT22" s="4">
        <v>21</v>
      </c>
      <c r="AU22" s="29" t="s">
        <v>2077</v>
      </c>
      <c r="AV22" s="5" t="s">
        <v>2078</v>
      </c>
      <c r="AW22" s="6" t="s">
        <v>59</v>
      </c>
      <c r="AX22" s="57"/>
      <c r="AY22" s="4">
        <v>21</v>
      </c>
      <c r="AZ22" s="29" t="s">
        <v>2112</v>
      </c>
      <c r="BA22" s="5" t="s">
        <v>2111</v>
      </c>
      <c r="BB22" s="6" t="s">
        <v>59</v>
      </c>
      <c r="BC22" s="50"/>
      <c r="BD22" s="4">
        <v>21</v>
      </c>
      <c r="BE22" s="29" t="s">
        <v>2114</v>
      </c>
      <c r="BF22" s="5" t="s">
        <v>213</v>
      </c>
      <c r="BG22" s="6" t="s">
        <v>60</v>
      </c>
      <c r="BH22" s="50"/>
      <c r="BI22" s="4">
        <v>21</v>
      </c>
      <c r="BJ22" s="29" t="s">
        <v>2183</v>
      </c>
      <c r="BK22" s="5" t="s">
        <v>2184</v>
      </c>
      <c r="BL22" s="6" t="s">
        <v>59</v>
      </c>
      <c r="BM22" s="50"/>
      <c r="BN22" s="4">
        <v>21</v>
      </c>
      <c r="BO22" s="29" t="s">
        <v>2185</v>
      </c>
      <c r="BP22" s="5" t="s">
        <v>2186</v>
      </c>
      <c r="BQ22" s="6" t="s">
        <v>59</v>
      </c>
      <c r="BR22" s="57"/>
      <c r="BS22" s="4">
        <v>21</v>
      </c>
      <c r="BT22" s="29" t="s">
        <v>2153</v>
      </c>
      <c r="BU22" s="5" t="s">
        <v>2154</v>
      </c>
      <c r="BV22" s="6" t="s">
        <v>59</v>
      </c>
      <c r="BW22" s="50"/>
      <c r="BX22" s="4">
        <v>21</v>
      </c>
      <c r="BY22" s="29" t="s">
        <v>2089</v>
      </c>
      <c r="BZ22" s="5" t="s">
        <v>2090</v>
      </c>
      <c r="CA22" s="6" t="s">
        <v>60</v>
      </c>
      <c r="CB22" s="50"/>
      <c r="CC22" s="4">
        <v>21</v>
      </c>
      <c r="CD22" s="29" t="s">
        <v>2225</v>
      </c>
      <c r="CE22" s="5" t="s">
        <v>2523</v>
      </c>
      <c r="CF22" s="6" t="s">
        <v>60</v>
      </c>
      <c r="CG22" s="121"/>
      <c r="CH22" s="4"/>
      <c r="CI22" s="29"/>
      <c r="CJ22" s="5"/>
      <c r="CK22" s="6"/>
      <c r="CL22" s="57"/>
      <c r="CM22" s="4">
        <v>21</v>
      </c>
      <c r="CN22" s="29" t="s">
        <v>2673</v>
      </c>
      <c r="CO22" s="5" t="s">
        <v>2668</v>
      </c>
      <c r="CP22" s="6" t="s">
        <v>59</v>
      </c>
      <c r="CQ22" s="7"/>
      <c r="CR22" s="23"/>
      <c r="CS22" s="52"/>
      <c r="CT22" s="52"/>
      <c r="CU22" s="52"/>
      <c r="CV22" s="52"/>
      <c r="CW22" s="52"/>
    </row>
    <row r="23" spans="1:101" s="8" customFormat="1" ht="15" customHeight="1">
      <c r="A23" s="9">
        <v>22</v>
      </c>
      <c r="B23" s="21" t="s">
        <v>2093</v>
      </c>
      <c r="C23" s="10" t="s">
        <v>2094</v>
      </c>
      <c r="D23" s="11" t="s">
        <v>59</v>
      </c>
      <c r="E23" s="50"/>
      <c r="F23" s="9">
        <v>22</v>
      </c>
      <c r="G23" s="21" t="s">
        <v>2262</v>
      </c>
      <c r="H23" s="10" t="s">
        <v>2263</v>
      </c>
      <c r="I23" s="11" t="s">
        <v>59</v>
      </c>
      <c r="J23" s="50"/>
      <c r="K23" s="9">
        <v>22</v>
      </c>
      <c r="L23" s="21" t="s">
        <v>2063</v>
      </c>
      <c r="M23" s="10" t="s">
        <v>2064</v>
      </c>
      <c r="N23" s="11" t="s">
        <v>59</v>
      </c>
      <c r="O23" s="50"/>
      <c r="P23" s="9">
        <v>22</v>
      </c>
      <c r="Q23" s="21" t="s">
        <v>2098</v>
      </c>
      <c r="R23" s="10" t="s">
        <v>2099</v>
      </c>
      <c r="S23" s="11" t="s">
        <v>60</v>
      </c>
      <c r="T23" s="50"/>
      <c r="U23" s="9">
        <v>22</v>
      </c>
      <c r="V23" s="21" t="s">
        <v>2100</v>
      </c>
      <c r="W23" s="10" t="s">
        <v>2134</v>
      </c>
      <c r="X23" s="11" t="s">
        <v>59</v>
      </c>
      <c r="Y23" s="50"/>
      <c r="Z23" s="9">
        <v>22</v>
      </c>
      <c r="AA23" s="21" t="s">
        <v>2069</v>
      </c>
      <c r="AB23" s="10" t="s">
        <v>2070</v>
      </c>
      <c r="AC23" s="11" t="s">
        <v>59</v>
      </c>
      <c r="AD23" s="15"/>
      <c r="AE23" s="9">
        <v>22</v>
      </c>
      <c r="AF23" s="21" t="s">
        <v>2238</v>
      </c>
      <c r="AG23" s="10" t="s">
        <v>2239</v>
      </c>
      <c r="AH23" s="11" t="s">
        <v>59</v>
      </c>
      <c r="AI23" s="57"/>
      <c r="AJ23" s="9">
        <v>22</v>
      </c>
      <c r="AK23" s="21" t="s">
        <v>2173</v>
      </c>
      <c r="AL23" s="10" t="s">
        <v>2140</v>
      </c>
      <c r="AM23" s="11" t="s">
        <v>59</v>
      </c>
      <c r="AN23" s="57"/>
      <c r="AO23" s="9">
        <v>22</v>
      </c>
      <c r="AP23" s="21" t="s">
        <v>2108</v>
      </c>
      <c r="AQ23" s="10" t="s">
        <v>2109</v>
      </c>
      <c r="AR23" s="11" t="s">
        <v>59</v>
      </c>
      <c r="AS23" s="57"/>
      <c r="AT23" s="9">
        <v>22</v>
      </c>
      <c r="AU23" s="21" t="s">
        <v>2110</v>
      </c>
      <c r="AV23" s="10" t="s">
        <v>2144</v>
      </c>
      <c r="AW23" s="11" t="s">
        <v>59</v>
      </c>
      <c r="AX23" s="57"/>
      <c r="AY23" s="9">
        <v>22</v>
      </c>
      <c r="AZ23" s="21" t="s">
        <v>2145</v>
      </c>
      <c r="BA23" s="10" t="s">
        <v>2113</v>
      </c>
      <c r="BB23" s="11" t="s">
        <v>59</v>
      </c>
      <c r="BC23" s="50"/>
      <c r="BD23" s="9">
        <v>22</v>
      </c>
      <c r="BE23" s="21" t="s">
        <v>2147</v>
      </c>
      <c r="BF23" s="10" t="s">
        <v>2148</v>
      </c>
      <c r="BG23" s="11" t="s">
        <v>59</v>
      </c>
      <c r="BH23" s="50"/>
      <c r="BI23" s="9">
        <v>22</v>
      </c>
      <c r="BJ23" s="21" t="s">
        <v>2217</v>
      </c>
      <c r="BK23" s="10" t="s">
        <v>2218</v>
      </c>
      <c r="BL23" s="11" t="s">
        <v>59</v>
      </c>
      <c r="BM23" s="50"/>
      <c r="BN23" s="9">
        <v>22</v>
      </c>
      <c r="BO23" s="21" t="s">
        <v>2219</v>
      </c>
      <c r="BP23" s="10" t="s">
        <v>2220</v>
      </c>
      <c r="BQ23" s="11" t="s">
        <v>59</v>
      </c>
      <c r="BR23" s="57"/>
      <c r="BS23" s="9">
        <v>22</v>
      </c>
      <c r="BT23" s="21" t="s">
        <v>2187</v>
      </c>
      <c r="BU23" s="10" t="s">
        <v>2188</v>
      </c>
      <c r="BV23" s="11" t="s">
        <v>59</v>
      </c>
      <c r="BW23" s="57"/>
      <c r="BX23" s="9">
        <v>22</v>
      </c>
      <c r="BY23" s="21" t="s">
        <v>2121</v>
      </c>
      <c r="BZ23" s="10" t="s">
        <v>2122</v>
      </c>
      <c r="CA23" s="11" t="s">
        <v>60</v>
      </c>
      <c r="CB23" s="50"/>
      <c r="CC23" s="9">
        <v>22</v>
      </c>
      <c r="CD23" s="21" t="s">
        <v>2258</v>
      </c>
      <c r="CE23" s="10" t="s">
        <v>2259</v>
      </c>
      <c r="CF23" s="11" t="s">
        <v>59</v>
      </c>
      <c r="CG23" s="57"/>
      <c r="CH23" s="9"/>
      <c r="CI23" s="21"/>
      <c r="CJ23" s="10"/>
      <c r="CK23" s="11"/>
      <c r="CL23" s="57"/>
      <c r="CM23" s="9">
        <v>22</v>
      </c>
      <c r="CN23" s="21" t="s">
        <v>2674</v>
      </c>
      <c r="CO23" s="10" t="s">
        <v>2669</v>
      </c>
      <c r="CP23" s="11" t="s">
        <v>59</v>
      </c>
      <c r="CQ23" s="7"/>
      <c r="CR23" s="23"/>
      <c r="CS23" s="52"/>
      <c r="CT23" s="52"/>
      <c r="CU23" s="52"/>
      <c r="CV23" s="52"/>
      <c r="CW23" s="52"/>
    </row>
    <row r="24" spans="1:101" s="8" customFormat="1" ht="15" customHeight="1">
      <c r="A24" s="9">
        <v>23</v>
      </c>
      <c r="B24" s="26" t="s">
        <v>2125</v>
      </c>
      <c r="C24" s="10" t="s">
        <v>2126</v>
      </c>
      <c r="D24" s="11" t="s">
        <v>59</v>
      </c>
      <c r="E24" s="50"/>
      <c r="F24" s="9">
        <v>23</v>
      </c>
      <c r="G24" s="26" t="s">
        <v>2296</v>
      </c>
      <c r="H24" s="10" t="s">
        <v>2297</v>
      </c>
      <c r="I24" s="11" t="s">
        <v>59</v>
      </c>
      <c r="J24" s="50"/>
      <c r="K24" s="9">
        <v>23</v>
      </c>
      <c r="L24" s="26" t="s">
        <v>2097</v>
      </c>
      <c r="M24" s="10" t="s">
        <v>1014</v>
      </c>
      <c r="N24" s="11" t="s">
        <v>59</v>
      </c>
      <c r="O24" s="50"/>
      <c r="P24" s="9">
        <v>23</v>
      </c>
      <c r="Q24" s="26" t="s">
        <v>2131</v>
      </c>
      <c r="R24" s="10" t="s">
        <v>2132</v>
      </c>
      <c r="S24" s="11" t="s">
        <v>59</v>
      </c>
      <c r="T24" s="50"/>
      <c r="U24" s="9">
        <v>23</v>
      </c>
      <c r="V24" s="26" t="s">
        <v>2133</v>
      </c>
      <c r="W24" s="10" t="s">
        <v>2168</v>
      </c>
      <c r="X24" s="11" t="s">
        <v>59</v>
      </c>
      <c r="Y24" s="50"/>
      <c r="Z24" s="9">
        <v>23</v>
      </c>
      <c r="AA24" s="26" t="s">
        <v>2102</v>
      </c>
      <c r="AB24" s="10" t="s">
        <v>2103</v>
      </c>
      <c r="AC24" s="11" t="s">
        <v>59</v>
      </c>
      <c r="AD24" s="122"/>
      <c r="AE24" s="9">
        <v>23</v>
      </c>
      <c r="AF24" s="26" t="s">
        <v>2272</v>
      </c>
      <c r="AG24" s="10" t="s">
        <v>2273</v>
      </c>
      <c r="AH24" s="11" t="s">
        <v>59</v>
      </c>
      <c r="AI24" s="57"/>
      <c r="AJ24" s="9">
        <v>23</v>
      </c>
      <c r="AK24" s="26" t="s">
        <v>2207</v>
      </c>
      <c r="AL24" s="10" t="s">
        <v>2174</v>
      </c>
      <c r="AM24" s="11" t="s">
        <v>59</v>
      </c>
      <c r="AN24" s="57"/>
      <c r="AO24" s="9">
        <v>23</v>
      </c>
      <c r="AP24" s="26" t="s">
        <v>2141</v>
      </c>
      <c r="AQ24" s="10" t="s">
        <v>2142</v>
      </c>
      <c r="AR24" s="11" t="s">
        <v>59</v>
      </c>
      <c r="AS24" s="57"/>
      <c r="AT24" s="9">
        <v>23</v>
      </c>
      <c r="AU24" s="26" t="s">
        <v>2143</v>
      </c>
      <c r="AV24" s="10" t="s">
        <v>2178</v>
      </c>
      <c r="AW24" s="11" t="s">
        <v>59</v>
      </c>
      <c r="AX24" s="57"/>
      <c r="AY24" s="9">
        <v>23</v>
      </c>
      <c r="AZ24" s="26" t="s">
        <v>2179</v>
      </c>
      <c r="BA24" s="10" t="s">
        <v>2146</v>
      </c>
      <c r="BB24" s="11" t="s">
        <v>59</v>
      </c>
      <c r="BC24" s="50"/>
      <c r="BD24" s="9">
        <v>23</v>
      </c>
      <c r="BE24" s="26" t="s">
        <v>2181</v>
      </c>
      <c r="BF24" s="10" t="s">
        <v>2182</v>
      </c>
      <c r="BG24" s="11" t="s">
        <v>59</v>
      </c>
      <c r="BH24" s="50"/>
      <c r="BI24" s="9">
        <v>23</v>
      </c>
      <c r="BJ24" s="26" t="s">
        <v>2250</v>
      </c>
      <c r="BK24" s="10" t="s">
        <v>2251</v>
      </c>
      <c r="BL24" s="11" t="s">
        <v>59</v>
      </c>
      <c r="BM24" s="50"/>
      <c r="BN24" s="9">
        <v>23</v>
      </c>
      <c r="BO24" s="26" t="s">
        <v>2252</v>
      </c>
      <c r="BP24" s="10" t="s">
        <v>2253</v>
      </c>
      <c r="BQ24" s="11" t="s">
        <v>59</v>
      </c>
      <c r="BR24" s="50"/>
      <c r="BS24" s="9">
        <v>23</v>
      </c>
      <c r="BT24" s="26" t="s">
        <v>2221</v>
      </c>
      <c r="BU24" s="10" t="s">
        <v>2222</v>
      </c>
      <c r="BV24" s="11" t="s">
        <v>59</v>
      </c>
      <c r="BW24" s="57"/>
      <c r="BX24" s="9">
        <v>23</v>
      </c>
      <c r="BY24" s="26" t="s">
        <v>2155</v>
      </c>
      <c r="BZ24" s="10" t="s">
        <v>2156</v>
      </c>
      <c r="CA24" s="11" t="s">
        <v>60</v>
      </c>
      <c r="CB24" s="57"/>
      <c r="CC24" s="9">
        <v>23</v>
      </c>
      <c r="CD24" s="26" t="s">
        <v>2292</v>
      </c>
      <c r="CE24" s="10" t="s">
        <v>2293</v>
      </c>
      <c r="CF24" s="11" t="s">
        <v>60</v>
      </c>
      <c r="CG24" s="57"/>
      <c r="CH24" s="9"/>
      <c r="CI24" s="26"/>
      <c r="CJ24" s="10"/>
      <c r="CK24" s="11"/>
      <c r="CL24" s="57"/>
      <c r="CM24" s="9">
        <v>23</v>
      </c>
      <c r="CN24" s="26" t="s">
        <v>3373</v>
      </c>
      <c r="CO24" s="10" t="s">
        <v>3521</v>
      </c>
      <c r="CP24" s="11" t="s">
        <v>59</v>
      </c>
      <c r="CQ24" s="7"/>
      <c r="CR24" s="23"/>
      <c r="CS24" s="52"/>
      <c r="CT24" s="52"/>
      <c r="CU24" s="52"/>
      <c r="CV24" s="52"/>
      <c r="CW24" s="52"/>
    </row>
    <row r="25" spans="1:101" s="8" customFormat="1" ht="15" customHeight="1">
      <c r="A25" s="9">
        <v>24</v>
      </c>
      <c r="B25" s="26" t="s">
        <v>2159</v>
      </c>
      <c r="C25" s="10" t="s">
        <v>2160</v>
      </c>
      <c r="D25" s="11" t="s">
        <v>59</v>
      </c>
      <c r="E25" s="50"/>
      <c r="F25" s="9">
        <v>24</v>
      </c>
      <c r="G25" s="26" t="s">
        <v>2362</v>
      </c>
      <c r="H25" s="10" t="s">
        <v>2363</v>
      </c>
      <c r="I25" s="11" t="s">
        <v>59</v>
      </c>
      <c r="J25" s="50"/>
      <c r="K25" s="9">
        <v>24</v>
      </c>
      <c r="L25" s="26" t="s">
        <v>2129</v>
      </c>
      <c r="M25" s="10" t="s">
        <v>2130</v>
      </c>
      <c r="N25" s="11" t="s">
        <v>59</v>
      </c>
      <c r="O25" s="50"/>
      <c r="P25" s="9">
        <v>24</v>
      </c>
      <c r="Q25" s="26" t="s">
        <v>2199</v>
      </c>
      <c r="R25" s="10" t="s">
        <v>2200</v>
      </c>
      <c r="S25" s="11" t="s">
        <v>60</v>
      </c>
      <c r="T25" s="50"/>
      <c r="U25" s="9">
        <v>24</v>
      </c>
      <c r="V25" s="26" t="s">
        <v>2167</v>
      </c>
      <c r="W25" s="10" t="s">
        <v>2202</v>
      </c>
      <c r="X25" s="11" t="s">
        <v>59</v>
      </c>
      <c r="Y25" s="50"/>
      <c r="Z25" s="9">
        <v>24</v>
      </c>
      <c r="AA25" s="26" t="s">
        <v>2135</v>
      </c>
      <c r="AB25" s="10" t="s">
        <v>2136</v>
      </c>
      <c r="AC25" s="11" t="s">
        <v>59</v>
      </c>
      <c r="AD25" s="50"/>
      <c r="AE25" s="9">
        <v>24</v>
      </c>
      <c r="AF25" s="26" t="s">
        <v>2305</v>
      </c>
      <c r="AG25" s="10" t="s">
        <v>2306</v>
      </c>
      <c r="AH25" s="11" t="s">
        <v>59</v>
      </c>
      <c r="AI25" s="57"/>
      <c r="AJ25" s="9">
        <v>24</v>
      </c>
      <c r="AK25" s="26" t="s">
        <v>2240</v>
      </c>
      <c r="AL25" s="10" t="s">
        <v>2208</v>
      </c>
      <c r="AM25" s="11" t="s">
        <v>59</v>
      </c>
      <c r="AN25" s="57"/>
      <c r="AO25" s="9">
        <v>24</v>
      </c>
      <c r="AP25" s="26" t="s">
        <v>2175</v>
      </c>
      <c r="AQ25" s="10" t="s">
        <v>2176</v>
      </c>
      <c r="AR25" s="11" t="s">
        <v>59</v>
      </c>
      <c r="AS25" s="57"/>
      <c r="AT25" s="9">
        <v>24</v>
      </c>
      <c r="AU25" s="26" t="s">
        <v>2177</v>
      </c>
      <c r="AV25" s="10" t="s">
        <v>2212</v>
      </c>
      <c r="AW25" s="11" t="s">
        <v>59</v>
      </c>
      <c r="AX25" s="57"/>
      <c r="AY25" s="9">
        <v>24</v>
      </c>
      <c r="AZ25" s="26" t="s">
        <v>2213</v>
      </c>
      <c r="BA25" s="10" t="s">
        <v>2180</v>
      </c>
      <c r="BB25" s="11" t="s">
        <v>59</v>
      </c>
      <c r="BC25" s="50"/>
      <c r="BD25" s="9">
        <v>24</v>
      </c>
      <c r="BE25" s="26" t="s">
        <v>2215</v>
      </c>
      <c r="BF25" s="10" t="s">
        <v>2216</v>
      </c>
      <c r="BG25" s="11" t="s">
        <v>59</v>
      </c>
      <c r="BH25" s="50"/>
      <c r="BI25" s="9">
        <v>24</v>
      </c>
      <c r="BJ25" s="26" t="s">
        <v>2284</v>
      </c>
      <c r="BK25" s="10" t="s">
        <v>2285</v>
      </c>
      <c r="BL25" s="11" t="s">
        <v>59</v>
      </c>
      <c r="BM25" s="50"/>
      <c r="BN25" s="9">
        <v>24</v>
      </c>
      <c r="BO25" s="26" t="s">
        <v>2286</v>
      </c>
      <c r="BP25" s="10" t="s">
        <v>2287</v>
      </c>
      <c r="BQ25" s="11" t="s">
        <v>59</v>
      </c>
      <c r="BR25" s="50"/>
      <c r="BS25" s="9">
        <v>24</v>
      </c>
      <c r="BT25" s="26" t="s">
        <v>2254</v>
      </c>
      <c r="BU25" s="10" t="s">
        <v>2255</v>
      </c>
      <c r="BV25" s="11" t="s">
        <v>59</v>
      </c>
      <c r="BW25" s="57"/>
      <c r="BX25" s="9">
        <v>24</v>
      </c>
      <c r="BY25" s="26" t="s">
        <v>2189</v>
      </c>
      <c r="BZ25" s="10" t="s">
        <v>2190</v>
      </c>
      <c r="CA25" s="11" t="s">
        <v>60</v>
      </c>
      <c r="CB25" s="50"/>
      <c r="CC25" s="9">
        <v>24</v>
      </c>
      <c r="CD25" s="26" t="s">
        <v>2325</v>
      </c>
      <c r="CE25" s="10" t="s">
        <v>1007</v>
      </c>
      <c r="CF25" s="11" t="s">
        <v>60</v>
      </c>
      <c r="CG25" s="57"/>
      <c r="CH25" s="9"/>
      <c r="CI25" s="26"/>
      <c r="CJ25" s="10"/>
      <c r="CK25" s="11"/>
      <c r="CL25" s="57"/>
      <c r="CM25" s="9">
        <v>24</v>
      </c>
      <c r="CN25" s="26" t="s">
        <v>3375</v>
      </c>
      <c r="CO25" s="10" t="s">
        <v>3371</v>
      </c>
      <c r="CP25" s="11" t="s">
        <v>59</v>
      </c>
      <c r="CQ25" s="7"/>
      <c r="CR25" s="23"/>
    </row>
    <row r="26" spans="1:101" s="8" customFormat="1" ht="15" customHeight="1" thickBot="1">
      <c r="A26" s="16">
        <v>25</v>
      </c>
      <c r="B26" s="28" t="s">
        <v>2193</v>
      </c>
      <c r="C26" s="17" t="s">
        <v>2194</v>
      </c>
      <c r="D26" s="14" t="s">
        <v>60</v>
      </c>
      <c r="E26" s="50"/>
      <c r="F26" s="16">
        <v>25</v>
      </c>
      <c r="G26" s="28" t="s">
        <v>2396</v>
      </c>
      <c r="H26" s="17" t="s">
        <v>2397</v>
      </c>
      <c r="I26" s="14" t="s">
        <v>60</v>
      </c>
      <c r="J26" s="50"/>
      <c r="K26" s="16">
        <v>25</v>
      </c>
      <c r="L26" s="28" t="s">
        <v>2163</v>
      </c>
      <c r="M26" s="17" t="s">
        <v>2164</v>
      </c>
      <c r="N26" s="14" t="s">
        <v>59</v>
      </c>
      <c r="O26" s="50"/>
      <c r="P26" s="16">
        <v>25</v>
      </c>
      <c r="Q26" s="28" t="s">
        <v>2232</v>
      </c>
      <c r="R26" s="17" t="s">
        <v>2233</v>
      </c>
      <c r="S26" s="14" t="s">
        <v>60</v>
      </c>
      <c r="T26" s="50"/>
      <c r="U26" s="16">
        <v>25</v>
      </c>
      <c r="V26" s="28" t="s">
        <v>2201</v>
      </c>
      <c r="W26" s="17" t="s">
        <v>2235</v>
      </c>
      <c r="X26" s="14" t="s">
        <v>59</v>
      </c>
      <c r="Y26" s="50"/>
      <c r="Z26" s="16">
        <v>25</v>
      </c>
      <c r="AA26" s="28" t="s">
        <v>2169</v>
      </c>
      <c r="AB26" s="17" t="s">
        <v>2170</v>
      </c>
      <c r="AC26" s="14" t="s">
        <v>59</v>
      </c>
      <c r="AD26" s="50"/>
      <c r="AE26" s="16">
        <v>25</v>
      </c>
      <c r="AF26" s="28" t="s">
        <v>2338</v>
      </c>
      <c r="AG26" s="17" t="s">
        <v>2339</v>
      </c>
      <c r="AH26" s="14" t="s">
        <v>59</v>
      </c>
      <c r="AI26" s="50"/>
      <c r="AJ26" s="16">
        <v>25</v>
      </c>
      <c r="AK26" s="28" t="s">
        <v>2274</v>
      </c>
      <c r="AL26" s="17" t="s">
        <v>2241</v>
      </c>
      <c r="AM26" s="14" t="s">
        <v>59</v>
      </c>
      <c r="AN26" s="57"/>
      <c r="AO26" s="16">
        <v>25</v>
      </c>
      <c r="AP26" s="28" t="s">
        <v>2209</v>
      </c>
      <c r="AQ26" s="17" t="s">
        <v>2210</v>
      </c>
      <c r="AR26" s="14" t="s">
        <v>59</v>
      </c>
      <c r="AS26" s="57"/>
      <c r="AT26" s="16">
        <v>25</v>
      </c>
      <c r="AU26" s="28" t="s">
        <v>2211</v>
      </c>
      <c r="AV26" s="17" t="s">
        <v>2245</v>
      </c>
      <c r="AW26" s="14" t="s">
        <v>59</v>
      </c>
      <c r="AX26" s="57"/>
      <c r="AY26" s="16">
        <v>25</v>
      </c>
      <c r="AZ26" s="28" t="s">
        <v>2246</v>
      </c>
      <c r="BA26" s="17" t="s">
        <v>2214</v>
      </c>
      <c r="BB26" s="14" t="s">
        <v>59</v>
      </c>
      <c r="BC26" s="50"/>
      <c r="BD26" s="16">
        <v>25</v>
      </c>
      <c r="BE26" s="28" t="s">
        <v>2248</v>
      </c>
      <c r="BF26" s="17" t="s">
        <v>2249</v>
      </c>
      <c r="BG26" s="14" t="s">
        <v>59</v>
      </c>
      <c r="BH26" s="50"/>
      <c r="BI26" s="16">
        <v>25</v>
      </c>
      <c r="BJ26" s="28" t="s">
        <v>2317</v>
      </c>
      <c r="BK26" s="17" t="s">
        <v>2318</v>
      </c>
      <c r="BL26" s="14" t="s">
        <v>59</v>
      </c>
      <c r="BM26" s="50"/>
      <c r="BN26" s="16">
        <v>25</v>
      </c>
      <c r="BO26" s="28" t="s">
        <v>2319</v>
      </c>
      <c r="BP26" s="17" t="s">
        <v>2320</v>
      </c>
      <c r="BQ26" s="14" t="s">
        <v>59</v>
      </c>
      <c r="BR26" s="57"/>
      <c r="BS26" s="16">
        <v>25</v>
      </c>
      <c r="BT26" s="28" t="s">
        <v>2288</v>
      </c>
      <c r="BU26" s="17" t="s">
        <v>2289</v>
      </c>
      <c r="BV26" s="14" t="s">
        <v>59</v>
      </c>
      <c r="BW26" s="50"/>
      <c r="BX26" s="16">
        <v>25</v>
      </c>
      <c r="BY26" s="28" t="s">
        <v>2223</v>
      </c>
      <c r="BZ26" s="17" t="s">
        <v>2224</v>
      </c>
      <c r="CA26" s="14" t="s">
        <v>60</v>
      </c>
      <c r="CB26" s="57"/>
      <c r="CC26" s="16">
        <v>25</v>
      </c>
      <c r="CD26" s="28" t="s">
        <v>2358</v>
      </c>
      <c r="CE26" s="17" t="s">
        <v>2359</v>
      </c>
      <c r="CF26" s="14" t="s">
        <v>59</v>
      </c>
      <c r="CG26" s="57"/>
      <c r="CH26" s="16"/>
      <c r="CI26" s="28"/>
      <c r="CJ26" s="17"/>
      <c r="CK26" s="14"/>
      <c r="CL26" s="57"/>
      <c r="CM26" s="16">
        <v>25</v>
      </c>
      <c r="CN26" s="273" t="s">
        <v>3579</v>
      </c>
      <c r="CO26" s="274" t="s">
        <v>3581</v>
      </c>
      <c r="CP26" s="339" t="s">
        <v>3582</v>
      </c>
      <c r="CQ26" s="299" t="s">
        <v>4424</v>
      </c>
      <c r="CR26" s="23"/>
    </row>
    <row r="27" spans="1:101" s="8" customFormat="1" ht="15" customHeight="1" thickTop="1">
      <c r="A27" s="4">
        <v>26</v>
      </c>
      <c r="B27" s="29" t="s">
        <v>2226</v>
      </c>
      <c r="C27" s="5" t="s">
        <v>2227</v>
      </c>
      <c r="D27" s="6" t="s">
        <v>59</v>
      </c>
      <c r="E27" s="50"/>
      <c r="F27" s="4">
        <v>26</v>
      </c>
      <c r="G27" s="29" t="s">
        <v>2428</v>
      </c>
      <c r="H27" s="5" t="s">
        <v>2429</v>
      </c>
      <c r="I27" s="6" t="s">
        <v>59</v>
      </c>
      <c r="J27" s="50"/>
      <c r="K27" s="4">
        <v>26</v>
      </c>
      <c r="L27" s="29" t="s">
        <v>2197</v>
      </c>
      <c r="M27" s="5" t="s">
        <v>2198</v>
      </c>
      <c r="N27" s="6" t="s">
        <v>59</v>
      </c>
      <c r="O27" s="50"/>
      <c r="P27" s="4">
        <v>26</v>
      </c>
      <c r="Q27" s="29" t="s">
        <v>2266</v>
      </c>
      <c r="R27" s="5" t="s">
        <v>2267</v>
      </c>
      <c r="S27" s="6" t="s">
        <v>59</v>
      </c>
      <c r="T27" s="50"/>
      <c r="U27" s="4">
        <v>26</v>
      </c>
      <c r="V27" s="29" t="s">
        <v>2234</v>
      </c>
      <c r="W27" s="5" t="s">
        <v>2269</v>
      </c>
      <c r="X27" s="6" t="s">
        <v>59</v>
      </c>
      <c r="Y27" s="50"/>
      <c r="Z27" s="4">
        <v>26</v>
      </c>
      <c r="AA27" s="29" t="s">
        <v>2203</v>
      </c>
      <c r="AB27" s="5" t="s">
        <v>2204</v>
      </c>
      <c r="AC27" s="6" t="s">
        <v>59</v>
      </c>
      <c r="AD27" s="50"/>
      <c r="AE27" s="4">
        <v>26</v>
      </c>
      <c r="AF27" s="29" t="s">
        <v>2372</v>
      </c>
      <c r="AG27" s="5" t="s">
        <v>2373</v>
      </c>
      <c r="AH27" s="6" t="s">
        <v>59</v>
      </c>
      <c r="AI27" s="57"/>
      <c r="AJ27" s="4">
        <v>26</v>
      </c>
      <c r="AK27" s="29" t="s">
        <v>2307</v>
      </c>
      <c r="AL27" s="5" t="s">
        <v>2308</v>
      </c>
      <c r="AM27" s="6" t="s">
        <v>59</v>
      </c>
      <c r="AN27" s="57"/>
      <c r="AO27" s="4">
        <v>26</v>
      </c>
      <c r="AP27" s="29" t="s">
        <v>2242</v>
      </c>
      <c r="AQ27" s="5" t="s">
        <v>2243</v>
      </c>
      <c r="AR27" s="6" t="s">
        <v>59</v>
      </c>
      <c r="AS27" s="50"/>
      <c r="AT27" s="4">
        <v>26</v>
      </c>
      <c r="AU27" s="29" t="s">
        <v>2244</v>
      </c>
      <c r="AV27" s="5" t="s">
        <v>2279</v>
      </c>
      <c r="AW27" s="6" t="s">
        <v>59</v>
      </c>
      <c r="AX27" s="57"/>
      <c r="AY27" s="4">
        <v>26</v>
      </c>
      <c r="AZ27" s="29" t="s">
        <v>2280</v>
      </c>
      <c r="BA27" s="5" t="s">
        <v>2247</v>
      </c>
      <c r="BB27" s="6" t="s">
        <v>59</v>
      </c>
      <c r="BC27" s="50"/>
      <c r="BD27" s="4">
        <v>26</v>
      </c>
      <c r="BE27" s="29" t="s">
        <v>2315</v>
      </c>
      <c r="BF27" s="5" t="s">
        <v>2316</v>
      </c>
      <c r="BG27" s="6" t="s">
        <v>59</v>
      </c>
      <c r="BH27" s="57"/>
      <c r="BI27" s="4">
        <v>26</v>
      </c>
      <c r="BJ27" s="29" t="s">
        <v>2350</v>
      </c>
      <c r="BK27" s="5" t="s">
        <v>2351</v>
      </c>
      <c r="BL27" s="6" t="s">
        <v>59</v>
      </c>
      <c r="BM27" s="50"/>
      <c r="BN27" s="4">
        <v>26</v>
      </c>
      <c r="BO27" s="29" t="s">
        <v>2352</v>
      </c>
      <c r="BP27" s="5" t="s">
        <v>2353</v>
      </c>
      <c r="BQ27" s="6" t="s">
        <v>59</v>
      </c>
      <c r="BR27" s="57"/>
      <c r="BS27" s="4">
        <v>26</v>
      </c>
      <c r="BT27" s="29" t="s">
        <v>2321</v>
      </c>
      <c r="BU27" s="5" t="s">
        <v>2322</v>
      </c>
      <c r="BV27" s="6" t="s">
        <v>59</v>
      </c>
      <c r="BW27" s="50"/>
      <c r="BX27" s="4">
        <v>26</v>
      </c>
      <c r="BY27" s="29" t="s">
        <v>2256</v>
      </c>
      <c r="BZ27" s="5" t="s">
        <v>2257</v>
      </c>
      <c r="CA27" s="6" t="s">
        <v>60</v>
      </c>
      <c r="CB27" s="57"/>
      <c r="CC27" s="4">
        <v>26</v>
      </c>
      <c r="CD27" s="29" t="s">
        <v>2392</v>
      </c>
      <c r="CE27" s="5" t="s">
        <v>2393</v>
      </c>
      <c r="CF27" s="6" t="s">
        <v>59</v>
      </c>
      <c r="CG27" s="57"/>
      <c r="CH27" s="4"/>
      <c r="CI27" s="29"/>
      <c r="CJ27" s="5"/>
      <c r="CK27" s="6"/>
      <c r="CL27" s="57"/>
      <c r="CM27" s="4"/>
      <c r="CN27" s="29"/>
      <c r="CO27" s="5"/>
      <c r="CP27" s="6"/>
      <c r="CQ27" s="7"/>
      <c r="CR27" s="23"/>
    </row>
    <row r="28" spans="1:101" s="8" customFormat="1" ht="15" customHeight="1">
      <c r="A28" s="9">
        <v>27</v>
      </c>
      <c r="B28" s="21" t="s">
        <v>2294</v>
      </c>
      <c r="C28" s="10" t="s">
        <v>2295</v>
      </c>
      <c r="D28" s="11" t="s">
        <v>59</v>
      </c>
      <c r="E28" s="50"/>
      <c r="F28" s="9">
        <v>27</v>
      </c>
      <c r="G28" s="21" t="s">
        <v>2457</v>
      </c>
      <c r="H28" s="10" t="s">
        <v>2458</v>
      </c>
      <c r="I28" s="11" t="s">
        <v>59</v>
      </c>
      <c r="J28" s="50"/>
      <c r="K28" s="9">
        <v>27</v>
      </c>
      <c r="L28" s="21" t="s">
        <v>2230</v>
      </c>
      <c r="M28" s="10" t="s">
        <v>2231</v>
      </c>
      <c r="N28" s="11" t="s">
        <v>59</v>
      </c>
      <c r="O28" s="50"/>
      <c r="P28" s="9">
        <v>27</v>
      </c>
      <c r="Q28" s="21" t="s">
        <v>2300</v>
      </c>
      <c r="R28" s="10" t="s">
        <v>2301</v>
      </c>
      <c r="S28" s="11" t="s">
        <v>59</v>
      </c>
      <c r="T28" s="50"/>
      <c r="U28" s="9">
        <v>27</v>
      </c>
      <c r="V28" s="21" t="s">
        <v>2268</v>
      </c>
      <c r="W28" s="10" t="s">
        <v>2204</v>
      </c>
      <c r="X28" s="11" t="s">
        <v>59</v>
      </c>
      <c r="Y28" s="50"/>
      <c r="Z28" s="9">
        <v>27</v>
      </c>
      <c r="AA28" s="21" t="s">
        <v>2236</v>
      </c>
      <c r="AB28" s="10" t="s">
        <v>2237</v>
      </c>
      <c r="AC28" s="11" t="s">
        <v>59</v>
      </c>
      <c r="AD28" s="15"/>
      <c r="AE28" s="9">
        <v>27</v>
      </c>
      <c r="AF28" s="21" t="s">
        <v>2438</v>
      </c>
      <c r="AG28" s="10" t="s">
        <v>2439</v>
      </c>
      <c r="AH28" s="11" t="s">
        <v>59</v>
      </c>
      <c r="AI28" s="57"/>
      <c r="AJ28" s="9">
        <v>27</v>
      </c>
      <c r="AK28" s="21" t="s">
        <v>2340</v>
      </c>
      <c r="AL28" s="10" t="s">
        <v>2341</v>
      </c>
      <c r="AM28" s="11" t="s">
        <v>59</v>
      </c>
      <c r="AN28" s="57"/>
      <c r="AO28" s="9">
        <v>27</v>
      </c>
      <c r="AP28" s="21" t="s">
        <v>2276</v>
      </c>
      <c r="AQ28" s="10" t="s">
        <v>2277</v>
      </c>
      <c r="AR28" s="11" t="s">
        <v>59</v>
      </c>
      <c r="AS28" s="57"/>
      <c r="AT28" s="9">
        <v>27</v>
      </c>
      <c r="AU28" s="21" t="s">
        <v>2278</v>
      </c>
      <c r="AV28" s="10" t="s">
        <v>2281</v>
      </c>
      <c r="AW28" s="11" t="s">
        <v>59</v>
      </c>
      <c r="AX28" s="57"/>
      <c r="AY28" s="9">
        <v>27</v>
      </c>
      <c r="AZ28" s="21" t="s">
        <v>2313</v>
      </c>
      <c r="BA28" s="10" t="s">
        <v>2314</v>
      </c>
      <c r="BB28" s="11" t="s">
        <v>59</v>
      </c>
      <c r="BC28" s="50"/>
      <c r="BD28" s="9">
        <v>27</v>
      </c>
      <c r="BE28" s="21" t="s">
        <v>2348</v>
      </c>
      <c r="BF28" s="10" t="s">
        <v>2349</v>
      </c>
      <c r="BG28" s="11" t="s">
        <v>59</v>
      </c>
      <c r="BH28" s="50"/>
      <c r="BI28" s="9">
        <v>27</v>
      </c>
      <c r="BJ28" s="21" t="s">
        <v>2384</v>
      </c>
      <c r="BK28" s="10" t="s">
        <v>2385</v>
      </c>
      <c r="BL28" s="11" t="s">
        <v>60</v>
      </c>
      <c r="BM28" s="50"/>
      <c r="BN28" s="9">
        <v>27</v>
      </c>
      <c r="BO28" s="21" t="s">
        <v>2386</v>
      </c>
      <c r="BP28" s="10" t="s">
        <v>2387</v>
      </c>
      <c r="BQ28" s="11" t="s">
        <v>59</v>
      </c>
      <c r="BR28" s="50"/>
      <c r="BS28" s="9">
        <v>27</v>
      </c>
      <c r="BT28" s="21" t="s">
        <v>2388</v>
      </c>
      <c r="BU28" s="10" t="s">
        <v>2389</v>
      </c>
      <c r="BV28" s="11" t="s">
        <v>59</v>
      </c>
      <c r="BW28" s="57"/>
      <c r="BX28" s="9">
        <v>27</v>
      </c>
      <c r="BY28" s="21" t="s">
        <v>2290</v>
      </c>
      <c r="BZ28" s="10" t="s">
        <v>2291</v>
      </c>
      <c r="CA28" s="11" t="s">
        <v>60</v>
      </c>
      <c r="CB28" s="57"/>
      <c r="CC28" s="9">
        <v>27</v>
      </c>
      <c r="CD28" s="21" t="s">
        <v>2424</v>
      </c>
      <c r="CE28" s="10" t="s">
        <v>2425</v>
      </c>
      <c r="CF28" s="11" t="s">
        <v>60</v>
      </c>
      <c r="CG28" s="57"/>
      <c r="CH28" s="9"/>
      <c r="CI28" s="21"/>
      <c r="CJ28" s="10"/>
      <c r="CK28" s="11"/>
      <c r="CL28" s="120"/>
      <c r="CM28" s="9"/>
      <c r="CN28" s="21"/>
      <c r="CO28" s="10"/>
      <c r="CP28" s="11"/>
      <c r="CQ28" s="7"/>
      <c r="CR28" s="23"/>
    </row>
    <row r="29" spans="1:101" s="8" customFormat="1" ht="15" customHeight="1">
      <c r="A29" s="9">
        <v>28</v>
      </c>
      <c r="B29" s="26" t="s">
        <v>2326</v>
      </c>
      <c r="C29" s="10" t="s">
        <v>2327</v>
      </c>
      <c r="D29" s="11" t="s">
        <v>59</v>
      </c>
      <c r="E29" s="50"/>
      <c r="F29" s="9"/>
      <c r="G29" s="26"/>
      <c r="H29" s="10"/>
      <c r="I29" s="11"/>
      <c r="J29" s="50"/>
      <c r="K29" s="9">
        <v>28</v>
      </c>
      <c r="L29" s="26" t="s">
        <v>2264</v>
      </c>
      <c r="M29" s="10" t="s">
        <v>2265</v>
      </c>
      <c r="N29" s="11" t="s">
        <v>59</v>
      </c>
      <c r="O29" s="50"/>
      <c r="P29" s="9">
        <v>28</v>
      </c>
      <c r="Q29" s="26" t="s">
        <v>2332</v>
      </c>
      <c r="R29" s="10" t="s">
        <v>2333</v>
      </c>
      <c r="S29" s="11" t="s">
        <v>59</v>
      </c>
      <c r="T29" s="50"/>
      <c r="U29" s="9">
        <v>28</v>
      </c>
      <c r="V29" s="26" t="s">
        <v>2302</v>
      </c>
      <c r="W29" s="10" t="s">
        <v>2335</v>
      </c>
      <c r="X29" s="11" t="s">
        <v>59</v>
      </c>
      <c r="Y29" s="50"/>
      <c r="Z29" s="9">
        <v>28</v>
      </c>
      <c r="AA29" s="26" t="s">
        <v>2270</v>
      </c>
      <c r="AB29" s="10" t="s">
        <v>2271</v>
      </c>
      <c r="AC29" s="11" t="s">
        <v>59</v>
      </c>
      <c r="AD29" s="122"/>
      <c r="AE29" s="9">
        <v>28</v>
      </c>
      <c r="AF29" s="26" t="s">
        <v>2467</v>
      </c>
      <c r="AG29" s="10" t="s">
        <v>2468</v>
      </c>
      <c r="AH29" s="11" t="s">
        <v>59</v>
      </c>
      <c r="AI29" s="50"/>
      <c r="AJ29" s="9">
        <v>28</v>
      </c>
      <c r="AK29" s="26" t="s">
        <v>2374</v>
      </c>
      <c r="AL29" s="10" t="s">
        <v>2375</v>
      </c>
      <c r="AM29" s="11" t="s">
        <v>59</v>
      </c>
      <c r="AN29" s="57"/>
      <c r="AO29" s="9">
        <v>28</v>
      </c>
      <c r="AP29" s="26" t="s">
        <v>2309</v>
      </c>
      <c r="AQ29" s="10" t="s">
        <v>2310</v>
      </c>
      <c r="AR29" s="11" t="s">
        <v>59</v>
      </c>
      <c r="AS29" s="57"/>
      <c r="AT29" s="9">
        <v>28</v>
      </c>
      <c r="AU29" s="26" t="s">
        <v>2311</v>
      </c>
      <c r="AV29" s="10" t="s">
        <v>2312</v>
      </c>
      <c r="AW29" s="11" t="s">
        <v>59</v>
      </c>
      <c r="AX29" s="57"/>
      <c r="AY29" s="9">
        <v>28</v>
      </c>
      <c r="AZ29" s="26" t="s">
        <v>2346</v>
      </c>
      <c r="BA29" s="10" t="s">
        <v>2347</v>
      </c>
      <c r="BB29" s="11" t="s">
        <v>59</v>
      </c>
      <c r="BC29" s="50"/>
      <c r="BD29" s="9">
        <v>28</v>
      </c>
      <c r="BE29" s="26" t="s">
        <v>2382</v>
      </c>
      <c r="BF29" s="10" t="s">
        <v>2383</v>
      </c>
      <c r="BG29" s="11" t="s">
        <v>59</v>
      </c>
      <c r="BH29" s="50"/>
      <c r="BI29" s="9">
        <v>28</v>
      </c>
      <c r="BJ29" s="26" t="s">
        <v>2417</v>
      </c>
      <c r="BK29" s="10" t="s">
        <v>2418</v>
      </c>
      <c r="BL29" s="11" t="s">
        <v>60</v>
      </c>
      <c r="BM29" s="50"/>
      <c r="BN29" s="9">
        <v>28</v>
      </c>
      <c r="BO29" s="26" t="s">
        <v>2419</v>
      </c>
      <c r="BP29" s="10" t="s">
        <v>2420</v>
      </c>
      <c r="BQ29" s="11" t="s">
        <v>59</v>
      </c>
      <c r="BR29" s="57"/>
      <c r="BS29" s="9">
        <v>28</v>
      </c>
      <c r="BT29" s="26" t="s">
        <v>2421</v>
      </c>
      <c r="BU29" s="10" t="s">
        <v>2422</v>
      </c>
      <c r="BV29" s="11" t="s">
        <v>59</v>
      </c>
      <c r="BW29" s="50"/>
      <c r="BX29" s="9">
        <v>28</v>
      </c>
      <c r="BY29" s="26" t="s">
        <v>2323</v>
      </c>
      <c r="BZ29" s="10" t="s">
        <v>2324</v>
      </c>
      <c r="CA29" s="11" t="s">
        <v>59</v>
      </c>
      <c r="CB29" s="50"/>
      <c r="CC29" s="9">
        <v>28</v>
      </c>
      <c r="CD29" s="26" t="s">
        <v>2453</v>
      </c>
      <c r="CE29" s="10" t="s">
        <v>2454</v>
      </c>
      <c r="CF29" s="11" t="s">
        <v>60</v>
      </c>
      <c r="CG29" s="57"/>
      <c r="CH29" s="9"/>
      <c r="CI29" s="26"/>
      <c r="CJ29" s="10"/>
      <c r="CK29" s="11"/>
      <c r="CL29" s="57"/>
      <c r="CM29" s="9"/>
      <c r="CN29" s="26"/>
      <c r="CO29" s="10"/>
      <c r="CP29" s="11"/>
      <c r="CQ29" s="7"/>
      <c r="CR29" s="23"/>
    </row>
    <row r="30" spans="1:101" s="8" customFormat="1" ht="15" customHeight="1">
      <c r="A30" s="9">
        <v>29</v>
      </c>
      <c r="B30" s="26" t="s">
        <v>2360</v>
      </c>
      <c r="C30" s="10" t="s">
        <v>2361</v>
      </c>
      <c r="D30" s="11" t="s">
        <v>59</v>
      </c>
      <c r="E30" s="50"/>
      <c r="F30" s="9"/>
      <c r="G30" s="26"/>
      <c r="H30" s="10"/>
      <c r="I30" s="11"/>
      <c r="J30" s="50"/>
      <c r="K30" s="9">
        <v>29</v>
      </c>
      <c r="L30" s="26" t="s">
        <v>2298</v>
      </c>
      <c r="M30" s="10" t="s">
        <v>2299</v>
      </c>
      <c r="N30" s="11" t="s">
        <v>59</v>
      </c>
      <c r="O30" s="50"/>
      <c r="P30" s="9">
        <v>29</v>
      </c>
      <c r="Q30" s="26" t="s">
        <v>2366</v>
      </c>
      <c r="R30" s="10" t="s">
        <v>2367</v>
      </c>
      <c r="S30" s="11" t="s">
        <v>59</v>
      </c>
      <c r="T30" s="50"/>
      <c r="U30" s="9">
        <v>29</v>
      </c>
      <c r="V30" s="26" t="s">
        <v>2334</v>
      </c>
      <c r="W30" s="10" t="s">
        <v>2369</v>
      </c>
      <c r="X30" s="11" t="s">
        <v>59</v>
      </c>
      <c r="Y30" s="50"/>
      <c r="Z30" s="9">
        <v>29</v>
      </c>
      <c r="AA30" s="26" t="s">
        <v>2303</v>
      </c>
      <c r="AB30" s="10" t="s">
        <v>2304</v>
      </c>
      <c r="AC30" s="11" t="s">
        <v>59</v>
      </c>
      <c r="AD30" s="7"/>
      <c r="AE30" s="9">
        <v>29</v>
      </c>
      <c r="AF30" s="26" t="s">
        <v>2485</v>
      </c>
      <c r="AG30" s="10" t="s">
        <v>2486</v>
      </c>
      <c r="AH30" s="11" t="s">
        <v>59</v>
      </c>
      <c r="AI30" s="57"/>
      <c r="AJ30" s="9">
        <v>29</v>
      </c>
      <c r="AK30" s="26" t="s">
        <v>2407</v>
      </c>
      <c r="AL30" s="10" t="s">
        <v>2408</v>
      </c>
      <c r="AM30" s="11" t="s">
        <v>59</v>
      </c>
      <c r="AN30" s="57"/>
      <c r="AO30" s="9">
        <v>29</v>
      </c>
      <c r="AP30" s="26" t="s">
        <v>2342</v>
      </c>
      <c r="AQ30" s="10" t="s">
        <v>2343</v>
      </c>
      <c r="AR30" s="11" t="s">
        <v>59</v>
      </c>
      <c r="AS30" s="50"/>
      <c r="AT30" s="9">
        <v>29</v>
      </c>
      <c r="AU30" s="26" t="s">
        <v>2344</v>
      </c>
      <c r="AV30" s="10" t="s">
        <v>2345</v>
      </c>
      <c r="AW30" s="11" t="s">
        <v>59</v>
      </c>
      <c r="AX30" s="57"/>
      <c r="AY30" s="9">
        <v>29</v>
      </c>
      <c r="AZ30" s="26" t="s">
        <v>2380</v>
      </c>
      <c r="BA30" s="10" t="s">
        <v>2381</v>
      </c>
      <c r="BB30" s="11" t="s">
        <v>59</v>
      </c>
      <c r="BC30" s="50"/>
      <c r="BD30" s="9">
        <v>29</v>
      </c>
      <c r="BE30" s="26" t="s">
        <v>2415</v>
      </c>
      <c r="BF30" s="10" t="s">
        <v>2416</v>
      </c>
      <c r="BG30" s="11" t="s">
        <v>60</v>
      </c>
      <c r="BH30" s="50"/>
      <c r="BI30" s="9">
        <v>29</v>
      </c>
      <c r="BJ30" s="26" t="s">
        <v>3448</v>
      </c>
      <c r="BK30" s="10" t="s">
        <v>3445</v>
      </c>
      <c r="BL30" s="11" t="s">
        <v>59</v>
      </c>
      <c r="BM30" s="50"/>
      <c r="BN30" s="9">
        <v>29</v>
      </c>
      <c r="BO30" s="26" t="s">
        <v>2477</v>
      </c>
      <c r="BP30" s="10" t="s">
        <v>2478</v>
      </c>
      <c r="BQ30" s="11" t="s">
        <v>59</v>
      </c>
      <c r="BR30" s="50"/>
      <c r="BS30" s="9">
        <v>29</v>
      </c>
      <c r="BT30" s="26" t="s">
        <v>2449</v>
      </c>
      <c r="BU30" s="10" t="s">
        <v>2450</v>
      </c>
      <c r="BV30" s="11" t="s">
        <v>59</v>
      </c>
      <c r="BW30" s="50"/>
      <c r="BX30" s="9">
        <v>29</v>
      </c>
      <c r="BY30" s="26" t="s">
        <v>2356</v>
      </c>
      <c r="BZ30" s="10" t="s">
        <v>2357</v>
      </c>
      <c r="CA30" s="11" t="s">
        <v>60</v>
      </c>
      <c r="CB30" s="50"/>
      <c r="CC30" s="9">
        <v>29</v>
      </c>
      <c r="CD30" s="26" t="s">
        <v>2624</v>
      </c>
      <c r="CE30" s="10" t="s">
        <v>2448</v>
      </c>
      <c r="CF30" s="11" t="s">
        <v>59</v>
      </c>
      <c r="CG30" s="57"/>
      <c r="CH30" s="9"/>
      <c r="CI30" s="26"/>
      <c r="CJ30" s="10"/>
      <c r="CK30" s="11"/>
      <c r="CL30" s="57"/>
      <c r="CM30" s="9"/>
      <c r="CN30" s="26"/>
      <c r="CO30" s="10"/>
      <c r="CP30" s="11"/>
      <c r="CQ30" s="7"/>
      <c r="CR30" s="23"/>
    </row>
    <row r="31" spans="1:101" s="8" customFormat="1" ht="15" customHeight="1" thickBot="1">
      <c r="A31" s="12">
        <v>30</v>
      </c>
      <c r="B31" s="27" t="s">
        <v>2394</v>
      </c>
      <c r="C31" s="13" t="s">
        <v>2395</v>
      </c>
      <c r="D31" s="18" t="s">
        <v>59</v>
      </c>
      <c r="E31" s="50"/>
      <c r="F31" s="12"/>
      <c r="G31" s="27"/>
      <c r="H31" s="13"/>
      <c r="I31" s="18"/>
      <c r="J31" s="50"/>
      <c r="K31" s="12">
        <v>30</v>
      </c>
      <c r="L31" s="27" t="s">
        <v>2330</v>
      </c>
      <c r="M31" s="13" t="s">
        <v>2331</v>
      </c>
      <c r="N31" s="18" t="s">
        <v>59</v>
      </c>
      <c r="O31" s="50"/>
      <c r="P31" s="12">
        <v>30</v>
      </c>
      <c r="Q31" s="27" t="s">
        <v>2400</v>
      </c>
      <c r="R31" s="13" t="s">
        <v>2401</v>
      </c>
      <c r="S31" s="18" t="s">
        <v>59</v>
      </c>
      <c r="T31" s="50"/>
      <c r="U31" s="12">
        <v>30</v>
      </c>
      <c r="V31" s="27" t="s">
        <v>2368</v>
      </c>
      <c r="W31" s="13" t="s">
        <v>2403</v>
      </c>
      <c r="X31" s="18" t="s">
        <v>59</v>
      </c>
      <c r="Y31" s="50"/>
      <c r="Z31" s="12">
        <v>30</v>
      </c>
      <c r="AA31" s="27" t="s">
        <v>2336</v>
      </c>
      <c r="AB31" s="13" t="s">
        <v>2337</v>
      </c>
      <c r="AC31" s="18" t="s">
        <v>59</v>
      </c>
      <c r="AD31" s="50"/>
      <c r="AE31" s="12">
        <v>30</v>
      </c>
      <c r="AF31" s="27" t="s">
        <v>2503</v>
      </c>
      <c r="AG31" s="13" t="s">
        <v>2504</v>
      </c>
      <c r="AH31" s="18" t="s">
        <v>59</v>
      </c>
      <c r="AI31" s="57"/>
      <c r="AJ31" s="12">
        <v>30</v>
      </c>
      <c r="AK31" s="27" t="s">
        <v>2440</v>
      </c>
      <c r="AL31" s="13" t="s">
        <v>2441</v>
      </c>
      <c r="AM31" s="18" t="s">
        <v>59</v>
      </c>
      <c r="AN31" s="57"/>
      <c r="AO31" s="12">
        <v>30</v>
      </c>
      <c r="AP31" s="27" t="s">
        <v>2376</v>
      </c>
      <c r="AQ31" s="13" t="s">
        <v>2377</v>
      </c>
      <c r="AR31" s="18" t="s">
        <v>59</v>
      </c>
      <c r="AS31" s="57"/>
      <c r="AT31" s="12">
        <v>30</v>
      </c>
      <c r="AU31" s="27" t="s">
        <v>2378</v>
      </c>
      <c r="AV31" s="13" t="s">
        <v>2379</v>
      </c>
      <c r="AW31" s="18" t="s">
        <v>59</v>
      </c>
      <c r="AX31" s="57"/>
      <c r="AY31" s="12">
        <v>30</v>
      </c>
      <c r="AZ31" s="27" t="s">
        <v>2413</v>
      </c>
      <c r="BA31" s="13" t="s">
        <v>2414</v>
      </c>
      <c r="BB31" s="18" t="s">
        <v>59</v>
      </c>
      <c r="BC31" s="50"/>
      <c r="BD31" s="12">
        <v>30</v>
      </c>
      <c r="BE31" s="27" t="s">
        <v>1017</v>
      </c>
      <c r="BF31" s="13" t="s">
        <v>1018</v>
      </c>
      <c r="BG31" s="18" t="s">
        <v>59</v>
      </c>
      <c r="BH31" s="50"/>
      <c r="BI31" s="12"/>
      <c r="BJ31" s="27"/>
      <c r="BK31" s="13"/>
      <c r="BL31" s="18"/>
      <c r="BM31" s="50"/>
      <c r="BN31" s="12">
        <v>30</v>
      </c>
      <c r="BO31" s="27" t="s">
        <v>2495</v>
      </c>
      <c r="BP31" s="13" t="s">
        <v>2496</v>
      </c>
      <c r="BQ31" s="18" t="s">
        <v>59</v>
      </c>
      <c r="BR31" s="57"/>
      <c r="BS31" s="12">
        <v>30</v>
      </c>
      <c r="BT31" s="27" t="s">
        <v>2479</v>
      </c>
      <c r="BU31" s="13" t="s">
        <v>2480</v>
      </c>
      <c r="BV31" s="18" t="s">
        <v>59</v>
      </c>
      <c r="BW31" s="50"/>
      <c r="BX31" s="12">
        <v>30</v>
      </c>
      <c r="BY31" s="27" t="s">
        <v>2390</v>
      </c>
      <c r="BZ31" s="13" t="s">
        <v>2391</v>
      </c>
      <c r="CA31" s="18" t="s">
        <v>60</v>
      </c>
      <c r="CB31" s="50"/>
      <c r="CC31" s="12"/>
      <c r="CD31" s="182"/>
      <c r="CE31" s="13"/>
      <c r="CF31" s="18"/>
      <c r="CG31" s="57"/>
      <c r="CH31" s="12"/>
      <c r="CI31" s="27"/>
      <c r="CJ31" s="13"/>
      <c r="CK31" s="18"/>
      <c r="CL31" s="57"/>
      <c r="CM31" s="12"/>
      <c r="CN31" s="27"/>
      <c r="CO31" s="13"/>
      <c r="CP31" s="18"/>
      <c r="CQ31" s="7"/>
      <c r="CR31" s="23"/>
    </row>
    <row r="32" spans="1:101" s="8" customFormat="1" ht="15" customHeight="1" thickTop="1">
      <c r="A32" s="4">
        <v>31</v>
      </c>
      <c r="B32" s="29" t="s">
        <v>2426</v>
      </c>
      <c r="C32" s="5" t="s">
        <v>2427</v>
      </c>
      <c r="D32" s="6" t="s">
        <v>59</v>
      </c>
      <c r="E32" s="50"/>
      <c r="F32" s="4"/>
      <c r="G32" s="29"/>
      <c r="H32" s="5"/>
      <c r="I32" s="6"/>
      <c r="J32" s="50"/>
      <c r="K32" s="4">
        <v>31</v>
      </c>
      <c r="L32" s="29" t="s">
        <v>2364</v>
      </c>
      <c r="M32" s="5" t="s">
        <v>2365</v>
      </c>
      <c r="N32" s="6" t="s">
        <v>60</v>
      </c>
      <c r="O32" s="50"/>
      <c r="P32" s="4">
        <v>31</v>
      </c>
      <c r="Q32" s="29" t="s">
        <v>2461</v>
      </c>
      <c r="R32" s="5" t="s">
        <v>2462</v>
      </c>
      <c r="S32" s="6" t="s">
        <v>59</v>
      </c>
      <c r="T32" s="50"/>
      <c r="U32" s="4">
        <v>31</v>
      </c>
      <c r="V32" s="29" t="s">
        <v>2402</v>
      </c>
      <c r="W32" s="5" t="s">
        <v>2275</v>
      </c>
      <c r="X32" s="6" t="s">
        <v>59</v>
      </c>
      <c r="Y32" s="50"/>
      <c r="Z32" s="4">
        <v>31</v>
      </c>
      <c r="AA32" s="29" t="s">
        <v>2370</v>
      </c>
      <c r="AB32" s="5" t="s">
        <v>2371</v>
      </c>
      <c r="AC32" s="6" t="s">
        <v>59</v>
      </c>
      <c r="AD32" s="50"/>
      <c r="AE32" s="4">
        <v>31</v>
      </c>
      <c r="AF32" s="29" t="s">
        <v>1010</v>
      </c>
      <c r="AG32" s="5" t="s">
        <v>1011</v>
      </c>
      <c r="AH32" s="6" t="s">
        <v>59</v>
      </c>
      <c r="AI32" s="57"/>
      <c r="AJ32" s="4">
        <v>31</v>
      </c>
      <c r="AK32" s="29" t="s">
        <v>2469</v>
      </c>
      <c r="AL32" s="5" t="s">
        <v>2470</v>
      </c>
      <c r="AM32" s="6" t="s">
        <v>59</v>
      </c>
      <c r="AN32" s="57"/>
      <c r="AO32" s="4">
        <v>31</v>
      </c>
      <c r="AP32" s="29" t="s">
        <v>2409</v>
      </c>
      <c r="AQ32" s="5" t="s">
        <v>2410</v>
      </c>
      <c r="AR32" s="6" t="s">
        <v>59</v>
      </c>
      <c r="AS32" s="57"/>
      <c r="AT32" s="4">
        <v>31</v>
      </c>
      <c r="AU32" s="29" t="s">
        <v>2411</v>
      </c>
      <c r="AV32" s="5" t="s">
        <v>2412</v>
      </c>
      <c r="AW32" s="6" t="s">
        <v>59</v>
      </c>
      <c r="AX32" s="57"/>
      <c r="AY32" s="4">
        <v>31</v>
      </c>
      <c r="AZ32" s="29" t="s">
        <v>2446</v>
      </c>
      <c r="BA32" s="5" t="s">
        <v>2447</v>
      </c>
      <c r="BB32" s="6" t="s">
        <v>59</v>
      </c>
      <c r="BC32" s="50"/>
      <c r="BD32" s="4"/>
      <c r="BE32" s="29"/>
      <c r="BF32" s="5"/>
      <c r="BG32" s="6"/>
      <c r="BH32" s="50"/>
      <c r="BI32" s="328"/>
      <c r="BJ32" s="327"/>
      <c r="BK32" s="300"/>
      <c r="BL32" s="301"/>
      <c r="BM32" s="207"/>
      <c r="BN32" s="4">
        <v>31</v>
      </c>
      <c r="BO32" s="29" t="s">
        <v>3449</v>
      </c>
      <c r="BP32" s="5" t="s">
        <v>3446</v>
      </c>
      <c r="BQ32" s="6" t="s">
        <v>59</v>
      </c>
      <c r="BR32" s="57"/>
      <c r="BS32" s="4">
        <v>31</v>
      </c>
      <c r="BT32" s="29" t="s">
        <v>2497</v>
      </c>
      <c r="BU32" s="5" t="s">
        <v>2498</v>
      </c>
      <c r="BV32" s="6" t="s">
        <v>59</v>
      </c>
      <c r="BW32" s="57"/>
      <c r="BX32" s="4">
        <v>31</v>
      </c>
      <c r="BY32" s="29" t="s">
        <v>2451</v>
      </c>
      <c r="BZ32" s="5" t="s">
        <v>2452</v>
      </c>
      <c r="CA32" s="6" t="s">
        <v>60</v>
      </c>
      <c r="CB32" s="50"/>
      <c r="CC32" s="4"/>
      <c r="CD32" s="183"/>
      <c r="CE32" s="5"/>
      <c r="CF32" s="6"/>
      <c r="CG32" s="57"/>
      <c r="CH32" s="4"/>
      <c r="CI32" s="29"/>
      <c r="CJ32" s="5"/>
      <c r="CK32" s="6"/>
      <c r="CL32" s="57"/>
      <c r="CM32" s="4"/>
      <c r="CN32" s="29"/>
      <c r="CO32" s="5"/>
      <c r="CP32" s="6"/>
      <c r="CQ32" s="7"/>
      <c r="CR32" s="23"/>
    </row>
    <row r="33" spans="1:96" s="8" customFormat="1" ht="15" customHeight="1">
      <c r="A33" s="9">
        <v>32</v>
      </c>
      <c r="B33" s="21" t="s">
        <v>2455</v>
      </c>
      <c r="C33" s="10" t="s">
        <v>2456</v>
      </c>
      <c r="D33" s="11" t="s">
        <v>59</v>
      </c>
      <c r="E33" s="50"/>
      <c r="F33" s="9"/>
      <c r="G33" s="21"/>
      <c r="H33" s="10"/>
      <c r="I33" s="11"/>
      <c r="J33" s="50"/>
      <c r="K33" s="9">
        <v>32</v>
      </c>
      <c r="L33" s="21" t="s">
        <v>2398</v>
      </c>
      <c r="M33" s="10" t="s">
        <v>2399</v>
      </c>
      <c r="N33" s="11" t="s">
        <v>59</v>
      </c>
      <c r="O33" s="50"/>
      <c r="P33" s="9">
        <v>32</v>
      </c>
      <c r="Q33" s="21" t="s">
        <v>929</v>
      </c>
      <c r="R33" s="10" t="s">
        <v>930</v>
      </c>
      <c r="S33" s="11" t="s">
        <v>59</v>
      </c>
      <c r="T33" s="50"/>
      <c r="U33" s="9">
        <v>32</v>
      </c>
      <c r="V33" s="21" t="s">
        <v>2463</v>
      </c>
      <c r="W33" s="10" t="s">
        <v>2464</v>
      </c>
      <c r="X33" s="11" t="s">
        <v>59</v>
      </c>
      <c r="Y33" s="50"/>
      <c r="Z33" s="9">
        <v>32</v>
      </c>
      <c r="AA33" s="21" t="s">
        <v>2404</v>
      </c>
      <c r="AB33" s="10" t="s">
        <v>2405</v>
      </c>
      <c r="AC33" s="11" t="s">
        <v>59</v>
      </c>
      <c r="AD33" s="50"/>
      <c r="AE33" s="9"/>
      <c r="AF33" s="21"/>
      <c r="AG33" s="10"/>
      <c r="AH33" s="11"/>
      <c r="AI33" s="50"/>
      <c r="AJ33" s="9">
        <v>32</v>
      </c>
      <c r="AK33" s="21" t="s">
        <v>2487</v>
      </c>
      <c r="AL33" s="10" t="s">
        <v>2488</v>
      </c>
      <c r="AM33" s="11" t="s">
        <v>59</v>
      </c>
      <c r="AN33" s="57"/>
      <c r="AO33" s="9">
        <v>32</v>
      </c>
      <c r="AP33" s="21" t="s">
        <v>2442</v>
      </c>
      <c r="AQ33" s="10" t="s">
        <v>2443</v>
      </c>
      <c r="AR33" s="11" t="s">
        <v>59</v>
      </c>
      <c r="AS33" s="57"/>
      <c r="AT33" s="9">
        <v>32</v>
      </c>
      <c r="AU33" s="21" t="s">
        <v>2444</v>
      </c>
      <c r="AV33" s="10" t="s">
        <v>2445</v>
      </c>
      <c r="AW33" s="11" t="s">
        <v>59</v>
      </c>
      <c r="AX33" s="57"/>
      <c r="AY33" s="9">
        <v>32</v>
      </c>
      <c r="AZ33" s="21" t="s">
        <v>2475</v>
      </c>
      <c r="BA33" s="10" t="s">
        <v>2476</v>
      </c>
      <c r="BB33" s="11" t="s">
        <v>59</v>
      </c>
      <c r="BC33" s="57"/>
      <c r="BD33" s="9"/>
      <c r="BE33" s="21"/>
      <c r="BF33" s="10"/>
      <c r="BG33" s="11"/>
      <c r="BH33" s="50"/>
      <c r="BI33" s="9"/>
      <c r="BJ33" s="21"/>
      <c r="BK33" s="10"/>
      <c r="BL33" s="11"/>
      <c r="BM33" s="50"/>
      <c r="BN33" s="9"/>
      <c r="BO33" s="21"/>
      <c r="BP33" s="10"/>
      <c r="BQ33" s="11"/>
      <c r="BR33" s="57"/>
      <c r="BS33" s="9"/>
      <c r="BT33" s="21"/>
      <c r="BU33" s="10"/>
      <c r="BV33" s="11"/>
      <c r="BW33" s="50"/>
      <c r="BX33" s="9">
        <v>32</v>
      </c>
      <c r="BY33" s="21" t="s">
        <v>958</v>
      </c>
      <c r="BZ33" s="10" t="s">
        <v>959</v>
      </c>
      <c r="CA33" s="11" t="s">
        <v>59</v>
      </c>
      <c r="CB33" s="57"/>
      <c r="CC33" s="9"/>
      <c r="CD33" s="26"/>
      <c r="CE33" s="10"/>
      <c r="CF33" s="11"/>
      <c r="CG33" s="121"/>
      <c r="CH33" s="9"/>
      <c r="CI33" s="21"/>
      <c r="CJ33" s="10"/>
      <c r="CK33" s="11"/>
      <c r="CL33" s="57"/>
      <c r="CM33" s="9"/>
      <c r="CN33" s="21"/>
      <c r="CO33" s="10"/>
      <c r="CP33" s="11"/>
      <c r="CQ33" s="7"/>
      <c r="CR33" s="23"/>
    </row>
    <row r="34" spans="1:96" s="8" customFormat="1" ht="15" customHeight="1">
      <c r="A34" s="9">
        <v>33</v>
      </c>
      <c r="B34" s="26" t="s">
        <v>2538</v>
      </c>
      <c r="C34" s="10" t="s">
        <v>2570</v>
      </c>
      <c r="D34" s="11" t="s">
        <v>59</v>
      </c>
      <c r="E34" s="50"/>
      <c r="F34" s="9"/>
      <c r="G34" s="26"/>
      <c r="H34" s="10"/>
      <c r="I34" s="11"/>
      <c r="J34" s="50"/>
      <c r="K34" s="9">
        <v>33</v>
      </c>
      <c r="L34" s="26" t="s">
        <v>2430</v>
      </c>
      <c r="M34" s="10" t="s">
        <v>2431</v>
      </c>
      <c r="N34" s="11" t="s">
        <v>59</v>
      </c>
      <c r="O34" s="50"/>
      <c r="P34" s="9"/>
      <c r="Q34" s="26"/>
      <c r="R34" s="10"/>
      <c r="S34" s="11"/>
      <c r="T34" s="50"/>
      <c r="U34" s="9">
        <v>33</v>
      </c>
      <c r="V34" s="26" t="s">
        <v>2481</v>
      </c>
      <c r="W34" s="10" t="s">
        <v>2482</v>
      </c>
      <c r="X34" s="11" t="s">
        <v>59</v>
      </c>
      <c r="Y34" s="207"/>
      <c r="Z34" s="9">
        <v>33</v>
      </c>
      <c r="AA34" s="26" t="s">
        <v>2436</v>
      </c>
      <c r="AB34" s="10" t="s">
        <v>2437</v>
      </c>
      <c r="AC34" s="11" t="s">
        <v>59</v>
      </c>
      <c r="AD34" s="50"/>
      <c r="AE34" s="9"/>
      <c r="AF34" s="26"/>
      <c r="AG34" s="10"/>
      <c r="AH34" s="11"/>
      <c r="AI34" s="50"/>
      <c r="AJ34" s="9">
        <v>33</v>
      </c>
      <c r="AK34" s="26" t="s">
        <v>2505</v>
      </c>
      <c r="AL34" s="10" t="s">
        <v>2506</v>
      </c>
      <c r="AM34" s="11" t="s">
        <v>59</v>
      </c>
      <c r="AN34" s="57"/>
      <c r="AO34" s="9">
        <v>33</v>
      </c>
      <c r="AP34" s="26" t="s">
        <v>2471</v>
      </c>
      <c r="AQ34" s="10" t="s">
        <v>2472</v>
      </c>
      <c r="AR34" s="11" t="s">
        <v>59</v>
      </c>
      <c r="AS34" s="57"/>
      <c r="AT34" s="9">
        <v>33</v>
      </c>
      <c r="AU34" s="26" t="s">
        <v>2473</v>
      </c>
      <c r="AV34" s="10" t="s">
        <v>2474</v>
      </c>
      <c r="AW34" s="11" t="s">
        <v>59</v>
      </c>
      <c r="AX34" s="57"/>
      <c r="AY34" s="9">
        <v>33</v>
      </c>
      <c r="AZ34" s="26" t="s">
        <v>2493</v>
      </c>
      <c r="BA34" s="10" t="s">
        <v>2494</v>
      </c>
      <c r="BB34" s="11" t="s">
        <v>59</v>
      </c>
      <c r="BC34" s="50"/>
      <c r="BD34" s="9"/>
      <c r="BE34" s="26"/>
      <c r="BF34" s="10"/>
      <c r="BG34" s="11"/>
      <c r="BH34" s="50"/>
      <c r="BI34" s="9"/>
      <c r="BJ34" s="26"/>
      <c r="BK34" s="10"/>
      <c r="BL34" s="11"/>
      <c r="BM34" s="50"/>
      <c r="BN34" s="9"/>
      <c r="BO34" s="26"/>
      <c r="BP34" s="10"/>
      <c r="BQ34" s="11"/>
      <c r="BR34" s="57"/>
      <c r="BS34" s="9"/>
      <c r="BT34" s="26"/>
      <c r="BU34" s="10"/>
      <c r="BV34" s="11"/>
      <c r="BW34" s="57"/>
      <c r="BX34" s="9"/>
      <c r="BY34" s="26"/>
      <c r="BZ34" s="10"/>
      <c r="CA34" s="11"/>
      <c r="CB34" s="50"/>
      <c r="CC34" s="9"/>
      <c r="CD34" s="26"/>
      <c r="CE34" s="10"/>
      <c r="CF34" s="11"/>
      <c r="CG34" s="120"/>
      <c r="CH34" s="9"/>
      <c r="CI34" s="26"/>
      <c r="CJ34" s="10"/>
      <c r="CK34" s="11"/>
      <c r="CL34" s="121"/>
      <c r="CM34" s="9"/>
      <c r="CN34" s="26"/>
      <c r="CO34" s="10"/>
      <c r="CP34" s="11"/>
      <c r="CQ34" s="7"/>
      <c r="CR34" s="23"/>
    </row>
    <row r="35" spans="1:96" s="8" customFormat="1" ht="15" customHeight="1">
      <c r="A35" s="9"/>
      <c r="B35" s="26"/>
      <c r="C35" s="10"/>
      <c r="D35" s="11"/>
      <c r="E35" s="50"/>
      <c r="F35" s="9"/>
      <c r="G35" s="26"/>
      <c r="H35" s="10"/>
      <c r="I35" s="11"/>
      <c r="J35" s="50"/>
      <c r="K35" s="9">
        <v>34</v>
      </c>
      <c r="L35" s="26" t="s">
        <v>2459</v>
      </c>
      <c r="M35" s="10" t="s">
        <v>2460</v>
      </c>
      <c r="N35" s="11" t="s">
        <v>60</v>
      </c>
      <c r="O35" s="50"/>
      <c r="P35" s="9"/>
      <c r="Q35" s="26"/>
      <c r="R35" s="10"/>
      <c r="S35" s="11"/>
      <c r="T35" s="50"/>
      <c r="U35" s="9">
        <v>34</v>
      </c>
      <c r="V35" s="26" t="s">
        <v>2499</v>
      </c>
      <c r="W35" s="10" t="s">
        <v>2500</v>
      </c>
      <c r="X35" s="11" t="s">
        <v>59</v>
      </c>
      <c r="Y35" s="50"/>
      <c r="Z35" s="9">
        <v>34</v>
      </c>
      <c r="AA35" s="26" t="s">
        <v>2465</v>
      </c>
      <c r="AB35" s="10" t="s">
        <v>2466</v>
      </c>
      <c r="AC35" s="11" t="s">
        <v>59</v>
      </c>
      <c r="AD35" s="50"/>
      <c r="AE35" s="9"/>
      <c r="AF35" s="26"/>
      <c r="AG35" s="10"/>
      <c r="AH35" s="11"/>
      <c r="AI35" s="57"/>
      <c r="AJ35" s="9">
        <v>34</v>
      </c>
      <c r="AK35" s="26" t="s">
        <v>978</v>
      </c>
      <c r="AL35" s="10" t="s">
        <v>979</v>
      </c>
      <c r="AM35" s="11" t="s">
        <v>59</v>
      </c>
      <c r="AN35" s="57"/>
      <c r="AO35" s="9">
        <v>34</v>
      </c>
      <c r="AP35" s="26" t="s">
        <v>2489</v>
      </c>
      <c r="AQ35" s="10" t="s">
        <v>2490</v>
      </c>
      <c r="AR35" s="11" t="s">
        <v>59</v>
      </c>
      <c r="AS35" s="50"/>
      <c r="AT35" s="9">
        <v>34</v>
      </c>
      <c r="AU35" s="26" t="s">
        <v>2491</v>
      </c>
      <c r="AV35" s="10" t="s">
        <v>2492</v>
      </c>
      <c r="AW35" s="11" t="s">
        <v>59</v>
      </c>
      <c r="AX35" s="57"/>
      <c r="AY35" s="9">
        <v>34</v>
      </c>
      <c r="AZ35" s="26" t="s">
        <v>2511</v>
      </c>
      <c r="BA35" s="10" t="s">
        <v>2512</v>
      </c>
      <c r="BB35" s="11" t="s">
        <v>60</v>
      </c>
      <c r="BC35" s="50"/>
      <c r="BD35" s="9"/>
      <c r="BE35" s="26"/>
      <c r="BF35" s="10"/>
      <c r="BG35" s="11"/>
      <c r="BH35" s="50"/>
      <c r="BI35" s="9"/>
      <c r="BJ35" s="26"/>
      <c r="BK35" s="10"/>
      <c r="BL35" s="11"/>
      <c r="BM35" s="50"/>
      <c r="BN35" s="9"/>
      <c r="BO35" s="26"/>
      <c r="BP35" s="10"/>
      <c r="BQ35" s="11"/>
      <c r="BR35" s="50"/>
      <c r="BS35" s="9"/>
      <c r="BT35" s="26"/>
      <c r="BU35" s="10"/>
      <c r="BV35" s="11"/>
      <c r="BW35" s="57"/>
      <c r="BX35" s="9"/>
      <c r="BY35" s="26"/>
      <c r="BZ35" s="10"/>
      <c r="CA35" s="11"/>
      <c r="CB35" s="57"/>
      <c r="CC35" s="9"/>
      <c r="CD35" s="26"/>
      <c r="CE35" s="10"/>
      <c r="CF35" s="11"/>
      <c r="CG35" s="57"/>
      <c r="CH35" s="9"/>
      <c r="CI35" s="26"/>
      <c r="CJ35" s="10"/>
      <c r="CK35" s="11"/>
      <c r="CL35" s="57"/>
      <c r="CM35" s="9"/>
      <c r="CN35" s="26"/>
      <c r="CO35" s="10"/>
      <c r="CP35" s="11"/>
      <c r="CQ35" s="7"/>
      <c r="CR35" s="23"/>
    </row>
    <row r="36" spans="1:96" s="8" customFormat="1" ht="15" customHeight="1" thickBot="1">
      <c r="A36" s="272"/>
      <c r="B36" s="273"/>
      <c r="C36" s="274"/>
      <c r="D36" s="275"/>
      <c r="E36" s="50"/>
      <c r="F36" s="16"/>
      <c r="G36" s="28"/>
      <c r="H36" s="17"/>
      <c r="I36" s="18"/>
      <c r="J36" s="50"/>
      <c r="K36" s="16"/>
      <c r="L36" s="28"/>
      <c r="M36" s="17"/>
      <c r="N36" s="18"/>
      <c r="O36" s="50"/>
      <c r="P36" s="16"/>
      <c r="Q36" s="28"/>
      <c r="R36" s="17"/>
      <c r="S36" s="18"/>
      <c r="T36" s="50"/>
      <c r="U36" s="16">
        <v>35</v>
      </c>
      <c r="V36" s="28" t="s">
        <v>2513</v>
      </c>
      <c r="W36" s="17" t="s">
        <v>2514</v>
      </c>
      <c r="X36" s="18" t="s">
        <v>59</v>
      </c>
      <c r="Y36" s="57"/>
      <c r="Z36" s="16">
        <v>35</v>
      </c>
      <c r="AA36" s="28" t="s">
        <v>2483</v>
      </c>
      <c r="AB36" s="17" t="s">
        <v>2484</v>
      </c>
      <c r="AC36" s="18" t="s">
        <v>59</v>
      </c>
      <c r="AD36" s="50"/>
      <c r="AE36" s="16"/>
      <c r="AF36" s="28"/>
      <c r="AG36" s="17"/>
      <c r="AH36" s="18"/>
      <c r="AI36" s="57"/>
      <c r="AJ36" s="16"/>
      <c r="AK36" s="28"/>
      <c r="AL36" s="17"/>
      <c r="AM36" s="18"/>
      <c r="AN36" s="57"/>
      <c r="AO36" s="16">
        <v>35</v>
      </c>
      <c r="AP36" s="28" t="s">
        <v>2507</v>
      </c>
      <c r="AQ36" s="17" t="s">
        <v>2508</v>
      </c>
      <c r="AR36" s="18" t="s">
        <v>59</v>
      </c>
      <c r="AS36" s="50"/>
      <c r="AT36" s="16">
        <v>35</v>
      </c>
      <c r="AU36" s="28" t="s">
        <v>2509</v>
      </c>
      <c r="AV36" s="17" t="s">
        <v>2510</v>
      </c>
      <c r="AW36" s="18" t="s">
        <v>60</v>
      </c>
      <c r="AX36" s="57"/>
      <c r="AY36" s="16">
        <v>35</v>
      </c>
      <c r="AZ36" s="28" t="s">
        <v>2521</v>
      </c>
      <c r="BA36" s="17" t="s">
        <v>2522</v>
      </c>
      <c r="BB36" s="18" t="s">
        <v>59</v>
      </c>
      <c r="BC36" s="50"/>
      <c r="BD36" s="16"/>
      <c r="BE36" s="28"/>
      <c r="BF36" s="17"/>
      <c r="BG36" s="18"/>
      <c r="BH36" s="50"/>
      <c r="BI36" s="16"/>
      <c r="BJ36" s="28"/>
      <c r="BK36" s="17"/>
      <c r="BL36" s="18"/>
      <c r="BM36" s="50"/>
      <c r="BN36" s="16"/>
      <c r="BO36" s="28"/>
      <c r="BP36" s="17"/>
      <c r="BQ36" s="18"/>
      <c r="BR36" s="57"/>
      <c r="BS36" s="16"/>
      <c r="BT36" s="28"/>
      <c r="BU36" s="17"/>
      <c r="BV36" s="18"/>
      <c r="BW36" s="57"/>
      <c r="BX36" s="16"/>
      <c r="BY36" s="28"/>
      <c r="BZ36" s="17"/>
      <c r="CA36" s="18"/>
      <c r="CB36" s="50"/>
      <c r="CC36" s="16"/>
      <c r="CD36" s="28"/>
      <c r="CE36" s="17"/>
      <c r="CF36" s="18"/>
      <c r="CG36" s="121"/>
      <c r="CH36" s="16"/>
      <c r="CI36" s="28"/>
      <c r="CJ36" s="17"/>
      <c r="CK36" s="18"/>
      <c r="CL36" s="57"/>
      <c r="CM36" s="16"/>
      <c r="CN36" s="28"/>
      <c r="CO36" s="17"/>
      <c r="CP36" s="18"/>
      <c r="CQ36" s="7"/>
      <c r="CR36" s="23"/>
    </row>
    <row r="37" spans="1:96" s="8" customFormat="1" ht="15" customHeight="1" thickTop="1">
      <c r="A37" s="4"/>
      <c r="B37" s="25"/>
      <c r="C37" s="5"/>
      <c r="D37" s="6"/>
      <c r="E37" s="50"/>
      <c r="F37" s="4"/>
      <c r="G37" s="25"/>
      <c r="H37" s="5"/>
      <c r="I37" s="6"/>
      <c r="J37" s="50"/>
      <c r="K37" s="4"/>
      <c r="L37" s="25"/>
      <c r="M37" s="5"/>
      <c r="N37" s="6"/>
      <c r="O37" s="50"/>
      <c r="P37" s="4"/>
      <c r="Q37" s="25"/>
      <c r="R37" s="5"/>
      <c r="S37" s="6"/>
      <c r="T37" s="50"/>
      <c r="U37" s="4"/>
      <c r="V37" s="25"/>
      <c r="W37" s="5"/>
      <c r="X37" s="6"/>
      <c r="Y37" s="50"/>
      <c r="Z37" s="4">
        <v>36</v>
      </c>
      <c r="AA37" s="25" t="s">
        <v>2501</v>
      </c>
      <c r="AB37" s="5" t="s">
        <v>2502</v>
      </c>
      <c r="AC37" s="6" t="s">
        <v>59</v>
      </c>
      <c r="AD37" s="50"/>
      <c r="AE37" s="4"/>
      <c r="AF37" s="25"/>
      <c r="AG37" s="5"/>
      <c r="AH37" s="6"/>
      <c r="AI37" s="57"/>
      <c r="AJ37" s="4"/>
      <c r="AK37" s="25"/>
      <c r="AL37" s="5"/>
      <c r="AM37" s="6"/>
      <c r="AN37" s="50"/>
      <c r="AO37" s="4">
        <v>36</v>
      </c>
      <c r="AP37" s="25" t="s">
        <v>2517</v>
      </c>
      <c r="AQ37" s="5" t="s">
        <v>2518</v>
      </c>
      <c r="AR37" s="6" t="s">
        <v>59</v>
      </c>
      <c r="AS37" s="57"/>
      <c r="AT37" s="4">
        <v>36</v>
      </c>
      <c r="AU37" s="25" t="s">
        <v>2519</v>
      </c>
      <c r="AV37" s="5" t="s">
        <v>2520</v>
      </c>
      <c r="AW37" s="6" t="s">
        <v>59</v>
      </c>
      <c r="AX37" s="57"/>
      <c r="AY37" s="4">
        <v>36</v>
      </c>
      <c r="AZ37" s="25" t="s">
        <v>960</v>
      </c>
      <c r="BA37" s="5" t="s">
        <v>969</v>
      </c>
      <c r="BB37" s="6" t="s">
        <v>59</v>
      </c>
      <c r="BC37" s="50"/>
      <c r="BD37" s="4"/>
      <c r="BE37" s="25"/>
      <c r="BF37" s="5"/>
      <c r="BG37" s="6"/>
      <c r="BH37" s="50"/>
      <c r="BI37" s="4"/>
      <c r="BJ37" s="25"/>
      <c r="BK37" s="5"/>
      <c r="BL37" s="6"/>
      <c r="BM37" s="50"/>
      <c r="BN37" s="4"/>
      <c r="BO37" s="25"/>
      <c r="BP37" s="5"/>
      <c r="BQ37" s="6"/>
      <c r="BR37" s="57"/>
      <c r="BS37" s="4"/>
      <c r="BT37" s="25"/>
      <c r="BU37" s="5"/>
      <c r="BV37" s="6"/>
      <c r="BW37" s="50"/>
      <c r="BX37" s="4"/>
      <c r="BY37" s="25"/>
      <c r="BZ37" s="5"/>
      <c r="CA37" s="6"/>
      <c r="CB37" s="50"/>
      <c r="CC37" s="4"/>
      <c r="CD37" s="25"/>
      <c r="CE37" s="5"/>
      <c r="CF37" s="6"/>
      <c r="CG37" s="57"/>
      <c r="CH37" s="4"/>
      <c r="CI37" s="25"/>
      <c r="CJ37" s="5"/>
      <c r="CK37" s="6"/>
      <c r="CL37" s="57"/>
      <c r="CM37" s="4"/>
      <c r="CN37" s="25"/>
      <c r="CO37" s="5"/>
      <c r="CP37" s="6"/>
      <c r="CQ37" s="7"/>
      <c r="CR37" s="23"/>
    </row>
    <row r="38" spans="1:96" s="8" customFormat="1" ht="15" customHeight="1">
      <c r="A38" s="9"/>
      <c r="B38" s="21"/>
      <c r="C38" s="10"/>
      <c r="D38" s="11"/>
      <c r="E38" s="50"/>
      <c r="F38" s="9"/>
      <c r="G38" s="21"/>
      <c r="H38" s="10"/>
      <c r="I38" s="11"/>
      <c r="J38" s="50"/>
      <c r="K38" s="9"/>
      <c r="L38" s="21"/>
      <c r="M38" s="10"/>
      <c r="N38" s="11"/>
      <c r="O38" s="50"/>
      <c r="P38" s="9"/>
      <c r="Q38" s="21"/>
      <c r="R38" s="10"/>
      <c r="S38" s="11"/>
      <c r="T38" s="50"/>
      <c r="U38" s="9"/>
      <c r="V38" s="21"/>
      <c r="W38" s="10"/>
      <c r="X38" s="11"/>
      <c r="Y38" s="50"/>
      <c r="Z38" s="9">
        <v>37</v>
      </c>
      <c r="AA38" s="21" t="s">
        <v>2515</v>
      </c>
      <c r="AB38" s="10" t="s">
        <v>2516</v>
      </c>
      <c r="AC38" s="11" t="s">
        <v>59</v>
      </c>
      <c r="AD38" s="7"/>
      <c r="AE38" s="9"/>
      <c r="AF38" s="21"/>
      <c r="AG38" s="10"/>
      <c r="AH38" s="11"/>
      <c r="AI38" s="57"/>
      <c r="AJ38" s="9"/>
      <c r="AK38" s="21"/>
      <c r="AL38" s="10"/>
      <c r="AM38" s="11"/>
      <c r="AN38" s="57"/>
      <c r="AO38" s="9">
        <v>37</v>
      </c>
      <c r="AP38" s="21" t="s">
        <v>1050</v>
      </c>
      <c r="AQ38" s="10" t="s">
        <v>1051</v>
      </c>
      <c r="AR38" s="11" t="s">
        <v>59</v>
      </c>
      <c r="AS38" s="57"/>
      <c r="AT38" s="9">
        <v>37</v>
      </c>
      <c r="AU38" s="262" t="s">
        <v>585</v>
      </c>
      <c r="AV38" s="205" t="s">
        <v>592</v>
      </c>
      <c r="AW38" s="206" t="s">
        <v>59</v>
      </c>
      <c r="AX38" s="298"/>
      <c r="AY38" s="9"/>
      <c r="AZ38" s="21"/>
      <c r="BA38" s="10"/>
      <c r="BB38" s="11"/>
      <c r="BC38" s="50"/>
      <c r="BD38" s="9"/>
      <c r="BE38" s="21"/>
      <c r="BF38" s="10"/>
      <c r="BG38" s="11"/>
      <c r="BH38" s="50"/>
      <c r="BI38" s="9"/>
      <c r="BJ38" s="21"/>
      <c r="BK38" s="10"/>
      <c r="BL38" s="11"/>
      <c r="BM38" s="50"/>
      <c r="BN38" s="9"/>
      <c r="BO38" s="21"/>
      <c r="BP38" s="10"/>
      <c r="BQ38" s="11"/>
      <c r="BR38" s="50"/>
      <c r="BS38" s="9"/>
      <c r="BT38" s="21"/>
      <c r="BU38" s="10"/>
      <c r="BV38" s="11"/>
      <c r="BW38" s="50"/>
      <c r="BX38" s="9"/>
      <c r="BY38" s="21"/>
      <c r="BZ38" s="10"/>
      <c r="CA38" s="11"/>
      <c r="CB38" s="57"/>
      <c r="CC38" s="9"/>
      <c r="CD38" s="21"/>
      <c r="CE38" s="10"/>
      <c r="CF38" s="11"/>
      <c r="CG38" s="57"/>
      <c r="CH38" s="9"/>
      <c r="CI38" s="21"/>
      <c r="CJ38" s="10"/>
      <c r="CK38" s="11"/>
      <c r="CL38" s="57"/>
      <c r="CM38" s="9"/>
      <c r="CN38" s="21"/>
      <c r="CO38" s="10"/>
      <c r="CP38" s="11"/>
      <c r="CQ38" s="19"/>
      <c r="CR38" s="23"/>
    </row>
    <row r="39" spans="1:96" s="8" customFormat="1" ht="15" customHeight="1">
      <c r="A39" s="9"/>
      <c r="B39" s="26"/>
      <c r="C39" s="10"/>
      <c r="D39" s="11"/>
      <c r="E39" s="50"/>
      <c r="F39" s="9"/>
      <c r="G39" s="26"/>
      <c r="H39" s="10"/>
      <c r="I39" s="11"/>
      <c r="J39" s="50"/>
      <c r="K39" s="9"/>
      <c r="L39" s="26"/>
      <c r="M39" s="10"/>
      <c r="N39" s="11"/>
      <c r="O39" s="50"/>
      <c r="P39" s="9"/>
      <c r="Q39" s="26"/>
      <c r="R39" s="10"/>
      <c r="S39" s="11"/>
      <c r="T39" s="50"/>
      <c r="U39" s="9"/>
      <c r="V39" s="26"/>
      <c r="W39" s="10"/>
      <c r="X39" s="11"/>
      <c r="Y39" s="50"/>
      <c r="Z39" s="9"/>
      <c r="AA39" s="26"/>
      <c r="AB39" s="10"/>
      <c r="AC39" s="11"/>
      <c r="AD39" s="50"/>
      <c r="AE39" s="9"/>
      <c r="AF39" s="26"/>
      <c r="AG39" s="10"/>
      <c r="AH39" s="11"/>
      <c r="AI39" s="57"/>
      <c r="AJ39" s="9"/>
      <c r="AK39" s="26"/>
      <c r="AL39" s="10"/>
      <c r="AM39" s="11"/>
      <c r="AN39" s="57"/>
      <c r="AO39" s="9"/>
      <c r="AP39" s="26"/>
      <c r="AQ39" s="10"/>
      <c r="AR39" s="11"/>
      <c r="AS39" s="50"/>
      <c r="AT39" s="9"/>
      <c r="AU39" s="26"/>
      <c r="AV39" s="10"/>
      <c r="AW39" s="11"/>
      <c r="AX39" s="57"/>
      <c r="AY39" s="9"/>
      <c r="AZ39" s="26"/>
      <c r="BA39" s="10"/>
      <c r="BB39" s="11"/>
      <c r="BC39" s="50"/>
      <c r="BD39" s="9"/>
      <c r="BE39" s="26"/>
      <c r="BF39" s="10"/>
      <c r="BG39" s="11"/>
      <c r="BH39" s="50"/>
      <c r="BI39" s="9"/>
      <c r="BJ39" s="26"/>
      <c r="BK39" s="10"/>
      <c r="BL39" s="11"/>
      <c r="BM39" s="50"/>
      <c r="BN39" s="9"/>
      <c r="BO39" s="26"/>
      <c r="BP39" s="10"/>
      <c r="BQ39" s="11"/>
      <c r="BR39" s="123"/>
      <c r="BS39" s="9"/>
      <c r="BT39" s="26"/>
      <c r="BU39" s="10"/>
      <c r="BV39" s="11"/>
      <c r="BW39" s="57"/>
      <c r="BX39" s="9"/>
      <c r="BY39" s="26"/>
      <c r="BZ39" s="10"/>
      <c r="CA39" s="11"/>
      <c r="CB39" s="50"/>
      <c r="CC39" s="9"/>
      <c r="CD39" s="26"/>
      <c r="CE39" s="10"/>
      <c r="CF39" s="11"/>
      <c r="CG39" s="7"/>
      <c r="CH39" s="9"/>
      <c r="CI39" s="26"/>
      <c r="CJ39" s="10"/>
      <c r="CK39" s="11"/>
      <c r="CL39" s="57"/>
      <c r="CM39" s="9"/>
      <c r="CN39" s="26"/>
      <c r="CO39" s="10"/>
      <c r="CP39" s="11"/>
      <c r="CQ39" s="19"/>
      <c r="CR39" s="23"/>
    </row>
    <row r="40" spans="1:96" s="8" customFormat="1" ht="15" customHeight="1">
      <c r="A40" s="20"/>
      <c r="B40" s="26"/>
      <c r="C40" s="10"/>
      <c r="D40" s="11"/>
      <c r="E40" s="50"/>
      <c r="F40" s="20"/>
      <c r="G40" s="26"/>
      <c r="H40" s="10"/>
      <c r="I40" s="11"/>
      <c r="J40" s="50"/>
      <c r="K40" s="20"/>
      <c r="L40" s="26"/>
      <c r="M40" s="10"/>
      <c r="N40" s="11"/>
      <c r="O40" s="50"/>
      <c r="P40" s="20"/>
      <c r="Q40" s="26"/>
      <c r="R40" s="10"/>
      <c r="S40" s="11"/>
      <c r="T40" s="50"/>
      <c r="U40" s="20"/>
      <c r="V40" s="26"/>
      <c r="W40" s="10"/>
      <c r="X40" s="11"/>
      <c r="Y40" s="50"/>
      <c r="Z40" s="20"/>
      <c r="AA40" s="26"/>
      <c r="AB40" s="10"/>
      <c r="AC40" s="11"/>
      <c r="AD40" s="50"/>
      <c r="AE40" s="20"/>
      <c r="AF40" s="26"/>
      <c r="AG40" s="10"/>
      <c r="AH40" s="11"/>
      <c r="AI40" s="50"/>
      <c r="AJ40" s="20"/>
      <c r="AK40" s="26"/>
      <c r="AL40" s="10"/>
      <c r="AM40" s="11"/>
      <c r="AN40" s="50"/>
      <c r="AO40" s="20"/>
      <c r="AP40" s="26"/>
      <c r="AQ40" s="10"/>
      <c r="AR40" s="11"/>
      <c r="AS40" s="57"/>
      <c r="AT40" s="20"/>
      <c r="AU40" s="26"/>
      <c r="AV40" s="10"/>
      <c r="AW40" s="11"/>
      <c r="AX40" s="57"/>
      <c r="AY40" s="20"/>
      <c r="AZ40" s="26"/>
      <c r="BA40" s="10"/>
      <c r="BB40" s="11"/>
      <c r="BC40" s="7"/>
      <c r="BD40" s="20"/>
      <c r="BE40" s="26"/>
      <c r="BF40" s="10"/>
      <c r="BG40" s="11"/>
      <c r="BH40" s="50"/>
      <c r="BI40" s="20"/>
      <c r="BJ40" s="26"/>
      <c r="BK40" s="10"/>
      <c r="BL40" s="11"/>
      <c r="BM40" s="50"/>
      <c r="BN40" s="20"/>
      <c r="BO40" s="26"/>
      <c r="BP40" s="10"/>
      <c r="BQ40" s="11"/>
      <c r="BR40" s="57"/>
      <c r="BS40" s="20"/>
      <c r="BT40" s="26"/>
      <c r="BU40" s="10"/>
      <c r="BV40" s="11"/>
      <c r="BW40" s="57"/>
      <c r="BX40" s="20"/>
      <c r="BY40" s="26"/>
      <c r="BZ40" s="10"/>
      <c r="CA40" s="11"/>
      <c r="CB40" s="57"/>
      <c r="CC40" s="20"/>
      <c r="CD40" s="26"/>
      <c r="CE40" s="10"/>
      <c r="CF40" s="11"/>
      <c r="CG40" s="15"/>
      <c r="CH40" s="20"/>
      <c r="CI40" s="26"/>
      <c r="CJ40" s="10"/>
      <c r="CK40" s="11"/>
      <c r="CL40" s="57"/>
      <c r="CM40" s="20"/>
      <c r="CN40" s="26"/>
      <c r="CO40" s="10"/>
      <c r="CP40" s="11"/>
      <c r="CQ40" s="19"/>
      <c r="CR40" s="48"/>
    </row>
    <row r="41" spans="1:96" s="8" customFormat="1" ht="15" customHeight="1" thickBot="1">
      <c r="A41" s="16"/>
      <c r="B41" s="28"/>
      <c r="C41" s="17"/>
      <c r="D41" s="18"/>
      <c r="E41" s="50"/>
      <c r="F41" s="16"/>
      <c r="G41" s="28"/>
      <c r="H41" s="17"/>
      <c r="I41" s="18"/>
      <c r="J41" s="50"/>
      <c r="K41" s="16"/>
      <c r="L41" s="28"/>
      <c r="M41" s="17"/>
      <c r="N41" s="18"/>
      <c r="O41" s="50"/>
      <c r="P41" s="16"/>
      <c r="Q41" s="28"/>
      <c r="R41" s="17"/>
      <c r="S41" s="18"/>
      <c r="T41" s="50"/>
      <c r="U41" s="16"/>
      <c r="V41" s="28"/>
      <c r="W41" s="17"/>
      <c r="X41" s="18"/>
      <c r="Y41" s="50"/>
      <c r="Z41" s="16"/>
      <c r="AA41" s="28"/>
      <c r="AB41" s="17"/>
      <c r="AC41" s="18"/>
      <c r="AD41" s="50"/>
      <c r="AE41" s="16"/>
      <c r="AF41" s="28"/>
      <c r="AG41" s="17"/>
      <c r="AH41" s="18"/>
      <c r="AI41" s="7"/>
      <c r="AJ41" s="16"/>
      <c r="AK41" s="28"/>
      <c r="AL41" s="17"/>
      <c r="AM41" s="18"/>
      <c r="AN41" s="57"/>
      <c r="AO41" s="16"/>
      <c r="AP41" s="28"/>
      <c r="AQ41" s="17"/>
      <c r="AR41" s="18"/>
      <c r="AS41" s="7"/>
      <c r="AT41" s="16"/>
      <c r="AU41" s="28"/>
      <c r="AV41" s="17"/>
      <c r="AW41" s="18"/>
      <c r="AX41" s="7"/>
      <c r="AY41" s="16"/>
      <c r="AZ41" s="28"/>
      <c r="BA41" s="17"/>
      <c r="BB41" s="18"/>
      <c r="BC41" s="7"/>
      <c r="BD41" s="16"/>
      <c r="BE41" s="28"/>
      <c r="BF41" s="17"/>
      <c r="BG41" s="18"/>
      <c r="BH41" s="19"/>
      <c r="BI41" s="16"/>
      <c r="BJ41" s="28"/>
      <c r="BK41" s="17"/>
      <c r="BL41" s="18"/>
      <c r="BM41" s="50"/>
      <c r="BN41" s="16"/>
      <c r="BO41" s="28"/>
      <c r="BP41" s="17"/>
      <c r="BQ41" s="18"/>
      <c r="BR41" s="57"/>
      <c r="BS41" s="16"/>
      <c r="BT41" s="28"/>
      <c r="BU41" s="17"/>
      <c r="BV41" s="18"/>
      <c r="BW41" s="57"/>
      <c r="BX41" s="16"/>
      <c r="BY41" s="28"/>
      <c r="BZ41" s="17"/>
      <c r="CA41" s="18"/>
      <c r="CB41" s="7"/>
      <c r="CC41" s="16"/>
      <c r="CD41" s="28"/>
      <c r="CE41" s="17"/>
      <c r="CF41" s="18"/>
      <c r="CG41" s="57"/>
      <c r="CH41" s="16"/>
      <c r="CI41" s="28"/>
      <c r="CJ41" s="17"/>
      <c r="CK41" s="18"/>
      <c r="CL41" s="57"/>
      <c r="CM41" s="16"/>
      <c r="CN41" s="28"/>
      <c r="CO41" s="17"/>
      <c r="CP41" s="18"/>
      <c r="CQ41" s="7"/>
      <c r="CR41" s="23"/>
    </row>
    <row r="42" spans="1:96" s="8" customFormat="1" ht="15" customHeight="1" thickTop="1">
      <c r="A42" s="4"/>
      <c r="B42" s="29"/>
      <c r="C42" s="5"/>
      <c r="D42" s="6"/>
      <c r="E42" s="7"/>
      <c r="F42" s="4"/>
      <c r="G42" s="29"/>
      <c r="H42" s="5"/>
      <c r="I42" s="6"/>
      <c r="J42" s="50"/>
      <c r="K42" s="4"/>
      <c r="L42" s="29"/>
      <c r="M42" s="5"/>
      <c r="N42" s="6"/>
      <c r="O42" s="50"/>
      <c r="P42" s="4"/>
      <c r="Q42" s="29"/>
      <c r="R42" s="5"/>
      <c r="S42" s="6"/>
      <c r="T42" s="50"/>
      <c r="U42" s="4"/>
      <c r="V42" s="29"/>
      <c r="W42" s="5"/>
      <c r="X42" s="6"/>
      <c r="Y42" s="7"/>
      <c r="Z42" s="4"/>
      <c r="AA42" s="29"/>
      <c r="AB42" s="5"/>
      <c r="AC42" s="6"/>
      <c r="AD42" s="50"/>
      <c r="AE42" s="4"/>
      <c r="AF42" s="29"/>
      <c r="AG42" s="5"/>
      <c r="AH42" s="6"/>
      <c r="AI42" s="7"/>
      <c r="AJ42" s="4"/>
      <c r="AK42" s="29"/>
      <c r="AL42" s="5"/>
      <c r="AM42" s="6"/>
      <c r="AN42" s="57"/>
      <c r="AO42" s="4"/>
      <c r="AP42" s="29"/>
      <c r="AQ42" s="5"/>
      <c r="AR42" s="6"/>
      <c r="AS42" s="7"/>
      <c r="AT42" s="4"/>
      <c r="AU42" s="29"/>
      <c r="AV42" s="5"/>
      <c r="AW42" s="6"/>
      <c r="AX42" s="7"/>
      <c r="AY42" s="4"/>
      <c r="AZ42" s="29"/>
      <c r="BA42" s="5"/>
      <c r="BB42" s="6"/>
      <c r="BC42" s="7"/>
      <c r="BD42" s="4"/>
      <c r="BE42" s="29"/>
      <c r="BF42" s="5"/>
      <c r="BG42" s="6"/>
      <c r="BH42" s="7"/>
      <c r="BI42" s="4"/>
      <c r="BJ42" s="29"/>
      <c r="BK42" s="5"/>
      <c r="BL42" s="6"/>
      <c r="BM42" s="50"/>
      <c r="BN42" s="4"/>
      <c r="BO42" s="29"/>
      <c r="BP42" s="5"/>
      <c r="BQ42" s="6"/>
      <c r="BR42" s="7"/>
      <c r="BS42" s="4"/>
      <c r="BT42" s="29"/>
      <c r="BU42" s="5"/>
      <c r="BV42" s="6"/>
      <c r="BW42" s="7"/>
      <c r="BX42" s="4"/>
      <c r="BY42" s="29"/>
      <c r="BZ42" s="5"/>
      <c r="CA42" s="6"/>
      <c r="CB42" s="7"/>
      <c r="CC42" s="4"/>
      <c r="CD42" s="29"/>
      <c r="CE42" s="5"/>
      <c r="CF42" s="6"/>
      <c r="CG42" s="57"/>
      <c r="CH42" s="4"/>
      <c r="CI42" s="29"/>
      <c r="CJ42" s="5"/>
      <c r="CK42" s="6"/>
      <c r="CL42" s="7"/>
      <c r="CM42" s="4"/>
      <c r="CN42" s="29"/>
      <c r="CO42" s="5"/>
      <c r="CP42" s="6"/>
      <c r="CQ42" s="7"/>
      <c r="CR42" s="23"/>
    </row>
    <row r="43" spans="1:96" s="8" customFormat="1" ht="15" customHeight="1">
      <c r="A43" s="9"/>
      <c r="B43" s="26"/>
      <c r="C43" s="10"/>
      <c r="D43" s="11"/>
      <c r="E43" s="7"/>
      <c r="F43" s="9"/>
      <c r="G43" s="26"/>
      <c r="H43" s="10"/>
      <c r="I43" s="11"/>
      <c r="J43" s="7"/>
      <c r="K43" s="9"/>
      <c r="L43" s="26"/>
      <c r="M43" s="10"/>
      <c r="N43" s="11"/>
      <c r="O43" s="19"/>
      <c r="P43" s="9"/>
      <c r="Q43" s="26"/>
      <c r="R43" s="10"/>
      <c r="S43" s="11"/>
      <c r="T43" s="7"/>
      <c r="U43" s="9"/>
      <c r="V43" s="26"/>
      <c r="W43" s="10"/>
      <c r="X43" s="11"/>
      <c r="Y43" s="7"/>
      <c r="Z43" s="9"/>
      <c r="AA43" s="26"/>
      <c r="AB43" s="10"/>
      <c r="AC43" s="11"/>
      <c r="AD43" s="50"/>
      <c r="AE43" s="9"/>
      <c r="AF43" s="26"/>
      <c r="AG43" s="10"/>
      <c r="AH43" s="11"/>
      <c r="AI43" s="7"/>
      <c r="AJ43" s="9"/>
      <c r="AK43" s="26"/>
      <c r="AL43" s="10"/>
      <c r="AM43" s="11"/>
      <c r="AN43" s="7"/>
      <c r="AO43" s="9"/>
      <c r="AP43" s="26"/>
      <c r="AQ43" s="10"/>
      <c r="AR43" s="11"/>
      <c r="AS43" s="7"/>
      <c r="AT43" s="9"/>
      <c r="AU43" s="26"/>
      <c r="AV43" s="10"/>
      <c r="AW43" s="11"/>
      <c r="AX43" s="7"/>
      <c r="AY43" s="9"/>
      <c r="AZ43" s="26"/>
      <c r="BA43" s="10"/>
      <c r="BB43" s="11"/>
      <c r="BC43" s="7"/>
      <c r="BD43" s="9"/>
      <c r="BE43" s="26"/>
      <c r="BF43" s="10"/>
      <c r="BG43" s="11"/>
      <c r="BH43" s="7"/>
      <c r="BI43" s="9"/>
      <c r="BJ43" s="26"/>
      <c r="BK43" s="10"/>
      <c r="BL43" s="11"/>
      <c r="BM43" s="7"/>
      <c r="BN43" s="9"/>
      <c r="BO43" s="26"/>
      <c r="BP43" s="10"/>
      <c r="BQ43" s="11"/>
      <c r="BR43" s="7"/>
      <c r="BS43" s="9"/>
      <c r="BT43" s="26"/>
      <c r="BU43" s="10"/>
      <c r="BV43" s="11"/>
      <c r="BW43" s="7"/>
      <c r="BX43" s="9"/>
      <c r="BY43" s="26"/>
      <c r="BZ43" s="10"/>
      <c r="CA43" s="11"/>
      <c r="CB43" s="7"/>
      <c r="CC43" s="9"/>
      <c r="CD43" s="26"/>
      <c r="CE43" s="10"/>
      <c r="CF43" s="11"/>
      <c r="CG43" s="7"/>
      <c r="CH43" s="9"/>
      <c r="CI43" s="26"/>
      <c r="CJ43" s="10"/>
      <c r="CK43" s="11"/>
      <c r="CL43" s="7"/>
      <c r="CM43" s="9"/>
      <c r="CN43" s="26"/>
      <c r="CO43" s="10"/>
      <c r="CP43" s="11"/>
      <c r="CQ43" s="7"/>
      <c r="CR43" s="23"/>
    </row>
    <row r="44" spans="1:96" s="8" customFormat="1" ht="15" customHeight="1">
      <c r="A44" s="9"/>
      <c r="B44" s="30"/>
      <c r="C44" s="10"/>
      <c r="D44" s="11"/>
      <c r="E44" s="7"/>
      <c r="F44" s="9"/>
      <c r="G44" s="30"/>
      <c r="H44" s="10"/>
      <c r="I44" s="11"/>
      <c r="J44" s="7"/>
      <c r="K44" s="9"/>
      <c r="L44" s="30"/>
      <c r="M44" s="10"/>
      <c r="N44" s="11"/>
      <c r="O44" s="7"/>
      <c r="P44" s="9"/>
      <c r="Q44" s="30"/>
      <c r="R44" s="10"/>
      <c r="S44" s="11"/>
      <c r="T44" s="7"/>
      <c r="U44" s="9"/>
      <c r="V44" s="30"/>
      <c r="W44" s="10"/>
      <c r="X44" s="11"/>
      <c r="Y44" s="7"/>
      <c r="Z44" s="9"/>
      <c r="AA44" s="30"/>
      <c r="AB44" s="10"/>
      <c r="AC44" s="11"/>
      <c r="AD44" s="7"/>
      <c r="AE44" s="9"/>
      <c r="AF44" s="30"/>
      <c r="AG44" s="10"/>
      <c r="AH44" s="11"/>
      <c r="AI44" s="7"/>
      <c r="AJ44" s="9"/>
      <c r="AK44" s="30"/>
      <c r="AL44" s="10"/>
      <c r="AM44" s="11"/>
      <c r="AN44" s="7"/>
      <c r="AO44" s="9"/>
      <c r="AP44" s="30"/>
      <c r="AQ44" s="10"/>
      <c r="AR44" s="11"/>
      <c r="AS44" s="7"/>
      <c r="AT44" s="9"/>
      <c r="AU44" s="30"/>
      <c r="AV44" s="10"/>
      <c r="AW44" s="11"/>
      <c r="AX44" s="7"/>
      <c r="AY44" s="9"/>
      <c r="AZ44" s="30"/>
      <c r="BA44" s="10"/>
      <c r="BB44" s="11"/>
      <c r="BC44" s="7"/>
      <c r="BD44" s="9"/>
      <c r="BE44" s="30"/>
      <c r="BF44" s="10"/>
      <c r="BG44" s="11"/>
      <c r="BH44" s="7"/>
      <c r="BI44" s="9"/>
      <c r="BJ44" s="30"/>
      <c r="BK44" s="10"/>
      <c r="BL44" s="11"/>
      <c r="BM44" s="7"/>
      <c r="BN44" s="9"/>
      <c r="BO44" s="30"/>
      <c r="BP44" s="10"/>
      <c r="BQ44" s="11"/>
      <c r="BR44" s="7"/>
      <c r="BS44" s="9"/>
      <c r="BT44" s="30"/>
      <c r="BU44" s="10"/>
      <c r="BV44" s="11"/>
      <c r="BW44" s="7"/>
      <c r="BX44" s="9"/>
      <c r="BY44" s="30"/>
      <c r="BZ44" s="10"/>
      <c r="CA44" s="11"/>
      <c r="CB44" s="7"/>
      <c r="CC44" s="9"/>
      <c r="CD44" s="30"/>
      <c r="CE44" s="10"/>
      <c r="CF44" s="11"/>
      <c r="CG44" s="7"/>
      <c r="CH44" s="9"/>
      <c r="CI44" s="30"/>
      <c r="CJ44" s="10"/>
      <c r="CK44" s="11"/>
      <c r="CL44" s="7"/>
      <c r="CM44" s="9"/>
      <c r="CN44" s="30"/>
      <c r="CO44" s="10"/>
      <c r="CP44" s="11"/>
      <c r="CQ44" s="7"/>
      <c r="CR44" s="23"/>
    </row>
    <row r="45" spans="1:96" s="8" customFormat="1" ht="15" customHeight="1">
      <c r="A45" s="12"/>
      <c r="B45" s="31"/>
      <c r="C45" s="13"/>
      <c r="D45" s="14"/>
      <c r="E45" s="7"/>
      <c r="F45" s="12"/>
      <c r="G45" s="31"/>
      <c r="H45" s="13"/>
      <c r="I45" s="14"/>
      <c r="J45" s="7"/>
      <c r="K45" s="12"/>
      <c r="L45" s="31"/>
      <c r="M45" s="13"/>
      <c r="N45" s="14"/>
      <c r="O45" s="7"/>
      <c r="P45" s="12"/>
      <c r="Q45" s="31"/>
      <c r="R45" s="13"/>
      <c r="S45" s="14"/>
      <c r="T45" s="7"/>
      <c r="U45" s="12"/>
      <c r="V45" s="31"/>
      <c r="W45" s="13"/>
      <c r="X45" s="14"/>
      <c r="Y45" s="7"/>
      <c r="Z45" s="12"/>
      <c r="AA45" s="31"/>
      <c r="AB45" s="13"/>
      <c r="AC45" s="14"/>
      <c r="AD45" s="7"/>
      <c r="AE45" s="12"/>
      <c r="AF45" s="31"/>
      <c r="AG45" s="13"/>
      <c r="AH45" s="14"/>
      <c r="AI45" s="7"/>
      <c r="AJ45" s="12"/>
      <c r="AK45" s="31"/>
      <c r="AL45" s="13"/>
      <c r="AM45" s="14"/>
      <c r="AN45" s="7"/>
      <c r="AO45" s="12"/>
      <c r="AP45" s="31"/>
      <c r="AQ45" s="13"/>
      <c r="AR45" s="14"/>
      <c r="AS45" s="7"/>
      <c r="AT45" s="12"/>
      <c r="AU45" s="31"/>
      <c r="AV45" s="13"/>
      <c r="AW45" s="14"/>
      <c r="AX45" s="7"/>
      <c r="AY45" s="12"/>
      <c r="AZ45" s="31"/>
      <c r="BA45" s="13"/>
      <c r="BB45" s="14"/>
      <c r="BC45" s="7"/>
      <c r="BD45" s="12"/>
      <c r="BE45" s="31"/>
      <c r="BF45" s="13"/>
      <c r="BG45" s="14"/>
      <c r="BH45" s="7"/>
      <c r="BI45" s="12"/>
      <c r="BJ45" s="31"/>
      <c r="BK45" s="13"/>
      <c r="BL45" s="14"/>
      <c r="BM45" s="7"/>
      <c r="BN45" s="12"/>
      <c r="BO45" s="31"/>
      <c r="BP45" s="13"/>
      <c r="BQ45" s="14"/>
      <c r="BR45" s="7"/>
      <c r="BS45" s="12"/>
      <c r="BT45" s="31"/>
      <c r="BU45" s="13"/>
      <c r="BV45" s="14"/>
      <c r="BW45" s="7"/>
      <c r="BX45" s="12"/>
      <c r="BY45" s="31"/>
      <c r="BZ45" s="13"/>
      <c r="CA45" s="14"/>
      <c r="CB45" s="7"/>
      <c r="CC45" s="12"/>
      <c r="CD45" s="31"/>
      <c r="CE45" s="13"/>
      <c r="CF45" s="14"/>
      <c r="CG45" s="7"/>
      <c r="CH45" s="12"/>
      <c r="CI45" s="31"/>
      <c r="CJ45" s="13"/>
      <c r="CK45" s="14"/>
      <c r="CL45" s="7"/>
      <c r="CM45" s="12"/>
      <c r="CN45" s="31"/>
      <c r="CO45" s="13"/>
      <c r="CP45" s="14"/>
      <c r="CQ45" s="7"/>
      <c r="CR45" s="23"/>
    </row>
    <row r="46" spans="1:96" s="8" customFormat="1" ht="15" customHeight="1" thickBot="1">
      <c r="A46" s="16"/>
      <c r="B46" s="28"/>
      <c r="C46" s="17"/>
      <c r="D46" s="18"/>
      <c r="E46" s="7"/>
      <c r="F46" s="16"/>
      <c r="G46" s="28"/>
      <c r="H46" s="17"/>
      <c r="I46" s="18"/>
      <c r="J46" s="15"/>
      <c r="K46" s="16"/>
      <c r="L46" s="28"/>
      <c r="M46" s="17"/>
      <c r="N46" s="18"/>
      <c r="O46" s="15"/>
      <c r="P46" s="16"/>
      <c r="Q46" s="28"/>
      <c r="R46" s="17"/>
      <c r="S46" s="18"/>
      <c r="T46" s="15"/>
      <c r="U46" s="16"/>
      <c r="V46" s="28"/>
      <c r="W46" s="17"/>
      <c r="X46" s="18"/>
      <c r="Y46" s="15"/>
      <c r="Z46" s="16"/>
      <c r="AA46" s="28"/>
      <c r="AB46" s="17"/>
      <c r="AC46" s="18"/>
      <c r="AD46" s="15"/>
      <c r="AE46" s="16"/>
      <c r="AF46" s="28"/>
      <c r="AG46" s="17"/>
      <c r="AH46" s="18"/>
      <c r="AI46" s="7"/>
      <c r="AJ46" s="16"/>
      <c r="AK46" s="28"/>
      <c r="AL46" s="17"/>
      <c r="AM46" s="18"/>
      <c r="AN46" s="7"/>
      <c r="AO46" s="16"/>
      <c r="AP46" s="28"/>
      <c r="AQ46" s="17"/>
      <c r="AR46" s="18"/>
      <c r="AS46" s="7"/>
      <c r="AT46" s="16"/>
      <c r="AU46" s="28"/>
      <c r="AV46" s="17"/>
      <c r="AW46" s="18"/>
      <c r="AX46" s="7"/>
      <c r="AY46" s="16"/>
      <c r="AZ46" s="28"/>
      <c r="BA46" s="17"/>
      <c r="BB46" s="18"/>
      <c r="BC46" s="7"/>
      <c r="BD46" s="16"/>
      <c r="BE46" s="28"/>
      <c r="BF46" s="17"/>
      <c r="BG46" s="18"/>
      <c r="BH46" s="7"/>
      <c r="BI46" s="16"/>
      <c r="BJ46" s="28"/>
      <c r="BK46" s="17"/>
      <c r="BL46" s="18"/>
      <c r="BM46" s="15"/>
      <c r="BN46" s="16"/>
      <c r="BO46" s="28"/>
      <c r="BP46" s="17"/>
      <c r="BQ46" s="18"/>
      <c r="BR46" s="15"/>
      <c r="BS46" s="16"/>
      <c r="BT46" s="28"/>
      <c r="BU46" s="17"/>
      <c r="BV46" s="18"/>
      <c r="BW46" s="7"/>
      <c r="BX46" s="16"/>
      <c r="BY46" s="28"/>
      <c r="BZ46" s="17"/>
      <c r="CA46" s="18"/>
      <c r="CB46" s="7"/>
      <c r="CC46" s="16"/>
      <c r="CD46" s="28"/>
      <c r="CE46" s="17"/>
      <c r="CF46" s="18"/>
      <c r="CG46" s="7"/>
      <c r="CH46" s="16"/>
      <c r="CI46" s="28"/>
      <c r="CJ46" s="17"/>
      <c r="CK46" s="18"/>
      <c r="CL46" s="7"/>
      <c r="CM46" s="16"/>
      <c r="CN46" s="28"/>
      <c r="CO46" s="17"/>
      <c r="CP46" s="18"/>
      <c r="CQ46" s="7"/>
      <c r="CR46" s="23"/>
    </row>
    <row r="47" spans="1:96" s="24" customFormat="1" ht="15" customHeight="1" thickTop="1">
      <c r="A47" s="58"/>
      <c r="B47" s="59"/>
      <c r="C47" s="22" t="s">
        <v>43</v>
      </c>
      <c r="D47" s="59">
        <f>COUNTIF(D$2:D$46,C47)</f>
        <v>29</v>
      </c>
      <c r="E47" s="23"/>
      <c r="F47" s="58"/>
      <c r="G47" s="59"/>
      <c r="H47" s="22" t="s">
        <v>43</v>
      </c>
      <c r="I47" s="59">
        <f>COUNTIF(I$2:I$46,H47)</f>
        <v>26</v>
      </c>
      <c r="J47" s="23"/>
      <c r="K47" s="58"/>
      <c r="L47" s="59"/>
      <c r="M47" s="22" t="s">
        <v>43</v>
      </c>
      <c r="N47" s="59">
        <f>COUNTIF(N$2:N$46,M47)</f>
        <v>30</v>
      </c>
      <c r="O47" s="23"/>
      <c r="P47" s="58"/>
      <c r="Q47" s="59"/>
      <c r="R47" s="22" t="s">
        <v>43</v>
      </c>
      <c r="S47" s="59">
        <f>COUNTIF(S$2:S$46,R47)</f>
        <v>28</v>
      </c>
      <c r="T47" s="56"/>
      <c r="U47" s="58"/>
      <c r="V47" s="59"/>
      <c r="W47" s="22" t="s">
        <v>43</v>
      </c>
      <c r="X47" s="59">
        <f>COUNTIF(X$2:X$46,W47)</f>
        <v>35</v>
      </c>
      <c r="Y47" s="23"/>
      <c r="Z47" s="58"/>
      <c r="AA47" s="59"/>
      <c r="AB47" s="22" t="s">
        <v>43</v>
      </c>
      <c r="AC47" s="59">
        <f>COUNTIF(AC$2:AC$46,AB47)</f>
        <v>37</v>
      </c>
      <c r="AD47" s="23"/>
      <c r="AE47" s="58"/>
      <c r="AF47" s="59"/>
      <c r="AG47" s="22" t="s">
        <v>43</v>
      </c>
      <c r="AH47" s="59">
        <f>COUNTIF(AH$2:AH$46,AG47)</f>
        <v>31</v>
      </c>
      <c r="AI47" s="23"/>
      <c r="AJ47" s="58"/>
      <c r="AK47" s="59"/>
      <c r="AL47" s="22" t="s">
        <v>43</v>
      </c>
      <c r="AM47" s="59">
        <f>COUNTIF(AM$2:AM$46,AL47)</f>
        <v>32</v>
      </c>
      <c r="AN47" s="23"/>
      <c r="AO47" s="58"/>
      <c r="AP47" s="59"/>
      <c r="AQ47" s="22" t="s">
        <v>43</v>
      </c>
      <c r="AR47" s="59">
        <f>COUNTIF(AR$2:AR$46,AQ47)</f>
        <v>34</v>
      </c>
      <c r="AS47" s="23"/>
      <c r="AT47" s="58"/>
      <c r="AU47" s="59"/>
      <c r="AV47" s="22" t="s">
        <v>43</v>
      </c>
      <c r="AW47" s="59">
        <f>COUNTIF(AW$2:AW$46,AV47)</f>
        <v>34</v>
      </c>
      <c r="AX47" s="23"/>
      <c r="AY47" s="58"/>
      <c r="AZ47" s="59"/>
      <c r="BA47" s="22" t="s">
        <v>43</v>
      </c>
      <c r="BB47" s="59">
        <f>COUNTIF(BB$2:BB$46,BA47)</f>
        <v>34</v>
      </c>
      <c r="BC47" s="23"/>
      <c r="BD47" s="58"/>
      <c r="BE47" s="59"/>
      <c r="BF47" s="22" t="s">
        <v>43</v>
      </c>
      <c r="BG47" s="59">
        <f>COUNTIF(BG$2:BG$46,BF47)</f>
        <v>27</v>
      </c>
      <c r="BH47" s="23"/>
      <c r="BI47" s="58"/>
      <c r="BJ47" s="59"/>
      <c r="BK47" s="22" t="s">
        <v>43</v>
      </c>
      <c r="BL47" s="59">
        <f>COUNTIF(BL$2:BL$46,BK47)</f>
        <v>25</v>
      </c>
      <c r="BM47" s="23"/>
      <c r="BN47" s="58"/>
      <c r="BO47" s="59"/>
      <c r="BP47" s="22" t="s">
        <v>43</v>
      </c>
      <c r="BQ47" s="59">
        <f>COUNTIF(BQ$2:BQ$46,BP47)</f>
        <v>31</v>
      </c>
      <c r="BR47" s="23"/>
      <c r="BS47" s="58"/>
      <c r="BT47" s="59"/>
      <c r="BU47" s="22" t="s">
        <v>43</v>
      </c>
      <c r="BV47" s="59">
        <f>COUNTIF(BV$2:BV$46,BU47)</f>
        <v>28</v>
      </c>
      <c r="BW47" s="23"/>
      <c r="BX47" s="58"/>
      <c r="BY47" s="59"/>
      <c r="BZ47" s="22" t="s">
        <v>43</v>
      </c>
      <c r="CA47" s="59">
        <f>COUNTIF(CA$2:CA$46,BZ47)</f>
        <v>12</v>
      </c>
      <c r="CB47" s="23"/>
      <c r="CC47" s="58"/>
      <c r="CD47" s="59"/>
      <c r="CE47" s="22" t="s">
        <v>43</v>
      </c>
      <c r="CF47" s="59">
        <f>COUNTIF(CF$2:CF$46,CE47)</f>
        <v>11</v>
      </c>
      <c r="CG47" s="23"/>
      <c r="CH47" s="58"/>
      <c r="CI47" s="59"/>
      <c r="CJ47" s="22" t="s">
        <v>43</v>
      </c>
      <c r="CK47" s="59">
        <f>COUNTIF(CK$2:CK$46,CJ47)</f>
        <v>10</v>
      </c>
      <c r="CL47" s="23"/>
      <c r="CM47" s="58"/>
      <c r="CN47" s="59"/>
      <c r="CO47" s="22" t="s">
        <v>43</v>
      </c>
      <c r="CP47" s="59">
        <f>COUNTIF(CP$2:CP$46,CO47)</f>
        <v>20</v>
      </c>
      <c r="CQ47" s="24">
        <f>SUM(D47:CP47)</f>
        <v>514</v>
      </c>
    </row>
    <row r="48" spans="1:96" s="24" customFormat="1" ht="15" customHeight="1">
      <c r="A48" s="58"/>
      <c r="B48" s="59"/>
      <c r="C48" s="60" t="s">
        <v>44</v>
      </c>
      <c r="D48" s="59">
        <f>COUNTIF(D$2:D$46,C48)</f>
        <v>4</v>
      </c>
      <c r="E48" s="61"/>
      <c r="F48" s="58"/>
      <c r="G48" s="59"/>
      <c r="H48" s="60" t="s">
        <v>44</v>
      </c>
      <c r="I48" s="59">
        <f>COUNTIF(I$2:I$46,H48)</f>
        <v>1</v>
      </c>
      <c r="J48" s="61"/>
      <c r="K48" s="58"/>
      <c r="L48" s="59"/>
      <c r="M48" s="60" t="s">
        <v>44</v>
      </c>
      <c r="N48" s="59">
        <f>COUNTIF(N$2:N$46,M48)</f>
        <v>4</v>
      </c>
      <c r="O48" s="61"/>
      <c r="P48" s="58"/>
      <c r="Q48" s="59"/>
      <c r="R48" s="60" t="s">
        <v>44</v>
      </c>
      <c r="S48" s="59">
        <f>COUNTIF(S$2:S$46,R48)</f>
        <v>4</v>
      </c>
      <c r="T48" s="56"/>
      <c r="U48" s="58"/>
      <c r="V48" s="59"/>
      <c r="W48" s="60" t="s">
        <v>44</v>
      </c>
      <c r="X48" s="59">
        <f>COUNTIF(X$2:X$46,W48)</f>
        <v>0</v>
      </c>
      <c r="Y48" s="61"/>
      <c r="Z48" s="58"/>
      <c r="AA48" s="59"/>
      <c r="AB48" s="60" t="s">
        <v>44</v>
      </c>
      <c r="AC48" s="59">
        <f>COUNTIF(AC$2:AC$46,AB48)</f>
        <v>0</v>
      </c>
      <c r="AD48" s="61"/>
      <c r="AE48" s="58"/>
      <c r="AF48" s="59"/>
      <c r="AG48" s="60" t="s">
        <v>44</v>
      </c>
      <c r="AH48" s="59">
        <f>COUNTIF(AH$2:AH$46,AG48)</f>
        <v>0</v>
      </c>
      <c r="AI48" s="61"/>
      <c r="AJ48" s="58"/>
      <c r="AK48" s="59"/>
      <c r="AL48" s="60" t="s">
        <v>44</v>
      </c>
      <c r="AM48" s="59">
        <f>COUNTIF(AM$2:AM$46,AL48)</f>
        <v>2</v>
      </c>
      <c r="AN48" s="61"/>
      <c r="AO48" s="58"/>
      <c r="AP48" s="59"/>
      <c r="AQ48" s="60" t="s">
        <v>44</v>
      </c>
      <c r="AR48" s="59">
        <f>COUNTIF(AR$2:AR$46,AQ48)</f>
        <v>3</v>
      </c>
      <c r="AS48" s="61"/>
      <c r="AT48" s="58"/>
      <c r="AU48" s="59"/>
      <c r="AV48" s="60" t="s">
        <v>44</v>
      </c>
      <c r="AW48" s="59">
        <f>COUNTIF(AW$2:AW$46,AV48)</f>
        <v>3</v>
      </c>
      <c r="AX48" s="61"/>
      <c r="AY48" s="58"/>
      <c r="AZ48" s="59"/>
      <c r="BA48" s="60" t="s">
        <v>44</v>
      </c>
      <c r="BB48" s="59">
        <f>COUNTIF(BB$2:BB$46,BA48)</f>
        <v>2</v>
      </c>
      <c r="BC48" s="61"/>
      <c r="BD48" s="58"/>
      <c r="BE48" s="59"/>
      <c r="BF48" s="60" t="s">
        <v>44</v>
      </c>
      <c r="BG48" s="59">
        <f>COUNTIF(BG$2:BG$46,BF48)</f>
        <v>3</v>
      </c>
      <c r="BH48" s="61"/>
      <c r="BI48" s="58"/>
      <c r="BJ48" s="59"/>
      <c r="BK48" s="60" t="s">
        <v>44</v>
      </c>
      <c r="BL48" s="59">
        <f>COUNTIF(BL$2:BL$46,BK48)</f>
        <v>4</v>
      </c>
      <c r="BM48" s="61"/>
      <c r="BN48" s="58"/>
      <c r="BO48" s="59"/>
      <c r="BP48" s="60" t="s">
        <v>44</v>
      </c>
      <c r="BQ48" s="59">
        <f>COUNTIF(BQ$2:BQ$46,BP48)</f>
        <v>0</v>
      </c>
      <c r="BR48" s="61"/>
      <c r="BS48" s="58"/>
      <c r="BT48" s="59"/>
      <c r="BU48" s="60" t="s">
        <v>44</v>
      </c>
      <c r="BV48" s="59">
        <f>COUNTIF(BV$2:BV$46,BU48)</f>
        <v>3</v>
      </c>
      <c r="BW48" s="61"/>
      <c r="BX48" s="58"/>
      <c r="BY48" s="59"/>
      <c r="BZ48" s="60" t="s">
        <v>44</v>
      </c>
      <c r="CA48" s="59">
        <f>COUNTIF(CA$2:CA$46,BZ48)</f>
        <v>20</v>
      </c>
      <c r="CB48" s="61"/>
      <c r="CC48" s="58"/>
      <c r="CD48" s="59"/>
      <c r="CE48" s="60" t="s">
        <v>44</v>
      </c>
      <c r="CF48" s="59">
        <f>COUNTIF(CF$2:CF$46,CE48)</f>
        <v>18</v>
      </c>
      <c r="CG48" s="61"/>
      <c r="CH48" s="58"/>
      <c r="CI48" s="59"/>
      <c r="CJ48" s="60" t="s">
        <v>44</v>
      </c>
      <c r="CK48" s="59">
        <f>COUNTIF(CK$2:CK$46,CJ48)</f>
        <v>3</v>
      </c>
      <c r="CL48" s="61"/>
      <c r="CM48" s="58"/>
      <c r="CN48" s="59"/>
      <c r="CO48" s="60" t="s">
        <v>44</v>
      </c>
      <c r="CP48" s="59">
        <f>COUNTIF(CP$2:CP$46,CO48)</f>
        <v>5</v>
      </c>
      <c r="CQ48" s="24">
        <f>SUM(D48:CP48)</f>
        <v>79</v>
      </c>
    </row>
    <row r="49" spans="1:96" s="24" customFormat="1" ht="15" customHeight="1">
      <c r="A49" s="58"/>
      <c r="B49" s="59"/>
      <c r="C49" s="60" t="s">
        <v>45</v>
      </c>
      <c r="D49" s="59">
        <f>SUM(D47:D48)</f>
        <v>33</v>
      </c>
      <c r="E49" s="61"/>
      <c r="F49" s="58"/>
      <c r="G49" s="59"/>
      <c r="H49" s="60" t="s">
        <v>45</v>
      </c>
      <c r="I49" s="59">
        <f>SUM(I47:I48)</f>
        <v>27</v>
      </c>
      <c r="J49" s="61"/>
      <c r="K49" s="58"/>
      <c r="L49" s="59"/>
      <c r="M49" s="60" t="s">
        <v>45</v>
      </c>
      <c r="N49" s="59">
        <f>SUM(N47:N48)</f>
        <v>34</v>
      </c>
      <c r="O49" s="61"/>
      <c r="P49" s="58"/>
      <c r="Q49" s="59"/>
      <c r="R49" s="60" t="s">
        <v>45</v>
      </c>
      <c r="S49" s="59">
        <f>SUM(S47:S48)</f>
        <v>32</v>
      </c>
      <c r="T49" s="56"/>
      <c r="U49" s="58"/>
      <c r="V49" s="59"/>
      <c r="W49" s="60" t="s">
        <v>45</v>
      </c>
      <c r="X49" s="59">
        <f>SUM(X47:X48)</f>
        <v>35</v>
      </c>
      <c r="Y49" s="61"/>
      <c r="Z49" s="58"/>
      <c r="AA49" s="59"/>
      <c r="AB49" s="60" t="s">
        <v>45</v>
      </c>
      <c r="AC49" s="59">
        <f>SUM(AC47:AC48)</f>
        <v>37</v>
      </c>
      <c r="AD49" s="61"/>
      <c r="AE49" s="58"/>
      <c r="AF49" s="59"/>
      <c r="AG49" s="60" t="s">
        <v>45</v>
      </c>
      <c r="AH49" s="59">
        <f>SUM(AH47:AH48)</f>
        <v>31</v>
      </c>
      <c r="AI49" s="61"/>
      <c r="AJ49" s="58"/>
      <c r="AK49" s="59"/>
      <c r="AL49" s="60" t="s">
        <v>45</v>
      </c>
      <c r="AM49" s="59">
        <f>SUM(AM47:AM48)</f>
        <v>34</v>
      </c>
      <c r="AN49" s="61"/>
      <c r="AO49" s="58"/>
      <c r="AP49" s="59"/>
      <c r="AQ49" s="60" t="s">
        <v>45</v>
      </c>
      <c r="AR49" s="59">
        <f>SUM(AR47:AR48)</f>
        <v>37</v>
      </c>
      <c r="AS49" s="61"/>
      <c r="AT49" s="58"/>
      <c r="AU49" s="59"/>
      <c r="AV49" s="60" t="s">
        <v>45</v>
      </c>
      <c r="AW49" s="59">
        <f>SUM(AW47:AW48)</f>
        <v>37</v>
      </c>
      <c r="AX49" s="61"/>
      <c r="AY49" s="58"/>
      <c r="AZ49" s="59"/>
      <c r="BA49" s="60" t="s">
        <v>45</v>
      </c>
      <c r="BB49" s="59">
        <f>SUM(BB47:BB48)</f>
        <v>36</v>
      </c>
      <c r="BC49" s="61"/>
      <c r="BD49" s="58"/>
      <c r="BE49" s="59"/>
      <c r="BF49" s="60" t="s">
        <v>45</v>
      </c>
      <c r="BG49" s="59">
        <f>SUM(BG47:BG48)</f>
        <v>30</v>
      </c>
      <c r="BH49" s="61"/>
      <c r="BI49" s="58"/>
      <c r="BJ49" s="59"/>
      <c r="BK49" s="60" t="s">
        <v>45</v>
      </c>
      <c r="BL49" s="59">
        <f>SUM(BL47:BL48)</f>
        <v>29</v>
      </c>
      <c r="BM49" s="61"/>
      <c r="BN49" s="58"/>
      <c r="BO49" s="59"/>
      <c r="BP49" s="60" t="s">
        <v>45</v>
      </c>
      <c r="BQ49" s="59">
        <f>SUM(BQ47:BQ48)</f>
        <v>31</v>
      </c>
      <c r="BR49" s="61"/>
      <c r="BS49" s="58"/>
      <c r="BT49" s="59"/>
      <c r="BU49" s="60" t="s">
        <v>45</v>
      </c>
      <c r="BV49" s="59">
        <f>SUM(BV47:BV48)</f>
        <v>31</v>
      </c>
      <c r="BW49" s="61"/>
      <c r="BX49" s="58"/>
      <c r="BY49" s="59"/>
      <c r="BZ49" s="60" t="s">
        <v>45</v>
      </c>
      <c r="CA49" s="59">
        <f>SUM(CA47:CA48)</f>
        <v>32</v>
      </c>
      <c r="CB49" s="61"/>
      <c r="CC49" s="58"/>
      <c r="CD49" s="59"/>
      <c r="CE49" s="60" t="s">
        <v>45</v>
      </c>
      <c r="CF49" s="59">
        <f>SUM(CF47:CF48)</f>
        <v>29</v>
      </c>
      <c r="CG49" s="61"/>
      <c r="CH49" s="58"/>
      <c r="CI49" s="59"/>
      <c r="CJ49" s="60" t="s">
        <v>45</v>
      </c>
      <c r="CK49" s="59">
        <f>SUM(CK47:CK48)</f>
        <v>13</v>
      </c>
      <c r="CL49" s="61"/>
      <c r="CM49" s="58"/>
      <c r="CN49" s="59"/>
      <c r="CO49" s="60" t="s">
        <v>45</v>
      </c>
      <c r="CP49" s="59">
        <f>SUM(CP47:CP48)</f>
        <v>25</v>
      </c>
      <c r="CQ49" s="24">
        <f>SUM(D49:CP49)</f>
        <v>593</v>
      </c>
    </row>
    <row r="50" spans="1:96" s="52" customFormat="1" ht="15.75" customHeight="1">
      <c r="B50" s="74"/>
      <c r="C50" s="169"/>
      <c r="D50" s="119"/>
      <c r="G50" s="74"/>
      <c r="H50" s="22"/>
      <c r="I50" s="119"/>
      <c r="M50" s="22"/>
      <c r="N50" s="119"/>
      <c r="R50" s="22"/>
      <c r="S50" s="119"/>
      <c r="W50" s="22"/>
      <c r="X50" s="119"/>
      <c r="AB50" s="22"/>
      <c r="AC50" s="119"/>
      <c r="AG50" s="22"/>
      <c r="AH50" s="119"/>
      <c r="AL50" s="22"/>
      <c r="AM50" s="119"/>
      <c r="AQ50" s="22"/>
      <c r="AR50" s="119"/>
      <c r="AV50" s="22"/>
      <c r="AW50" s="119"/>
      <c r="BA50" s="22"/>
      <c r="BB50" s="119"/>
      <c r="BF50" s="22"/>
      <c r="BG50" s="119"/>
      <c r="BK50" s="22"/>
      <c r="BL50" s="119"/>
      <c r="BP50" s="22"/>
      <c r="BQ50" s="119"/>
      <c r="BU50" s="22"/>
      <c r="BV50" s="119"/>
      <c r="BZ50" s="22"/>
      <c r="CA50" s="119"/>
      <c r="CE50" s="22"/>
      <c r="CF50" s="119"/>
      <c r="CJ50" s="22"/>
      <c r="CK50" s="119"/>
      <c r="CO50" s="22"/>
      <c r="CP50" s="119"/>
    </row>
    <row r="51" spans="1:96" s="52" customFormat="1" ht="15.75" customHeight="1">
      <c r="B51" s="75"/>
      <c r="C51" s="75"/>
      <c r="D51" s="76"/>
      <c r="E51" s="75"/>
      <c r="F51" s="75"/>
      <c r="G51" s="75"/>
      <c r="H51" s="75"/>
      <c r="I51" s="75"/>
      <c r="J51" s="75"/>
      <c r="K51" s="75"/>
      <c r="L51" s="75"/>
      <c r="M51" s="22"/>
      <c r="N51" s="22"/>
      <c r="Q51" s="47"/>
      <c r="R51" s="22"/>
      <c r="S51" s="22"/>
      <c r="T51" s="50"/>
      <c r="V51" s="75"/>
      <c r="W51" s="75"/>
      <c r="X51" s="76"/>
      <c r="Y51" s="75"/>
      <c r="Z51" s="75"/>
      <c r="AA51" s="75"/>
      <c r="AB51" s="75"/>
      <c r="AC51" s="75"/>
      <c r="AD51" s="75"/>
      <c r="AE51" s="75"/>
      <c r="AF51" s="75"/>
      <c r="AG51" s="22"/>
      <c r="AH51" s="22"/>
      <c r="AL51" s="22"/>
      <c r="AM51" s="22"/>
      <c r="AP51" s="75"/>
      <c r="AQ51" s="75"/>
      <c r="AR51" s="76"/>
      <c r="AS51" s="75"/>
      <c r="AT51" s="75"/>
      <c r="AU51" s="75"/>
      <c r="AV51" s="75"/>
      <c r="AW51" s="75"/>
      <c r="AX51" s="75"/>
      <c r="AY51" s="75"/>
      <c r="AZ51" s="75"/>
      <c r="BA51" s="22"/>
      <c r="BB51" s="22"/>
      <c r="BE51" s="75"/>
      <c r="BF51" s="75"/>
      <c r="BG51" s="76"/>
      <c r="BH51" s="75"/>
      <c r="BI51" s="75"/>
      <c r="BJ51" s="75"/>
      <c r="BK51" s="75"/>
      <c r="BL51" s="75"/>
      <c r="BM51" s="75"/>
      <c r="BN51" s="75"/>
      <c r="BO51" s="75"/>
      <c r="BP51" s="22"/>
      <c r="BQ51" s="22"/>
      <c r="BU51" s="22"/>
      <c r="BV51" s="22"/>
      <c r="BZ51" s="22"/>
      <c r="CA51" s="22"/>
      <c r="CE51" s="22"/>
      <c r="CF51" s="22"/>
      <c r="CJ51" s="22"/>
      <c r="CK51" s="22"/>
      <c r="CO51" s="22"/>
      <c r="CP51" s="22"/>
    </row>
    <row r="52" spans="1:96" s="52" customFormat="1" ht="15.75" customHeight="1">
      <c r="B52" s="75"/>
      <c r="C52" s="124"/>
      <c r="D52" s="76"/>
      <c r="E52" s="77"/>
      <c r="F52" s="75"/>
      <c r="G52" s="125"/>
      <c r="H52" s="112"/>
      <c r="I52" s="112"/>
      <c r="J52" s="75"/>
      <c r="K52" s="75"/>
      <c r="L52" s="75"/>
      <c r="M52" s="22"/>
      <c r="N52" s="22"/>
      <c r="Q52" s="46"/>
      <c r="R52" s="22"/>
      <c r="S52" s="22"/>
      <c r="T52" s="57"/>
      <c r="V52" s="75"/>
      <c r="W52" s="124"/>
      <c r="X52" s="76"/>
      <c r="Y52" s="77"/>
      <c r="Z52" s="75"/>
      <c r="AA52" s="47"/>
      <c r="AB52" s="22"/>
      <c r="AC52" s="22"/>
      <c r="AD52" s="50"/>
      <c r="AE52" s="75"/>
      <c r="AF52" s="75"/>
      <c r="AG52" s="22"/>
      <c r="AH52" s="22"/>
      <c r="AL52" s="22"/>
      <c r="AM52" s="22"/>
      <c r="AP52" s="75"/>
      <c r="AQ52" s="124"/>
      <c r="AR52" s="76"/>
      <c r="AS52" s="77"/>
      <c r="AT52" s="75"/>
      <c r="AU52" s="75"/>
      <c r="AV52" s="75"/>
      <c r="AW52" s="75"/>
      <c r="AX52" s="75"/>
      <c r="AY52" s="75"/>
      <c r="AZ52" s="75"/>
      <c r="BA52" s="22"/>
      <c r="BB52" s="22"/>
      <c r="BE52" s="75"/>
      <c r="BF52" s="124"/>
      <c r="BG52" s="76"/>
      <c r="BH52" s="77"/>
      <c r="BI52" s="75"/>
      <c r="BJ52" s="75"/>
      <c r="BK52" s="75"/>
      <c r="BL52" s="75"/>
      <c r="BM52" s="75"/>
      <c r="BN52" s="75"/>
      <c r="BO52" s="75"/>
      <c r="BP52" s="22"/>
      <c r="BQ52" s="22"/>
      <c r="BU52" s="22"/>
      <c r="BV52" s="22"/>
      <c r="BZ52" s="22"/>
      <c r="CA52" s="22"/>
      <c r="CE52" s="22"/>
      <c r="CF52" s="22"/>
      <c r="CJ52" s="22"/>
      <c r="CK52" s="22"/>
      <c r="CO52" s="22"/>
      <c r="CP52" s="22"/>
    </row>
    <row r="53" spans="1:96" s="52" customFormat="1" ht="15.75" customHeight="1">
      <c r="B53" s="74"/>
      <c r="C53" s="22"/>
      <c r="D53" s="22"/>
      <c r="G53" s="74"/>
      <c r="H53" s="22"/>
      <c r="I53" s="22"/>
      <c r="M53" s="22"/>
      <c r="N53" s="22"/>
      <c r="Q53" s="46"/>
      <c r="R53" s="22"/>
      <c r="S53" s="22"/>
      <c r="T53" s="50"/>
      <c r="W53" s="22"/>
      <c r="X53" s="22"/>
      <c r="AA53" s="47"/>
      <c r="AB53" s="22"/>
      <c r="AC53" s="22"/>
      <c r="AD53" s="50"/>
      <c r="AG53" s="22"/>
      <c r="AH53" s="22"/>
      <c r="AL53" s="22"/>
      <c r="AM53" s="22"/>
      <c r="AP53" s="37"/>
      <c r="AQ53" s="37"/>
      <c r="AR53" s="40"/>
      <c r="AS53" s="39"/>
      <c r="AT53" s="37"/>
      <c r="AU53" s="37"/>
      <c r="AV53" s="37"/>
      <c r="AW53" s="37"/>
      <c r="AX53" s="37"/>
      <c r="AY53" s="41"/>
      <c r="AZ53" s="41"/>
      <c r="BA53" s="37"/>
      <c r="BB53" s="37"/>
      <c r="BF53" s="22"/>
      <c r="BG53" s="22"/>
      <c r="BK53" s="22"/>
      <c r="BL53" s="22"/>
      <c r="BP53" s="22"/>
      <c r="BQ53" s="22"/>
      <c r="BU53" s="22"/>
      <c r="BV53" s="22"/>
      <c r="BX53" s="23"/>
      <c r="BY53" s="46"/>
      <c r="BZ53" s="22"/>
      <c r="CA53" s="22"/>
      <c r="CB53" s="57"/>
      <c r="CE53" s="22"/>
      <c r="CF53" s="22"/>
      <c r="CJ53" s="22"/>
      <c r="CK53" s="22"/>
      <c r="CO53" s="22"/>
      <c r="CP53" s="22"/>
    </row>
    <row r="54" spans="1:96" s="8" customFormat="1" ht="15.75" customHeight="1">
      <c r="B54" s="43"/>
      <c r="C54" s="44"/>
      <c r="D54" s="44"/>
      <c r="G54" s="43"/>
      <c r="H54" s="44"/>
      <c r="I54" s="44"/>
      <c r="M54" s="44"/>
      <c r="N54" s="44"/>
      <c r="O54" s="52"/>
      <c r="P54" s="52"/>
      <c r="Q54" s="46"/>
      <c r="R54" s="22"/>
      <c r="S54" s="22"/>
      <c r="T54" s="50"/>
      <c r="U54" s="52"/>
      <c r="V54" s="52"/>
      <c r="W54" s="44"/>
      <c r="X54" s="44"/>
      <c r="Z54" s="52"/>
      <c r="AA54" s="47"/>
      <c r="AB54" s="22"/>
      <c r="AC54" s="22"/>
      <c r="AD54" s="15"/>
      <c r="AE54" s="52"/>
      <c r="AF54" s="52"/>
      <c r="AG54" s="22"/>
      <c r="AH54" s="22"/>
      <c r="AL54" s="44"/>
      <c r="AM54" s="44"/>
      <c r="AQ54" s="44"/>
      <c r="AR54" s="44"/>
      <c r="AV54" s="44"/>
      <c r="AW54" s="44"/>
      <c r="BA54" s="44"/>
      <c r="BB54" s="44"/>
      <c r="BF54" s="44"/>
      <c r="BG54" s="44"/>
      <c r="BK54" s="44"/>
      <c r="BL54" s="44"/>
      <c r="BP54" s="44"/>
      <c r="BQ54" s="44"/>
      <c r="BU54" s="44"/>
      <c r="BV54" s="44"/>
      <c r="BW54" s="52"/>
      <c r="BX54" s="23"/>
      <c r="BY54" s="46"/>
      <c r="BZ54" s="22"/>
      <c r="CA54" s="22"/>
      <c r="CB54" s="50"/>
      <c r="CE54" s="44"/>
      <c r="CF54" s="44"/>
      <c r="CJ54" s="44"/>
      <c r="CK54" s="44"/>
      <c r="CO54" s="44"/>
      <c r="CP54" s="44"/>
      <c r="CR54" s="52"/>
    </row>
    <row r="55" spans="1:96" s="8" customFormat="1" ht="15.75" customHeight="1">
      <c r="B55" s="43"/>
      <c r="C55" s="44"/>
      <c r="D55" s="44"/>
      <c r="G55" s="43"/>
      <c r="H55" s="44"/>
      <c r="I55" s="44"/>
      <c r="M55" s="44"/>
      <c r="N55" s="44"/>
      <c r="O55" s="52"/>
      <c r="P55" s="52"/>
      <c r="Q55" s="47"/>
      <c r="R55" s="22"/>
      <c r="S55" s="22"/>
      <c r="T55" s="50"/>
      <c r="U55" s="52"/>
      <c r="V55" s="52"/>
      <c r="W55" s="44"/>
      <c r="X55" s="44"/>
      <c r="Z55" s="52"/>
      <c r="AA55" s="46"/>
      <c r="AB55" s="22"/>
      <c r="AC55" s="22"/>
      <c r="AD55" s="50"/>
      <c r="AE55" s="52"/>
      <c r="AF55" s="52"/>
      <c r="AG55" s="22"/>
      <c r="AH55" s="22"/>
      <c r="AL55" s="44"/>
      <c r="AM55" s="44"/>
      <c r="AQ55" s="44"/>
      <c r="AR55" s="44"/>
      <c r="AV55" s="44"/>
      <c r="AW55" s="44"/>
      <c r="BA55" s="44"/>
      <c r="BB55" s="44"/>
      <c r="BF55" s="44"/>
      <c r="BG55" s="44"/>
      <c r="BK55" s="44"/>
      <c r="BL55" s="44"/>
      <c r="BP55" s="44"/>
      <c r="BQ55" s="44"/>
      <c r="BU55" s="44"/>
      <c r="BV55" s="44"/>
      <c r="BW55" s="52"/>
      <c r="BX55" s="23"/>
      <c r="BY55" s="46"/>
      <c r="BZ55" s="22"/>
      <c r="CA55" s="22"/>
      <c r="CB55" s="57"/>
      <c r="CE55" s="44"/>
      <c r="CF55" s="44"/>
      <c r="CJ55" s="44"/>
      <c r="CK55" s="44"/>
      <c r="CO55" s="44"/>
      <c r="CP55" s="44"/>
      <c r="CR55" s="52"/>
    </row>
    <row r="56" spans="1:96" ht="15.75" customHeight="1">
      <c r="O56" s="42"/>
      <c r="P56" s="118"/>
      <c r="Q56" s="47"/>
      <c r="R56" s="22"/>
      <c r="S56" s="22"/>
      <c r="T56" s="50"/>
      <c r="U56" s="118"/>
      <c r="V56" s="118"/>
      <c r="Z56" s="118"/>
      <c r="AA56" s="46"/>
      <c r="AB56" s="22"/>
      <c r="AC56" s="22"/>
      <c r="AD56" s="15"/>
      <c r="AE56" s="118"/>
      <c r="AF56" s="118"/>
      <c r="AG56" s="119"/>
      <c r="AH56" s="119"/>
      <c r="BW56" s="42"/>
      <c r="BX56" s="23"/>
      <c r="BY56" s="47"/>
      <c r="BZ56" s="22"/>
      <c r="CA56" s="22"/>
      <c r="CB56" s="57"/>
    </row>
    <row r="57" spans="1:96" ht="15.75" customHeight="1">
      <c r="O57" s="42"/>
      <c r="P57" s="118"/>
      <c r="Q57" s="46"/>
      <c r="R57" s="22"/>
      <c r="S57" s="22"/>
      <c r="T57" s="50"/>
      <c r="U57" s="118"/>
      <c r="V57" s="118"/>
      <c r="Z57" s="118"/>
      <c r="AA57" s="46"/>
      <c r="AB57" s="22"/>
      <c r="AC57" s="22"/>
      <c r="AD57" s="50"/>
      <c r="AE57" s="118"/>
      <c r="AF57" s="118"/>
      <c r="AG57" s="119"/>
      <c r="AH57" s="119"/>
      <c r="BW57" s="42"/>
      <c r="BX57" s="23"/>
      <c r="BY57" s="46"/>
      <c r="BZ57" s="22"/>
      <c r="CA57" s="22"/>
      <c r="CB57" s="57"/>
    </row>
    <row r="58" spans="1:96" ht="15.75" customHeight="1">
      <c r="O58" s="42"/>
      <c r="P58" s="118"/>
      <c r="Q58" s="46"/>
      <c r="R58" s="22"/>
      <c r="S58" s="22"/>
      <c r="T58" s="50"/>
      <c r="U58" s="118"/>
      <c r="V58" s="118"/>
      <c r="Z58" s="118"/>
      <c r="AA58" s="47"/>
      <c r="AB58" s="22"/>
      <c r="AC58" s="22"/>
      <c r="AD58" s="50"/>
      <c r="AE58" s="118"/>
      <c r="AF58" s="118"/>
      <c r="AG58" s="119"/>
      <c r="AH58" s="119"/>
      <c r="BW58" s="42"/>
      <c r="BX58" s="23"/>
      <c r="BY58" s="46"/>
      <c r="BZ58" s="22"/>
      <c r="CA58" s="22"/>
      <c r="CB58" s="57"/>
    </row>
    <row r="59" spans="1:96" ht="15.75" customHeight="1">
      <c r="O59" s="42"/>
      <c r="P59" s="118"/>
      <c r="Q59" s="46"/>
      <c r="R59" s="22"/>
      <c r="S59" s="22"/>
      <c r="T59" s="50"/>
      <c r="U59" s="118"/>
      <c r="V59" s="118"/>
      <c r="Z59" s="118"/>
      <c r="AA59" s="47"/>
      <c r="AB59" s="22"/>
      <c r="AC59" s="22"/>
      <c r="AD59" s="50"/>
      <c r="AE59" s="118"/>
      <c r="AF59" s="118"/>
      <c r="AG59" s="119"/>
      <c r="AH59" s="119"/>
      <c r="BW59" s="42"/>
      <c r="BX59" s="23"/>
      <c r="BY59" s="46"/>
      <c r="BZ59" s="22"/>
      <c r="CA59" s="22"/>
      <c r="CB59" s="50"/>
    </row>
    <row r="60" spans="1:96" ht="15.75" customHeight="1">
      <c r="O60" s="42"/>
      <c r="P60" s="118"/>
      <c r="Q60" s="47"/>
      <c r="R60" s="22"/>
      <c r="S60" s="22"/>
      <c r="T60" s="50"/>
      <c r="U60" s="118"/>
      <c r="V60" s="118"/>
      <c r="Z60" s="118"/>
      <c r="AA60" s="46"/>
      <c r="AB60" s="22"/>
      <c r="AC60" s="22"/>
      <c r="AD60" s="50"/>
      <c r="AE60" s="118"/>
      <c r="AF60" s="118"/>
      <c r="AG60" s="119"/>
      <c r="AH60" s="119"/>
      <c r="BW60" s="42"/>
      <c r="BX60" s="23"/>
      <c r="BY60" s="47"/>
      <c r="BZ60" s="22"/>
      <c r="CA60" s="22"/>
      <c r="CB60" s="50"/>
    </row>
    <row r="61" spans="1:96" ht="15.75" customHeight="1">
      <c r="O61" s="42"/>
      <c r="P61" s="118"/>
      <c r="Q61" s="47"/>
      <c r="R61" s="22"/>
      <c r="S61" s="22"/>
      <c r="T61" s="50"/>
      <c r="U61" s="118"/>
      <c r="V61" s="118"/>
      <c r="Z61" s="118"/>
      <c r="AA61" s="46"/>
      <c r="AB61" s="22"/>
      <c r="AC61" s="22"/>
      <c r="AD61" s="50"/>
      <c r="AE61" s="118"/>
      <c r="AF61" s="118"/>
      <c r="AG61" s="119"/>
      <c r="AH61" s="119"/>
      <c r="BW61" s="42"/>
      <c r="BX61" s="23"/>
      <c r="BY61" s="47"/>
      <c r="BZ61" s="22"/>
      <c r="CA61" s="22"/>
      <c r="CB61" s="57"/>
    </row>
    <row r="62" spans="1:96" ht="15.75" customHeight="1">
      <c r="O62" s="42"/>
      <c r="P62" s="118"/>
      <c r="Q62" s="46"/>
      <c r="R62" s="22"/>
      <c r="S62" s="22"/>
      <c r="T62" s="50"/>
      <c r="U62" s="118"/>
      <c r="V62" s="118"/>
      <c r="Z62" s="118"/>
      <c r="AA62" s="46"/>
      <c r="AB62" s="22"/>
      <c r="AC62" s="22"/>
      <c r="AD62" s="50"/>
      <c r="AE62" s="118"/>
      <c r="AF62" s="118"/>
      <c r="AG62" s="119"/>
      <c r="AH62" s="119"/>
      <c r="BW62" s="42"/>
      <c r="BX62" s="23"/>
      <c r="BY62" s="46"/>
      <c r="BZ62" s="22"/>
      <c r="CA62" s="22"/>
      <c r="CB62" s="57"/>
    </row>
    <row r="63" spans="1:96" ht="15.75" customHeight="1">
      <c r="O63" s="42"/>
      <c r="P63" s="118"/>
      <c r="Q63" s="46"/>
      <c r="R63" s="22"/>
      <c r="S63" s="22"/>
      <c r="T63" s="50"/>
      <c r="U63" s="118"/>
      <c r="V63" s="118"/>
      <c r="Z63" s="118"/>
      <c r="AA63" s="46"/>
      <c r="AB63" s="22"/>
      <c r="AC63" s="22"/>
      <c r="AD63" s="50"/>
      <c r="AE63" s="118"/>
      <c r="AF63" s="118"/>
      <c r="AG63" s="119"/>
      <c r="AH63" s="119"/>
      <c r="BW63" s="42"/>
      <c r="BX63" s="23"/>
      <c r="BY63" s="46"/>
      <c r="BZ63" s="22"/>
      <c r="CA63" s="22"/>
      <c r="CB63" s="50"/>
    </row>
    <row r="64" spans="1:96" ht="15.75" customHeight="1">
      <c r="O64" s="42"/>
      <c r="P64" s="118"/>
      <c r="Q64" s="46"/>
      <c r="R64" s="22"/>
      <c r="S64" s="22"/>
      <c r="T64" s="50"/>
      <c r="U64" s="118"/>
      <c r="V64" s="118"/>
      <c r="Z64" s="118"/>
      <c r="AA64" s="47"/>
      <c r="AB64" s="22"/>
      <c r="AC64" s="22"/>
      <c r="AD64" s="15"/>
      <c r="AE64" s="118"/>
      <c r="AF64" s="118"/>
      <c r="AG64" s="119"/>
      <c r="AH64" s="119"/>
      <c r="BW64" s="42"/>
      <c r="BX64" s="23"/>
      <c r="BY64" s="47"/>
      <c r="BZ64" s="22"/>
      <c r="CA64" s="22"/>
      <c r="CB64" s="50"/>
    </row>
    <row r="65" spans="15:80" ht="15.75" customHeight="1">
      <c r="O65" s="42"/>
      <c r="P65" s="118"/>
      <c r="Q65" s="46"/>
      <c r="R65" s="22"/>
      <c r="S65" s="22"/>
      <c r="T65" s="50"/>
      <c r="U65" s="118"/>
      <c r="V65" s="118"/>
      <c r="Z65" s="118"/>
      <c r="AA65" s="46"/>
      <c r="AB65" s="22"/>
      <c r="AC65" s="22"/>
      <c r="AD65" s="50"/>
      <c r="AE65" s="118"/>
      <c r="AF65" s="118"/>
      <c r="AG65" s="119"/>
      <c r="AH65" s="119"/>
      <c r="BW65" s="42"/>
      <c r="BX65" s="23"/>
      <c r="BY65" s="47"/>
      <c r="BZ65" s="22"/>
      <c r="CA65" s="22"/>
      <c r="CB65" s="50"/>
    </row>
    <row r="66" spans="15:80" ht="15.75" customHeight="1">
      <c r="O66" s="42"/>
      <c r="P66" s="118"/>
      <c r="Q66" s="47"/>
      <c r="R66" s="22"/>
      <c r="S66" s="22"/>
      <c r="T66" s="50"/>
      <c r="U66" s="118"/>
      <c r="V66" s="118"/>
      <c r="Z66" s="118"/>
      <c r="AA66" s="46"/>
      <c r="AB66" s="22"/>
      <c r="AC66" s="22"/>
      <c r="AD66" s="50"/>
      <c r="AE66" s="118"/>
      <c r="AF66" s="118"/>
      <c r="AG66" s="119"/>
      <c r="AH66" s="119"/>
      <c r="BW66" s="42"/>
      <c r="BX66" s="23"/>
      <c r="BY66" s="46"/>
      <c r="BZ66" s="22"/>
      <c r="CA66" s="22"/>
      <c r="CB66" s="57"/>
    </row>
    <row r="67" spans="15:80" ht="15.75" customHeight="1">
      <c r="O67" s="42"/>
      <c r="P67" s="118"/>
      <c r="Q67" s="46"/>
      <c r="R67" s="22"/>
      <c r="S67" s="22"/>
      <c r="T67" s="50"/>
      <c r="U67" s="118"/>
      <c r="V67" s="118"/>
      <c r="Z67" s="118"/>
      <c r="AA67" s="46"/>
      <c r="AB67" s="22"/>
      <c r="AC67" s="22"/>
      <c r="AD67" s="50"/>
      <c r="AE67" s="118"/>
      <c r="AF67" s="118"/>
      <c r="AG67" s="119"/>
      <c r="AH67" s="119"/>
      <c r="BW67" s="42"/>
      <c r="BX67" s="23"/>
      <c r="BY67" s="46"/>
      <c r="BZ67" s="22"/>
      <c r="CA67" s="22"/>
      <c r="CB67" s="50"/>
    </row>
    <row r="68" spans="15:80" ht="15.75" customHeight="1">
      <c r="O68" s="42"/>
      <c r="P68" s="118"/>
      <c r="Q68" s="46"/>
      <c r="R68" s="22"/>
      <c r="S68" s="22"/>
      <c r="T68" s="50"/>
      <c r="U68" s="118"/>
      <c r="V68" s="118"/>
      <c r="Z68" s="118"/>
      <c r="AA68" s="47"/>
      <c r="AB68" s="22"/>
      <c r="AC68" s="22"/>
      <c r="AD68" s="50"/>
      <c r="AE68" s="118"/>
      <c r="AF68" s="118"/>
      <c r="AG68" s="119"/>
      <c r="AH68" s="119"/>
      <c r="BW68" s="42"/>
      <c r="BX68" s="23"/>
      <c r="BY68" s="46"/>
      <c r="BZ68" s="22"/>
      <c r="CA68" s="22"/>
      <c r="CB68" s="57"/>
    </row>
    <row r="69" spans="15:80" ht="15.75" customHeight="1">
      <c r="O69" s="42"/>
      <c r="P69" s="118"/>
      <c r="Q69" s="118"/>
      <c r="R69" s="119"/>
      <c r="S69" s="119"/>
      <c r="T69" s="42"/>
      <c r="U69" s="118"/>
      <c r="V69" s="118"/>
      <c r="Z69" s="118"/>
      <c r="AA69" s="118"/>
      <c r="AB69" s="119"/>
      <c r="AC69" s="119"/>
      <c r="AD69" s="42"/>
      <c r="AE69" s="118"/>
      <c r="AF69" s="118"/>
      <c r="AG69" s="119"/>
      <c r="AH69" s="119"/>
      <c r="BW69" s="42"/>
      <c r="BX69" s="23"/>
      <c r="BY69" s="47"/>
      <c r="BZ69" s="22"/>
      <c r="CA69" s="22"/>
      <c r="CB69" s="57"/>
    </row>
    <row r="70" spans="15:80" ht="15.75" customHeight="1">
      <c r="O70" s="42"/>
      <c r="P70" s="118"/>
      <c r="Q70" s="118"/>
      <c r="R70" s="119"/>
      <c r="S70" s="119"/>
      <c r="T70" s="42"/>
      <c r="U70" s="118"/>
      <c r="V70" s="118"/>
      <c r="Z70" s="118"/>
      <c r="AA70" s="118"/>
      <c r="AB70" s="119"/>
      <c r="AC70" s="119"/>
      <c r="AD70" s="42"/>
      <c r="AE70" s="118"/>
      <c r="AF70" s="118"/>
      <c r="AG70" s="119"/>
      <c r="AH70" s="119"/>
      <c r="BW70" s="42"/>
      <c r="BX70" s="23"/>
      <c r="BY70" s="47"/>
      <c r="BZ70" s="22"/>
      <c r="CA70" s="22"/>
      <c r="CB70" s="57"/>
    </row>
    <row r="71" spans="15:80" ht="15.75" customHeight="1">
      <c r="O71" s="42"/>
      <c r="P71" s="118"/>
      <c r="Q71" s="118"/>
      <c r="R71" s="119"/>
      <c r="S71" s="119"/>
      <c r="T71" s="42"/>
      <c r="U71" s="118"/>
      <c r="V71" s="118"/>
      <c r="Z71" s="118"/>
      <c r="AA71" s="118"/>
      <c r="AB71" s="119"/>
      <c r="AC71" s="119"/>
      <c r="AD71" s="42"/>
      <c r="AE71" s="118"/>
      <c r="AF71" s="118"/>
      <c r="AG71" s="119"/>
      <c r="AH71" s="119"/>
      <c r="BW71" s="42"/>
      <c r="BX71" s="23"/>
      <c r="BY71" s="46"/>
      <c r="BZ71" s="22"/>
      <c r="CA71" s="22"/>
      <c r="CB71" s="50"/>
    </row>
    <row r="72" spans="15:80" ht="15.75" customHeight="1">
      <c r="O72" s="42"/>
      <c r="P72" s="118"/>
      <c r="Q72" s="118"/>
      <c r="R72" s="119"/>
      <c r="S72" s="119"/>
      <c r="T72" s="42"/>
      <c r="U72" s="118"/>
      <c r="V72" s="118"/>
      <c r="Z72" s="118"/>
      <c r="AA72" s="118"/>
      <c r="AB72" s="119"/>
      <c r="AC72" s="119"/>
      <c r="AD72" s="42"/>
      <c r="AE72" s="118"/>
      <c r="AF72" s="118"/>
      <c r="AG72" s="119"/>
      <c r="AH72" s="119"/>
      <c r="BW72" s="42"/>
      <c r="BX72" s="23"/>
      <c r="BY72" s="46"/>
      <c r="BZ72" s="22"/>
      <c r="CA72" s="22"/>
      <c r="CB72" s="50"/>
    </row>
    <row r="73" spans="15:80" ht="15.75" customHeight="1">
      <c r="O73" s="42"/>
      <c r="P73" s="118"/>
      <c r="Q73" s="118"/>
      <c r="R73" s="119"/>
      <c r="S73" s="119"/>
      <c r="T73" s="42"/>
      <c r="U73" s="118"/>
      <c r="V73" s="118"/>
      <c r="Z73" s="118"/>
      <c r="AA73" s="118"/>
      <c r="AB73" s="119"/>
      <c r="AC73" s="119"/>
      <c r="AD73" s="42"/>
      <c r="AE73" s="118"/>
      <c r="AF73" s="118"/>
      <c r="AG73" s="119"/>
      <c r="AH73" s="119"/>
      <c r="BW73" s="42"/>
      <c r="BX73" s="23"/>
      <c r="BY73" s="46"/>
      <c r="BZ73" s="22"/>
      <c r="CA73" s="22"/>
      <c r="CB73" s="50"/>
    </row>
    <row r="74" spans="15:80" ht="15.75" customHeight="1">
      <c r="O74" s="42"/>
      <c r="P74" s="118"/>
      <c r="Q74" s="118"/>
      <c r="R74" s="119"/>
      <c r="S74" s="119"/>
      <c r="T74" s="42"/>
      <c r="U74" s="118"/>
      <c r="V74" s="118"/>
      <c r="Z74" s="118"/>
      <c r="AA74" s="118"/>
      <c r="AB74" s="119"/>
      <c r="AC74" s="119"/>
      <c r="AD74" s="42"/>
      <c r="AE74" s="118"/>
      <c r="AF74" s="118"/>
      <c r="AG74" s="119"/>
      <c r="AH74" s="119"/>
      <c r="BW74" s="42"/>
      <c r="BX74" s="23"/>
      <c r="BY74" s="47"/>
      <c r="BZ74" s="22"/>
      <c r="CA74" s="22"/>
      <c r="CB74" s="50"/>
    </row>
    <row r="75" spans="15:80" ht="15.75" customHeight="1">
      <c r="O75" s="42"/>
      <c r="P75" s="118"/>
      <c r="Q75" s="118"/>
      <c r="R75" s="119"/>
      <c r="S75" s="119"/>
      <c r="T75" s="42"/>
      <c r="U75" s="118"/>
      <c r="V75" s="118"/>
      <c r="Z75" s="118"/>
      <c r="AA75" s="118"/>
      <c r="AB75" s="119"/>
      <c r="AC75" s="119"/>
      <c r="AD75" s="42"/>
      <c r="AE75" s="118"/>
      <c r="AF75" s="118"/>
      <c r="AG75" s="119"/>
      <c r="AH75" s="119"/>
      <c r="BW75" s="42"/>
      <c r="BX75" s="23"/>
      <c r="BY75" s="47"/>
      <c r="BZ75" s="22"/>
      <c r="CA75" s="22"/>
      <c r="CB75" s="57"/>
    </row>
    <row r="76" spans="15:80" ht="15.75" customHeight="1">
      <c r="O76" s="42"/>
      <c r="P76" s="118"/>
      <c r="Q76" s="118"/>
      <c r="R76" s="119"/>
      <c r="S76" s="119"/>
      <c r="T76" s="42"/>
      <c r="U76" s="118"/>
      <c r="V76" s="118"/>
      <c r="BW76" s="42"/>
      <c r="BX76" s="23"/>
      <c r="BY76" s="46"/>
      <c r="BZ76" s="22"/>
      <c r="CA76" s="22"/>
      <c r="CB76" s="50"/>
    </row>
    <row r="77" spans="15:80" ht="15.75" customHeight="1">
      <c r="O77" s="42"/>
      <c r="P77" s="118"/>
      <c r="Q77" s="118"/>
      <c r="R77" s="119"/>
      <c r="S77" s="119"/>
      <c r="T77" s="42"/>
      <c r="U77" s="118"/>
      <c r="V77" s="118"/>
      <c r="BW77" s="42"/>
      <c r="BX77" s="23"/>
      <c r="BY77" s="46"/>
      <c r="BZ77" s="22"/>
      <c r="CA77" s="22"/>
      <c r="CB77" s="57"/>
    </row>
    <row r="78" spans="15:80" ht="15.75" customHeight="1">
      <c r="O78" s="42"/>
      <c r="P78" s="118"/>
      <c r="Q78" s="118"/>
      <c r="R78" s="119"/>
      <c r="S78" s="119"/>
      <c r="T78" s="42"/>
      <c r="U78" s="118"/>
      <c r="V78" s="118"/>
      <c r="BW78" s="42"/>
      <c r="BX78" s="23"/>
      <c r="BY78" s="46"/>
      <c r="BZ78" s="22"/>
      <c r="CA78" s="22"/>
      <c r="CB78" s="50"/>
    </row>
    <row r="79" spans="15:80" ht="15.75" customHeight="1">
      <c r="O79" s="42"/>
      <c r="P79" s="118"/>
      <c r="Q79" s="118"/>
      <c r="R79" s="119"/>
      <c r="S79" s="119"/>
      <c r="T79" s="42"/>
      <c r="U79" s="118"/>
      <c r="V79" s="118"/>
      <c r="BW79" s="42"/>
      <c r="BX79" s="23"/>
      <c r="BY79" s="46"/>
      <c r="BZ79" s="22"/>
      <c r="CA79" s="22"/>
      <c r="CB79" s="50"/>
    </row>
    <row r="80" spans="15:80" ht="15.75" customHeight="1">
      <c r="O80" s="42"/>
      <c r="P80" s="118"/>
      <c r="Q80" s="118"/>
      <c r="R80" s="119"/>
      <c r="S80" s="119"/>
      <c r="T80" s="42"/>
      <c r="U80" s="118"/>
      <c r="V80" s="118"/>
      <c r="BW80" s="42"/>
      <c r="BX80" s="23"/>
      <c r="BY80" s="47"/>
      <c r="BZ80" s="22"/>
      <c r="CA80" s="22"/>
      <c r="CB80" s="57"/>
    </row>
    <row r="81" spans="15:80" ht="15.75" customHeight="1">
      <c r="O81" s="42"/>
      <c r="P81" s="118"/>
      <c r="Q81" s="118"/>
      <c r="R81" s="119"/>
      <c r="S81" s="119"/>
      <c r="T81" s="42"/>
      <c r="U81" s="118"/>
      <c r="V81" s="118"/>
      <c r="BW81" s="42"/>
      <c r="BX81" s="23"/>
      <c r="BY81" s="46"/>
      <c r="BZ81" s="22"/>
      <c r="CA81" s="22"/>
      <c r="CB81" s="50"/>
    </row>
    <row r="82" spans="15:80" ht="15.75" customHeight="1">
      <c r="O82" s="42"/>
      <c r="P82" s="118"/>
      <c r="Q82" s="118"/>
      <c r="R82" s="119"/>
      <c r="S82" s="119"/>
      <c r="T82" s="42"/>
      <c r="U82" s="118"/>
      <c r="V82" s="118"/>
      <c r="BW82" s="42"/>
      <c r="BX82" s="48"/>
      <c r="BY82" s="46"/>
      <c r="BZ82" s="22"/>
      <c r="CA82" s="22"/>
      <c r="CB82" s="57"/>
    </row>
    <row r="83" spans="15:80" ht="15.75" customHeight="1">
      <c r="O83" s="42"/>
      <c r="P83" s="118"/>
      <c r="Q83" s="118"/>
      <c r="R83" s="119"/>
      <c r="S83" s="119"/>
      <c r="T83" s="42"/>
      <c r="U83" s="118"/>
      <c r="V83" s="118"/>
      <c r="BW83" s="42"/>
      <c r="BX83" s="118"/>
      <c r="BY83" s="118"/>
      <c r="BZ83" s="119"/>
      <c r="CA83" s="119"/>
      <c r="CB83" s="42"/>
    </row>
    <row r="84" spans="15:80" ht="15.75" customHeight="1">
      <c r="O84" s="42"/>
      <c r="P84" s="118"/>
      <c r="Q84" s="118"/>
      <c r="R84" s="119"/>
      <c r="S84" s="119"/>
      <c r="T84" s="42"/>
      <c r="U84" s="118"/>
      <c r="V84" s="118"/>
      <c r="BW84" s="42"/>
      <c r="BX84" s="118"/>
      <c r="BY84" s="118"/>
      <c r="BZ84" s="119"/>
      <c r="CA84" s="119"/>
      <c r="CB84" s="42"/>
    </row>
    <row r="85" spans="15:80" ht="15.75" customHeight="1">
      <c r="O85" s="42"/>
      <c r="P85" s="118"/>
      <c r="Q85" s="118"/>
      <c r="R85" s="119"/>
      <c r="S85" s="119"/>
      <c r="T85" s="42"/>
      <c r="U85" s="118"/>
      <c r="V85" s="118"/>
      <c r="BW85" s="42"/>
      <c r="BX85" s="118"/>
      <c r="BY85" s="118"/>
      <c r="BZ85" s="119"/>
      <c r="CA85" s="119"/>
      <c r="CB85" s="42"/>
    </row>
    <row r="86" spans="15:80" ht="15.75" customHeight="1">
      <c r="O86" s="42"/>
      <c r="P86" s="118"/>
      <c r="Q86" s="118"/>
      <c r="R86" s="119"/>
      <c r="S86" s="119"/>
      <c r="T86" s="42"/>
      <c r="U86" s="118"/>
      <c r="V86" s="118"/>
      <c r="BW86" s="42"/>
      <c r="BX86" s="118"/>
      <c r="BY86" s="118"/>
      <c r="BZ86" s="119"/>
      <c r="CA86" s="119"/>
      <c r="CB86" s="42"/>
    </row>
    <row r="87" spans="15:80" ht="15.75" customHeight="1">
      <c r="O87" s="42"/>
      <c r="P87" s="118"/>
      <c r="Q87" s="118"/>
      <c r="R87" s="119"/>
      <c r="S87" s="119"/>
      <c r="T87" s="42"/>
      <c r="U87" s="118"/>
      <c r="V87" s="118"/>
      <c r="BW87" s="42"/>
      <c r="BX87" s="118"/>
      <c r="BY87" s="118"/>
      <c r="BZ87" s="119"/>
      <c r="CA87" s="119"/>
      <c r="CB87" s="42"/>
    </row>
    <row r="88" spans="15:80" ht="15.75" customHeight="1">
      <c r="O88" s="42"/>
      <c r="P88" s="118"/>
      <c r="Q88" s="118"/>
      <c r="R88" s="119"/>
      <c r="S88" s="119"/>
      <c r="T88" s="42"/>
      <c r="U88" s="118"/>
      <c r="V88" s="118"/>
      <c r="BW88" s="42"/>
      <c r="BX88" s="118"/>
      <c r="BY88" s="118"/>
      <c r="BZ88" s="119"/>
      <c r="CA88" s="119"/>
      <c r="CB88" s="42"/>
    </row>
    <row r="89" spans="15:80" ht="15.75" customHeight="1">
      <c r="O89" s="42"/>
      <c r="P89" s="118"/>
      <c r="Q89" s="118"/>
      <c r="R89" s="119"/>
      <c r="S89" s="119"/>
      <c r="T89" s="42"/>
      <c r="U89" s="118"/>
      <c r="V89" s="118"/>
      <c r="BW89" s="42"/>
      <c r="BX89" s="118"/>
      <c r="BY89" s="118"/>
      <c r="BZ89" s="119"/>
      <c r="CA89" s="119"/>
      <c r="CB89" s="42"/>
    </row>
    <row r="90" spans="15:80" ht="15.75" customHeight="1">
      <c r="O90" s="42"/>
      <c r="P90" s="118"/>
      <c r="Q90" s="118"/>
      <c r="R90" s="119"/>
      <c r="S90" s="119"/>
      <c r="T90" s="42"/>
      <c r="U90" s="118"/>
      <c r="V90" s="118"/>
      <c r="BW90" s="42"/>
      <c r="BX90" s="118"/>
      <c r="BY90" s="118"/>
      <c r="BZ90" s="119"/>
      <c r="CA90" s="119"/>
      <c r="CB90" s="42"/>
    </row>
    <row r="91" spans="15:80" ht="15.75" customHeight="1">
      <c r="O91" s="42"/>
      <c r="P91" s="118"/>
      <c r="Q91" s="118"/>
      <c r="R91" s="119"/>
      <c r="S91" s="119"/>
      <c r="T91" s="42"/>
      <c r="U91" s="118"/>
      <c r="V91" s="118"/>
      <c r="BW91" s="42"/>
      <c r="BX91" s="118"/>
      <c r="BY91" s="118"/>
      <c r="BZ91" s="119"/>
      <c r="CA91" s="119"/>
      <c r="CB91" s="42"/>
    </row>
    <row r="92" spans="15:80" ht="15.75" customHeight="1">
      <c r="O92" s="42"/>
      <c r="P92" s="118"/>
      <c r="Q92" s="118"/>
      <c r="R92" s="119"/>
      <c r="S92" s="119"/>
      <c r="T92" s="42"/>
      <c r="U92" s="118"/>
      <c r="V92" s="118"/>
      <c r="BW92" s="42"/>
      <c r="BX92" s="118"/>
      <c r="BY92" s="118"/>
      <c r="BZ92" s="119"/>
      <c r="CA92" s="119"/>
      <c r="CB92" s="42"/>
    </row>
    <row r="93" spans="15:80" ht="15.75" customHeight="1">
      <c r="O93" s="42"/>
      <c r="P93" s="118"/>
      <c r="Q93" s="118"/>
      <c r="R93" s="119"/>
      <c r="S93" s="119"/>
      <c r="T93" s="42"/>
      <c r="U93" s="118"/>
      <c r="V93" s="118"/>
      <c r="BW93" s="42"/>
      <c r="BX93" s="118"/>
      <c r="BY93" s="118"/>
      <c r="BZ93" s="119"/>
      <c r="CA93" s="119"/>
      <c r="CB93" s="42"/>
    </row>
    <row r="94" spans="15:80" ht="15.75" customHeight="1">
      <c r="BW94" s="42"/>
      <c r="BX94" s="118"/>
      <c r="BY94" s="118"/>
      <c r="BZ94" s="119"/>
      <c r="CA94" s="119"/>
      <c r="CB94" s="42"/>
    </row>
    <row r="95" spans="15:80" ht="15.75" customHeight="1">
      <c r="BW95" s="42"/>
      <c r="BX95" s="118"/>
      <c r="BY95" s="118"/>
      <c r="BZ95" s="119"/>
      <c r="CA95" s="119"/>
      <c r="CB95" s="42"/>
    </row>
    <row r="96" spans="15:80" ht="15.75" customHeight="1">
      <c r="BW96" s="42"/>
      <c r="BX96" s="118"/>
      <c r="BY96" s="118"/>
      <c r="BZ96" s="119"/>
      <c r="CA96" s="119"/>
      <c r="CB96" s="42"/>
    </row>
    <row r="97" spans="75:80" ht="15.75" customHeight="1">
      <c r="BW97" s="42"/>
      <c r="BX97" s="118"/>
      <c r="BY97" s="118"/>
      <c r="BZ97" s="119"/>
      <c r="CA97" s="119"/>
      <c r="CB97" s="42"/>
    </row>
    <row r="98" spans="75:80" ht="15.75" customHeight="1">
      <c r="BW98" s="42"/>
      <c r="BX98" s="118"/>
      <c r="BY98" s="118"/>
      <c r="BZ98" s="119"/>
      <c r="CA98" s="119"/>
      <c r="CB98" s="42"/>
    </row>
    <row r="99" spans="75:80" ht="15.75" customHeight="1">
      <c r="BW99" s="42"/>
      <c r="BX99" s="118"/>
      <c r="BY99" s="118"/>
      <c r="BZ99" s="119"/>
      <c r="CA99" s="119"/>
      <c r="CB99" s="42"/>
    </row>
    <row r="100" spans="75:80" ht="15.75" customHeight="1">
      <c r="BW100" s="42"/>
      <c r="BX100" s="118"/>
      <c r="BY100" s="118"/>
      <c r="BZ100" s="119"/>
      <c r="CA100" s="119"/>
      <c r="CB100" s="42"/>
    </row>
    <row r="101" spans="75:80" ht="15.75" customHeight="1">
      <c r="BW101" s="42"/>
      <c r="BX101" s="118"/>
      <c r="BY101" s="118"/>
      <c r="BZ101" s="119"/>
      <c r="CA101" s="119"/>
      <c r="CB101" s="42"/>
    </row>
    <row r="102" spans="75:80" ht="15.75" customHeight="1">
      <c r="BW102" s="42"/>
      <c r="BX102" s="118"/>
      <c r="BY102" s="118"/>
      <c r="BZ102" s="119"/>
      <c r="CA102" s="119"/>
      <c r="CB102" s="42"/>
    </row>
    <row r="103" spans="75:80" ht="15.75" customHeight="1">
      <c r="BW103" s="42"/>
      <c r="BX103" s="118"/>
      <c r="BY103" s="118"/>
      <c r="BZ103" s="119"/>
      <c r="CA103" s="119"/>
      <c r="CB103" s="42"/>
    </row>
    <row r="104" spans="75:80" ht="15.75" customHeight="1">
      <c r="BW104" s="42"/>
      <c r="BX104" s="118"/>
      <c r="BY104" s="118"/>
      <c r="BZ104" s="119"/>
      <c r="CA104" s="119"/>
      <c r="CB104" s="42"/>
    </row>
    <row r="105" spans="75:80" ht="15.75" customHeight="1">
      <c r="BW105" s="42"/>
      <c r="BX105" s="118"/>
      <c r="BY105" s="118"/>
      <c r="BZ105" s="119"/>
      <c r="CA105" s="119"/>
      <c r="CB105" s="42"/>
    </row>
    <row r="106" spans="75:80" ht="15.75" customHeight="1">
      <c r="BW106" s="42"/>
      <c r="BX106" s="118"/>
      <c r="BY106" s="118"/>
      <c r="BZ106" s="119"/>
      <c r="CA106" s="119"/>
      <c r="CB106" s="42"/>
    </row>
    <row r="107" spans="75:80" ht="15.75" customHeight="1">
      <c r="BW107" s="42"/>
      <c r="BX107" s="118"/>
      <c r="BY107" s="118"/>
      <c r="BZ107" s="119"/>
      <c r="CA107" s="119"/>
      <c r="CB107" s="42"/>
    </row>
    <row r="108" spans="75:80" ht="15.75" customHeight="1">
      <c r="BW108" s="42"/>
      <c r="BX108" s="118"/>
      <c r="BY108" s="118"/>
      <c r="BZ108" s="119"/>
      <c r="CA108" s="119"/>
      <c r="CB108" s="42"/>
    </row>
    <row r="109" spans="75:80" ht="15.75" customHeight="1">
      <c r="BW109" s="42"/>
      <c r="BX109" s="118"/>
      <c r="BY109" s="118"/>
      <c r="BZ109" s="119"/>
      <c r="CA109" s="119"/>
      <c r="CB109" s="42"/>
    </row>
    <row r="110" spans="75:80" ht="15.75" customHeight="1">
      <c r="BW110" s="42"/>
      <c r="BX110" s="118"/>
      <c r="BY110" s="118"/>
      <c r="BZ110" s="119"/>
      <c r="CA110" s="119"/>
      <c r="CB110" s="42"/>
    </row>
    <row r="111" spans="75:80" ht="15.75" customHeight="1">
      <c r="BW111" s="42"/>
      <c r="BX111" s="118"/>
      <c r="BY111" s="118"/>
      <c r="BZ111" s="119"/>
      <c r="CA111" s="119"/>
      <c r="CB111" s="42"/>
    </row>
    <row r="112" spans="75:80" ht="15.75" customHeight="1">
      <c r="BW112" s="42"/>
      <c r="BX112" s="118"/>
      <c r="BY112" s="118"/>
      <c r="BZ112" s="119"/>
      <c r="CA112" s="119"/>
      <c r="CB112" s="42"/>
    </row>
    <row r="113" spans="75:80" ht="15.75" customHeight="1">
      <c r="BW113" s="42"/>
      <c r="BX113" s="118"/>
      <c r="BY113" s="118"/>
      <c r="BZ113" s="119"/>
      <c r="CA113" s="119"/>
      <c r="CB113" s="42"/>
    </row>
    <row r="114" spans="75:80" ht="15.75" customHeight="1">
      <c r="BW114" s="42"/>
      <c r="BX114" s="118"/>
      <c r="BY114" s="118"/>
      <c r="BZ114" s="119"/>
      <c r="CA114" s="119"/>
      <c r="CB114" s="42"/>
    </row>
    <row r="115" spans="75:80" ht="15.75" customHeight="1">
      <c r="BW115" s="42"/>
      <c r="BX115" s="118"/>
      <c r="BY115" s="118"/>
      <c r="BZ115" s="119"/>
      <c r="CA115" s="119"/>
      <c r="CB115" s="42"/>
    </row>
    <row r="116" spans="75:80" ht="15.75" customHeight="1">
      <c r="BW116" s="42"/>
      <c r="BX116" s="118"/>
      <c r="BY116" s="118"/>
      <c r="BZ116" s="119"/>
      <c r="CA116" s="119"/>
      <c r="CB116" s="42"/>
    </row>
    <row r="117" spans="75:80" ht="15.75" customHeight="1">
      <c r="BW117" s="42"/>
      <c r="BX117" s="118"/>
      <c r="BY117" s="118"/>
      <c r="BZ117" s="119"/>
      <c r="CA117" s="119"/>
      <c r="CB117" s="42"/>
    </row>
    <row r="118" spans="75:80" ht="15.75" customHeight="1">
      <c r="BW118" s="42"/>
      <c r="BX118" s="118"/>
      <c r="BY118" s="118"/>
      <c r="BZ118" s="119"/>
      <c r="CA118" s="119"/>
      <c r="CB118" s="42"/>
    </row>
    <row r="119" spans="75:80" ht="15.75" customHeight="1">
      <c r="BW119" s="42"/>
      <c r="BX119" s="118"/>
      <c r="BY119" s="118"/>
      <c r="BZ119" s="119"/>
      <c r="CA119" s="119"/>
      <c r="CB119" s="42"/>
    </row>
    <row r="120" spans="75:80" ht="15.75" customHeight="1">
      <c r="BW120" s="42"/>
      <c r="BX120" s="118"/>
      <c r="BY120" s="118"/>
      <c r="BZ120" s="119"/>
      <c r="CA120" s="119"/>
      <c r="CB120" s="42"/>
    </row>
    <row r="121" spans="75:80" ht="15.75" customHeight="1">
      <c r="BW121" s="42"/>
      <c r="BX121" s="118"/>
      <c r="BY121" s="118"/>
      <c r="BZ121" s="119"/>
      <c r="CA121" s="119"/>
      <c r="CB121" s="42"/>
    </row>
    <row r="122" spans="75:80" ht="15.75" customHeight="1">
      <c r="BW122" s="42"/>
      <c r="BX122" s="118"/>
      <c r="BY122" s="118"/>
      <c r="BZ122" s="119"/>
      <c r="CA122" s="119"/>
      <c r="CB122" s="42"/>
    </row>
    <row r="123" spans="75:80" ht="15.75" customHeight="1">
      <c r="BW123" s="42"/>
      <c r="BX123" s="118"/>
      <c r="BY123" s="118"/>
      <c r="BZ123" s="119"/>
      <c r="CA123" s="119"/>
      <c r="CB123" s="42"/>
    </row>
    <row r="124" spans="75:80" ht="15.75" customHeight="1">
      <c r="BW124" s="42"/>
      <c r="BX124" s="118"/>
      <c r="BY124" s="118"/>
      <c r="BZ124" s="119"/>
      <c r="CA124" s="119"/>
      <c r="CB124" s="42"/>
    </row>
    <row r="125" spans="75:80" ht="15.75" customHeight="1">
      <c r="BW125" s="42"/>
      <c r="BX125" s="118"/>
      <c r="BY125" s="118"/>
      <c r="BZ125" s="119"/>
      <c r="CA125" s="119"/>
      <c r="CB125" s="42"/>
    </row>
    <row r="126" spans="75:80" ht="15.75" customHeight="1">
      <c r="BW126" s="42"/>
      <c r="BX126" s="118"/>
      <c r="BY126" s="118"/>
      <c r="BZ126" s="119"/>
      <c r="CA126" s="119"/>
      <c r="CB126" s="42"/>
    </row>
    <row r="127" spans="75:80" ht="15.75" customHeight="1">
      <c r="BW127" s="42"/>
      <c r="BX127" s="118"/>
      <c r="BY127" s="118"/>
      <c r="BZ127" s="119"/>
      <c r="CA127" s="119"/>
      <c r="CB127" s="42"/>
    </row>
    <row r="128" spans="75:80" ht="15.75" customHeight="1">
      <c r="BW128" s="42"/>
      <c r="BX128" s="118"/>
      <c r="BY128" s="118"/>
      <c r="BZ128" s="119"/>
      <c r="CA128" s="119"/>
      <c r="CB128" s="42"/>
    </row>
    <row r="129" spans="75:80" ht="15.75" customHeight="1">
      <c r="BW129" s="42"/>
      <c r="BX129" s="118"/>
      <c r="BY129" s="118"/>
      <c r="BZ129" s="119"/>
      <c r="CA129" s="119"/>
      <c r="CB129" s="42"/>
    </row>
    <row r="130" spans="75:80" ht="15.75" customHeight="1">
      <c r="BW130" s="42"/>
      <c r="BX130" s="118"/>
      <c r="BY130" s="118"/>
      <c r="BZ130" s="119"/>
      <c r="CA130" s="119"/>
      <c r="CB130" s="42"/>
    </row>
    <row r="131" spans="75:80" ht="15.75" customHeight="1">
      <c r="BW131" s="42"/>
      <c r="BX131" s="118"/>
      <c r="BY131" s="118"/>
      <c r="BZ131" s="119"/>
      <c r="CA131" s="119"/>
      <c r="CB131" s="42"/>
    </row>
    <row r="132" spans="75:80" ht="15.75" customHeight="1">
      <c r="BW132" s="42"/>
      <c r="BX132" s="118"/>
      <c r="BY132" s="118"/>
      <c r="BZ132" s="119"/>
      <c r="CA132" s="119"/>
      <c r="CB132" s="42"/>
    </row>
    <row r="133" spans="75:80" ht="15.75" customHeight="1">
      <c r="BW133" s="42"/>
      <c r="BX133" s="118"/>
      <c r="BY133" s="118"/>
      <c r="BZ133" s="119"/>
      <c r="CA133" s="119"/>
      <c r="CB133" s="42"/>
    </row>
    <row r="134" spans="75:80" ht="15.75" customHeight="1">
      <c r="BW134" s="42"/>
      <c r="BX134" s="118"/>
      <c r="BY134" s="118"/>
      <c r="BZ134" s="119"/>
      <c r="CA134" s="119"/>
      <c r="CB134" s="42"/>
    </row>
    <row r="135" spans="75:80" ht="15.75" customHeight="1">
      <c r="BW135" s="42"/>
      <c r="BX135" s="118"/>
      <c r="BY135" s="118"/>
      <c r="BZ135" s="119"/>
      <c r="CA135" s="119"/>
      <c r="CB135" s="42"/>
    </row>
    <row r="136" spans="75:80" ht="15.75" customHeight="1">
      <c r="BW136" s="42"/>
      <c r="BX136" s="118"/>
      <c r="BY136" s="118"/>
      <c r="BZ136" s="119"/>
      <c r="CA136" s="119"/>
      <c r="CB136" s="42"/>
    </row>
    <row r="137" spans="75:80" ht="15.75" customHeight="1">
      <c r="BW137" s="42"/>
      <c r="BX137" s="118"/>
      <c r="BY137" s="118"/>
      <c r="BZ137" s="119"/>
      <c r="CA137" s="119"/>
      <c r="CB137" s="42"/>
    </row>
  </sheetData>
  <mergeCells count="19">
    <mergeCell ref="BD1:BG1"/>
    <mergeCell ref="CM1:CP1"/>
    <mergeCell ref="CH1:CK1"/>
    <mergeCell ref="CC1:CF1"/>
    <mergeCell ref="BI1:BL1"/>
    <mergeCell ref="BN1:BQ1"/>
    <mergeCell ref="BS1:BV1"/>
    <mergeCell ref="BX1:CA1"/>
    <mergeCell ref="A1:D1"/>
    <mergeCell ref="F1:I1"/>
    <mergeCell ref="K1:N1"/>
    <mergeCell ref="P1:S1"/>
    <mergeCell ref="AY1:BB1"/>
    <mergeCell ref="U1:X1"/>
    <mergeCell ref="Z1:AC1"/>
    <mergeCell ref="AE1:AH1"/>
    <mergeCell ref="AJ1:AM1"/>
    <mergeCell ref="AO1:AR1"/>
    <mergeCell ref="AT1:AW1"/>
  </mergeCells>
  <phoneticPr fontId="2" type="noConversion"/>
  <pageMargins left="0.39370078740157483" right="0.19685039370078741" top="0.39370078740157483" bottom="0" header="0" footer="0"/>
  <pageSetup paperSize="12" scale="91" fitToWidth="2" orientation="landscape" r:id="rId1"/>
  <headerFooter alignWithMargins="0"/>
  <colBreaks count="3" manualBreakCount="3">
    <brk id="25" max="48" man="1"/>
    <brk id="50" max="48" man="1"/>
    <brk id="75" max="4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A1:R565"/>
  <sheetViews>
    <sheetView view="pageBreakPreview" zoomScaleNormal="100" zoomScaleSheetLayoutView="100" workbookViewId="0">
      <selection activeCell="H402" sqref="H402"/>
    </sheetView>
  </sheetViews>
  <sheetFormatPr baseColWidth="10" defaultColWidth="8.83203125" defaultRowHeight="15"/>
  <cols>
    <col min="1" max="1" width="8.83203125" style="141"/>
    <col min="2" max="2" width="8" style="142" bestFit="1" customWidth="1"/>
    <col min="3" max="3" width="10.83203125" style="193" bestFit="1" customWidth="1"/>
    <col min="4" max="4" width="14" style="141" customWidth="1"/>
    <col min="5" max="5" width="8.5" style="143" bestFit="1" customWidth="1"/>
    <col min="6" max="6" width="10" style="141" bestFit="1" customWidth="1"/>
    <col min="7" max="7" width="9" style="141" customWidth="1"/>
    <col min="8" max="8" width="11.6640625" style="141" bestFit="1" customWidth="1"/>
    <col min="9" max="9" width="17.6640625" style="141" customWidth="1"/>
    <col min="10" max="10" width="12.1640625" style="141" customWidth="1"/>
    <col min="11" max="11" width="33.5" style="141" bestFit="1" customWidth="1"/>
    <col min="12" max="12" width="21.1640625" style="141" customWidth="1"/>
    <col min="13" max="13" width="7.5" style="193" bestFit="1" customWidth="1"/>
    <col min="14" max="14" width="5.6640625" style="193" bestFit="1" customWidth="1"/>
    <col min="15" max="15" width="9.5" style="193" bestFit="1" customWidth="1"/>
    <col min="16" max="16" width="9.6640625" style="193" customWidth="1"/>
    <col min="17" max="17" width="15.83203125" style="193" bestFit="1" customWidth="1"/>
    <col min="18" max="16384" width="8.83203125" style="141"/>
  </cols>
  <sheetData>
    <row r="1" spans="1:18" ht="16" thickBot="1">
      <c r="A1" s="141" t="s">
        <v>2591</v>
      </c>
      <c r="B1" s="145" t="s">
        <v>98</v>
      </c>
      <c r="C1" s="190" t="s">
        <v>99</v>
      </c>
      <c r="D1" s="146" t="s">
        <v>4</v>
      </c>
      <c r="E1" s="147" t="s">
        <v>100</v>
      </c>
      <c r="F1" s="146" t="s">
        <v>101</v>
      </c>
      <c r="G1" s="146" t="s">
        <v>41</v>
      </c>
      <c r="H1" s="146" t="s">
        <v>106</v>
      </c>
      <c r="I1" s="146" t="s">
        <v>38</v>
      </c>
      <c r="J1" s="146" t="s">
        <v>39</v>
      </c>
      <c r="K1" s="148" t="s">
        <v>40</v>
      </c>
      <c r="M1" s="278" t="s">
        <v>2597</v>
      </c>
      <c r="N1" s="193">
        <f>VLOOKUP(M1,A:B,2,0)</f>
        <v>1082</v>
      </c>
      <c r="O1" s="279">
        <f>VLOOKUP(M1,A:C,3,0)</f>
        <v>43887</v>
      </c>
      <c r="P1" s="193" t="str">
        <f>VLOOKUP(M1,A:F,6,0)</f>
        <v>李宇宸</v>
      </c>
      <c r="Q1" s="193" t="e">
        <f>VLOOKUP(M1,A:K,12,0)</f>
        <v>#REF!</v>
      </c>
      <c r="R1" s="193">
        <f>COUNTIF(E:E,M1)</f>
        <v>2</v>
      </c>
    </row>
    <row r="2" spans="1:18" ht="16" hidden="1">
      <c r="A2" s="141" t="str">
        <f t="shared" ref="A2:A59" si="0">TRIM(E2)</f>
        <v>057104</v>
      </c>
      <c r="B2" s="158">
        <v>1061</v>
      </c>
      <c r="C2" s="159">
        <v>42950</v>
      </c>
      <c r="D2" s="152" t="s">
        <v>228</v>
      </c>
      <c r="E2" s="160" t="s">
        <v>229</v>
      </c>
      <c r="F2" s="157" t="s">
        <v>230</v>
      </c>
      <c r="G2" s="157" t="s">
        <v>231</v>
      </c>
      <c r="H2" s="157" t="s">
        <v>232</v>
      </c>
      <c r="I2" s="157" t="s">
        <v>233</v>
      </c>
      <c r="J2" s="157" t="s">
        <v>159</v>
      </c>
      <c r="K2" s="161" t="s">
        <v>234</v>
      </c>
    </row>
    <row r="3" spans="1:18" ht="16" hidden="1">
      <c r="A3" s="141" t="str">
        <f t="shared" si="0"/>
        <v>053130</v>
      </c>
      <c r="B3" s="158">
        <v>1061</v>
      </c>
      <c r="C3" s="159">
        <v>42951</v>
      </c>
      <c r="D3" s="152" t="s">
        <v>235</v>
      </c>
      <c r="E3" s="160" t="s">
        <v>236</v>
      </c>
      <c r="F3" s="157" t="s">
        <v>237</v>
      </c>
      <c r="G3" s="157" t="s">
        <v>238</v>
      </c>
      <c r="H3" s="157" t="s">
        <v>232</v>
      </c>
      <c r="I3" s="157" t="s">
        <v>233</v>
      </c>
      <c r="J3" s="157" t="s">
        <v>159</v>
      </c>
      <c r="K3" s="161" t="s">
        <v>239</v>
      </c>
    </row>
    <row r="4" spans="1:18" ht="16" hidden="1">
      <c r="A4" s="141" t="str">
        <f t="shared" si="0"/>
        <v>048136</v>
      </c>
      <c r="B4" s="158">
        <v>1061</v>
      </c>
      <c r="C4" s="159">
        <v>42954</v>
      </c>
      <c r="D4" s="152" t="s">
        <v>240</v>
      </c>
      <c r="E4" s="160" t="s">
        <v>241</v>
      </c>
      <c r="F4" s="157" t="s">
        <v>242</v>
      </c>
      <c r="G4" s="157" t="s">
        <v>243</v>
      </c>
      <c r="H4" s="157" t="s">
        <v>244</v>
      </c>
      <c r="I4" s="157" t="s">
        <v>245</v>
      </c>
      <c r="J4" s="157" t="s">
        <v>159</v>
      </c>
      <c r="K4" s="161" t="s">
        <v>246</v>
      </c>
    </row>
    <row r="5" spans="1:18" ht="16" hidden="1">
      <c r="A5" s="141" t="str">
        <f t="shared" si="0"/>
        <v>042238</v>
      </c>
      <c r="B5" s="158">
        <v>1061</v>
      </c>
      <c r="C5" s="159">
        <v>42956</v>
      </c>
      <c r="D5" s="152" t="s">
        <v>247</v>
      </c>
      <c r="E5" s="160" t="s">
        <v>248</v>
      </c>
      <c r="F5" s="157" t="s">
        <v>249</v>
      </c>
      <c r="G5" s="157" t="s">
        <v>250</v>
      </c>
      <c r="H5" s="157" t="s">
        <v>251</v>
      </c>
      <c r="I5" s="157" t="s">
        <v>252</v>
      </c>
      <c r="J5" s="157" t="s">
        <v>254</v>
      </c>
      <c r="K5" s="161" t="s">
        <v>253</v>
      </c>
    </row>
    <row r="6" spans="1:18" ht="16" hidden="1">
      <c r="A6" s="141" t="str">
        <f t="shared" si="0"/>
        <v>051312</v>
      </c>
      <c r="B6" s="158">
        <v>1061</v>
      </c>
      <c r="C6" s="159">
        <v>42957</v>
      </c>
      <c r="D6" s="152" t="s">
        <v>255</v>
      </c>
      <c r="E6" s="160" t="s">
        <v>256</v>
      </c>
      <c r="F6" s="157" t="s">
        <v>257</v>
      </c>
      <c r="G6" s="157" t="s">
        <v>250</v>
      </c>
      <c r="H6" s="157" t="s">
        <v>251</v>
      </c>
      <c r="I6" s="157" t="s">
        <v>252</v>
      </c>
      <c r="J6" s="157" t="s">
        <v>254</v>
      </c>
      <c r="K6" s="161" t="s">
        <v>258</v>
      </c>
    </row>
    <row r="7" spans="1:18" ht="16" hidden="1">
      <c r="A7" s="141" t="str">
        <f t="shared" si="0"/>
        <v>043332</v>
      </c>
      <c r="B7" s="158">
        <v>1061</v>
      </c>
      <c r="C7" s="159">
        <v>42965</v>
      </c>
      <c r="D7" s="152" t="s">
        <v>260</v>
      </c>
      <c r="E7" s="160" t="s">
        <v>120</v>
      </c>
      <c r="F7" s="157" t="s">
        <v>121</v>
      </c>
      <c r="G7" s="157" t="s">
        <v>59</v>
      </c>
      <c r="H7" s="157" t="s">
        <v>261</v>
      </c>
      <c r="I7" s="157" t="s">
        <v>169</v>
      </c>
      <c r="J7" s="157" t="s">
        <v>263</v>
      </c>
      <c r="K7" s="161" t="s">
        <v>262</v>
      </c>
    </row>
    <row r="8" spans="1:18" customFormat="1" ht="16" hidden="1">
      <c r="A8" s="141" t="str">
        <f t="shared" si="0"/>
        <v>054123</v>
      </c>
      <c r="B8" s="158">
        <v>1061</v>
      </c>
      <c r="C8" s="175">
        <v>42976</v>
      </c>
      <c r="D8" t="s">
        <v>270</v>
      </c>
      <c r="E8" s="160" t="s">
        <v>271</v>
      </c>
      <c r="F8" s="157" t="s">
        <v>272</v>
      </c>
      <c r="G8" s="157" t="s">
        <v>59</v>
      </c>
      <c r="H8" s="157" t="s">
        <v>273</v>
      </c>
      <c r="I8" s="157" t="s">
        <v>281</v>
      </c>
      <c r="J8" s="157" t="s">
        <v>282</v>
      </c>
      <c r="K8" s="161" t="s">
        <v>326</v>
      </c>
      <c r="M8" s="277"/>
      <c r="N8" s="277"/>
      <c r="O8" s="277"/>
      <c r="P8" s="277"/>
      <c r="Q8" s="277"/>
    </row>
    <row r="9" spans="1:18" customFormat="1" ht="16" hidden="1">
      <c r="A9" s="141" t="str">
        <f t="shared" si="0"/>
        <v>042433</v>
      </c>
      <c r="B9" s="158">
        <v>1061</v>
      </c>
      <c r="C9" s="159">
        <v>42978</v>
      </c>
      <c r="D9" s="152" t="s">
        <v>269</v>
      </c>
      <c r="E9" s="160" t="s">
        <v>122</v>
      </c>
      <c r="F9" s="157" t="s">
        <v>123</v>
      </c>
      <c r="G9" s="157" t="s">
        <v>59</v>
      </c>
      <c r="H9" s="157" t="s">
        <v>304</v>
      </c>
      <c r="I9" s="157" t="s">
        <v>268</v>
      </c>
      <c r="J9" s="157" t="s">
        <v>159</v>
      </c>
      <c r="K9" s="161" t="s">
        <v>305</v>
      </c>
      <c r="M9" s="277"/>
      <c r="N9" s="277"/>
      <c r="O9" s="277"/>
      <c r="P9" s="277"/>
      <c r="Q9" s="277"/>
    </row>
    <row r="10" spans="1:18" ht="16" hidden="1">
      <c r="A10" s="141" t="str">
        <f t="shared" si="0"/>
        <v>053303</v>
      </c>
      <c r="B10" s="158">
        <v>1061</v>
      </c>
      <c r="C10" s="159">
        <v>42978</v>
      </c>
      <c r="D10" s="152" t="s">
        <v>275</v>
      </c>
      <c r="E10" s="160" t="s">
        <v>276</v>
      </c>
      <c r="F10" s="157" t="s">
        <v>277</v>
      </c>
      <c r="G10" s="157" t="s">
        <v>278</v>
      </c>
      <c r="H10" s="157" t="s">
        <v>273</v>
      </c>
      <c r="I10" s="157" t="s">
        <v>268</v>
      </c>
      <c r="J10" s="157" t="s">
        <v>282</v>
      </c>
      <c r="K10" s="161" t="s">
        <v>280</v>
      </c>
    </row>
    <row r="11" spans="1:18" ht="16" hidden="1">
      <c r="A11" s="141" t="str">
        <f t="shared" si="0"/>
        <v>045217</v>
      </c>
      <c r="B11" s="158">
        <v>1061</v>
      </c>
      <c r="C11" s="159">
        <v>42978</v>
      </c>
      <c r="D11" s="152" t="s">
        <v>284</v>
      </c>
      <c r="E11" s="160" t="s">
        <v>285</v>
      </c>
      <c r="F11" s="157" t="s">
        <v>286</v>
      </c>
      <c r="G11" s="157" t="s">
        <v>287</v>
      </c>
      <c r="H11" s="157" t="s">
        <v>288</v>
      </c>
      <c r="I11" s="157" t="s">
        <v>268</v>
      </c>
      <c r="J11" s="157" t="s">
        <v>291</v>
      </c>
      <c r="K11" s="161" t="s">
        <v>288</v>
      </c>
    </row>
    <row r="12" spans="1:18" ht="16" hidden="1">
      <c r="A12" s="141" t="str">
        <f t="shared" si="0"/>
        <v>035211</v>
      </c>
      <c r="B12" s="158">
        <v>1061</v>
      </c>
      <c r="C12" s="159">
        <v>42979</v>
      </c>
      <c r="D12" s="152" t="s">
        <v>292</v>
      </c>
      <c r="E12" s="160" t="s">
        <v>8</v>
      </c>
      <c r="F12" s="157" t="s">
        <v>9</v>
      </c>
      <c r="G12" s="157" t="s">
        <v>59</v>
      </c>
      <c r="H12" s="157" t="s">
        <v>131</v>
      </c>
      <c r="I12" s="157" t="s">
        <v>268</v>
      </c>
      <c r="J12" s="157" t="s">
        <v>296</v>
      </c>
      <c r="K12" s="161" t="s">
        <v>131</v>
      </c>
    </row>
    <row r="13" spans="1:18" ht="16" hidden="1">
      <c r="A13" s="141" t="str">
        <f t="shared" si="0"/>
        <v>053217</v>
      </c>
      <c r="B13" s="158">
        <v>1061</v>
      </c>
      <c r="C13" s="171">
        <v>42996</v>
      </c>
      <c r="D13" s="153" t="s">
        <v>136</v>
      </c>
      <c r="E13" s="172" t="s">
        <v>147</v>
      </c>
      <c r="F13" s="173" t="s">
        <v>149</v>
      </c>
      <c r="G13" s="173" t="s">
        <v>59</v>
      </c>
      <c r="H13" s="173" t="s">
        <v>321</v>
      </c>
      <c r="I13" s="173" t="s">
        <v>315</v>
      </c>
      <c r="J13" s="173" t="s">
        <v>323</v>
      </c>
      <c r="K13" s="174" t="s">
        <v>317</v>
      </c>
    </row>
    <row r="14" spans="1:18" ht="16" hidden="1">
      <c r="A14" s="141" t="str">
        <f t="shared" si="0"/>
        <v>055138</v>
      </c>
      <c r="B14" s="158">
        <v>1061</v>
      </c>
      <c r="C14" s="159">
        <v>42996</v>
      </c>
      <c r="D14" s="152" t="s">
        <v>297</v>
      </c>
      <c r="E14" s="160" t="s">
        <v>151</v>
      </c>
      <c r="F14" s="157" t="s">
        <v>152</v>
      </c>
      <c r="G14" s="157" t="s">
        <v>59</v>
      </c>
      <c r="H14" s="157" t="s">
        <v>322</v>
      </c>
      <c r="I14" s="157" t="s">
        <v>315</v>
      </c>
      <c r="J14" s="157" t="s">
        <v>324</v>
      </c>
      <c r="K14" s="161" t="s">
        <v>316</v>
      </c>
    </row>
    <row r="15" spans="1:18" ht="16" hidden="1">
      <c r="A15" s="141" t="str">
        <f t="shared" si="0"/>
        <v>032305</v>
      </c>
      <c r="B15" s="158">
        <v>1061</v>
      </c>
      <c r="C15" s="159">
        <v>42996</v>
      </c>
      <c r="D15" s="152" t="s">
        <v>302</v>
      </c>
      <c r="E15" s="160" t="s">
        <v>299</v>
      </c>
      <c r="F15" s="157" t="s">
        <v>300</v>
      </c>
      <c r="G15" s="157" t="s">
        <v>301</v>
      </c>
      <c r="H15" s="157" t="s">
        <v>131</v>
      </c>
      <c r="I15" s="157" t="s">
        <v>315</v>
      </c>
      <c r="J15" s="157" t="s">
        <v>324</v>
      </c>
      <c r="K15" s="161" t="s">
        <v>319</v>
      </c>
    </row>
    <row r="16" spans="1:18" ht="16" hidden="1">
      <c r="A16" s="141" t="str">
        <f t="shared" si="0"/>
        <v>042413</v>
      </c>
      <c r="B16" s="158">
        <v>1061</v>
      </c>
      <c r="C16" s="159">
        <v>42996</v>
      </c>
      <c r="D16" s="152" t="s">
        <v>306</v>
      </c>
      <c r="E16" s="160" t="s">
        <v>307</v>
      </c>
      <c r="F16" s="157" t="s">
        <v>308</v>
      </c>
      <c r="G16" s="157" t="s">
        <v>309</v>
      </c>
      <c r="H16" s="157" t="s">
        <v>310</v>
      </c>
      <c r="I16" s="157" t="s">
        <v>311</v>
      </c>
      <c r="J16" s="157" t="s">
        <v>159</v>
      </c>
      <c r="K16" s="161" t="s">
        <v>312</v>
      </c>
    </row>
    <row r="17" spans="1:11" ht="16" hidden="1">
      <c r="A17" s="141" t="str">
        <f t="shared" si="0"/>
        <v>064115</v>
      </c>
      <c r="B17" s="180">
        <v>1061</v>
      </c>
      <c r="C17" s="181">
        <v>42971</v>
      </c>
      <c r="D17" s="176" t="s">
        <v>266</v>
      </c>
      <c r="E17" s="177" t="s">
        <v>186</v>
      </c>
      <c r="F17" s="178" t="s">
        <v>187</v>
      </c>
      <c r="G17" s="178" t="s">
        <v>59</v>
      </c>
      <c r="H17" s="178" t="s">
        <v>293</v>
      </c>
      <c r="I17" s="178" t="s">
        <v>264</v>
      </c>
      <c r="J17" s="178" t="s">
        <v>265</v>
      </c>
      <c r="K17" s="179" t="s">
        <v>294</v>
      </c>
    </row>
    <row r="18" spans="1:11" ht="16" hidden="1">
      <c r="A18" s="141" t="str">
        <f t="shared" si="0"/>
        <v>065108</v>
      </c>
      <c r="B18" s="180">
        <v>1061</v>
      </c>
      <c r="C18" s="181">
        <v>42986</v>
      </c>
      <c r="D18" s="176" t="s">
        <v>290</v>
      </c>
      <c r="E18" s="177" t="s">
        <v>219</v>
      </c>
      <c r="F18" s="178" t="s">
        <v>220</v>
      </c>
      <c r="G18" s="178" t="s">
        <v>59</v>
      </c>
      <c r="H18" s="178" t="s">
        <v>293</v>
      </c>
      <c r="I18" s="178" t="s">
        <v>169</v>
      </c>
      <c r="J18" s="178" t="s">
        <v>303</v>
      </c>
      <c r="K18" s="179" t="s">
        <v>294</v>
      </c>
    </row>
    <row r="19" spans="1:11" ht="16" hidden="1">
      <c r="A19" s="141" t="str">
        <f t="shared" si="0"/>
        <v>063127</v>
      </c>
      <c r="B19" s="180">
        <v>1061</v>
      </c>
      <c r="C19" s="181">
        <v>42996</v>
      </c>
      <c r="D19" s="176" t="s">
        <v>298</v>
      </c>
      <c r="E19" s="177" t="s">
        <v>203</v>
      </c>
      <c r="F19" s="178" t="s">
        <v>204</v>
      </c>
      <c r="G19" s="178" t="s">
        <v>59</v>
      </c>
      <c r="H19" s="178" t="s">
        <v>294</v>
      </c>
      <c r="I19" s="178" t="s">
        <v>315</v>
      </c>
      <c r="J19" s="178" t="s">
        <v>324</v>
      </c>
      <c r="K19" s="179" t="s">
        <v>318</v>
      </c>
    </row>
    <row r="20" spans="1:11" ht="16" hidden="1">
      <c r="A20" s="141" t="str">
        <f t="shared" si="0"/>
        <v>062426</v>
      </c>
      <c r="B20" s="158">
        <v>1061</v>
      </c>
      <c r="C20" s="159">
        <v>42977</v>
      </c>
      <c r="D20" s="152" t="s">
        <v>279</v>
      </c>
      <c r="E20" s="160" t="s">
        <v>202</v>
      </c>
      <c r="F20" s="157" t="s">
        <v>201</v>
      </c>
      <c r="G20" s="157" t="s">
        <v>59</v>
      </c>
      <c r="H20" s="157" t="s">
        <v>267</v>
      </c>
      <c r="I20" s="184" t="s">
        <v>295</v>
      </c>
      <c r="J20" s="157" t="s">
        <v>340</v>
      </c>
      <c r="K20" s="161" t="s">
        <v>325</v>
      </c>
    </row>
    <row r="21" spans="1:11" ht="16" hidden="1">
      <c r="A21" s="141" t="str">
        <f t="shared" si="0"/>
        <v>062324</v>
      </c>
      <c r="B21" s="158">
        <v>1061</v>
      </c>
      <c r="C21" s="159">
        <v>42977</v>
      </c>
      <c r="D21" s="152" t="s">
        <v>283</v>
      </c>
      <c r="E21" s="160" t="s">
        <v>197</v>
      </c>
      <c r="F21" s="157" t="s">
        <v>198</v>
      </c>
      <c r="G21" s="157" t="s">
        <v>59</v>
      </c>
      <c r="H21" s="157" t="s">
        <v>267</v>
      </c>
      <c r="I21" s="184" t="s">
        <v>295</v>
      </c>
      <c r="J21" s="157" t="s">
        <v>340</v>
      </c>
      <c r="K21" s="161" t="s">
        <v>170</v>
      </c>
    </row>
    <row r="22" spans="1:11" ht="16" hidden="1">
      <c r="A22" s="141" t="str">
        <f t="shared" si="0"/>
        <v>068202</v>
      </c>
      <c r="B22" s="158">
        <v>1061</v>
      </c>
      <c r="C22" s="159">
        <v>42977</v>
      </c>
      <c r="D22" s="152" t="s">
        <v>274</v>
      </c>
      <c r="E22" s="160" t="s">
        <v>174</v>
      </c>
      <c r="F22" s="157" t="s">
        <v>175</v>
      </c>
      <c r="G22" s="157" t="s">
        <v>59</v>
      </c>
      <c r="H22" s="157" t="s">
        <v>267</v>
      </c>
      <c r="I22" s="184" t="s">
        <v>295</v>
      </c>
      <c r="J22" s="157" t="s">
        <v>340</v>
      </c>
      <c r="K22" s="161" t="s">
        <v>170</v>
      </c>
    </row>
    <row r="23" spans="1:11" ht="16" hidden="1">
      <c r="A23" s="141" t="str">
        <f t="shared" si="0"/>
        <v>061219</v>
      </c>
      <c r="B23" s="158">
        <v>1061</v>
      </c>
      <c r="C23" s="159">
        <v>42978</v>
      </c>
      <c r="D23" s="152" t="s">
        <v>289</v>
      </c>
      <c r="E23" s="160" t="s">
        <v>190</v>
      </c>
      <c r="F23" s="157" t="s">
        <v>191</v>
      </c>
      <c r="G23" s="157" t="s">
        <v>59</v>
      </c>
      <c r="H23" s="157" t="s">
        <v>288</v>
      </c>
      <c r="I23" s="184" t="s">
        <v>295</v>
      </c>
      <c r="J23" s="157" t="s">
        <v>340</v>
      </c>
      <c r="K23" s="161" t="s">
        <v>170</v>
      </c>
    </row>
    <row r="24" spans="1:11" ht="16" hidden="1">
      <c r="A24" s="141" t="str">
        <f t="shared" si="0"/>
        <v>065205</v>
      </c>
      <c r="B24" s="158">
        <v>1061</v>
      </c>
      <c r="C24" s="159">
        <v>42996</v>
      </c>
      <c r="D24" s="152" t="s">
        <v>313</v>
      </c>
      <c r="E24" s="160" t="s">
        <v>178</v>
      </c>
      <c r="F24" s="157" t="s">
        <v>314</v>
      </c>
      <c r="G24" s="157" t="s">
        <v>59</v>
      </c>
      <c r="H24" s="157" t="s">
        <v>134</v>
      </c>
      <c r="I24" s="184" t="s">
        <v>295</v>
      </c>
      <c r="J24" s="157" t="s">
        <v>340</v>
      </c>
      <c r="K24" s="161" t="s">
        <v>320</v>
      </c>
    </row>
    <row r="25" spans="1:11" ht="16" hidden="1">
      <c r="A25" s="141" t="str">
        <f t="shared" si="0"/>
        <v>062234</v>
      </c>
      <c r="B25" s="158">
        <v>1061</v>
      </c>
      <c r="C25" s="159">
        <v>43003</v>
      </c>
      <c r="D25" s="152" t="s">
        <v>331</v>
      </c>
      <c r="E25" s="160" t="s">
        <v>327</v>
      </c>
      <c r="F25" s="157" t="s">
        <v>328</v>
      </c>
      <c r="G25" s="157" t="s">
        <v>329</v>
      </c>
      <c r="H25" s="157" t="s">
        <v>330</v>
      </c>
      <c r="I25" s="184" t="s">
        <v>295</v>
      </c>
      <c r="J25" s="157" t="s">
        <v>340</v>
      </c>
      <c r="K25" s="161" t="s">
        <v>332</v>
      </c>
    </row>
    <row r="26" spans="1:11" ht="16" hidden="1">
      <c r="A26" s="141" t="str">
        <f t="shared" si="0"/>
        <v>053217</v>
      </c>
      <c r="B26" s="158">
        <v>1061</v>
      </c>
      <c r="C26" s="159">
        <v>43003</v>
      </c>
      <c r="D26" s="152" t="s">
        <v>136</v>
      </c>
      <c r="E26" s="160" t="s">
        <v>147</v>
      </c>
      <c r="F26" s="157" t="s">
        <v>149</v>
      </c>
      <c r="G26" s="157" t="s">
        <v>59</v>
      </c>
      <c r="H26" s="157" t="s">
        <v>134</v>
      </c>
      <c r="I26" s="157" t="s">
        <v>295</v>
      </c>
      <c r="J26" s="157" t="s">
        <v>159</v>
      </c>
      <c r="K26" s="161" t="s">
        <v>333</v>
      </c>
    </row>
    <row r="27" spans="1:11" ht="16" hidden="1">
      <c r="A27" s="141" t="str">
        <f t="shared" si="0"/>
        <v>052232</v>
      </c>
      <c r="B27" s="158">
        <v>1061</v>
      </c>
      <c r="C27" s="159">
        <v>43014</v>
      </c>
      <c r="D27" s="152" t="s">
        <v>247</v>
      </c>
      <c r="E27" s="160" t="s">
        <v>334</v>
      </c>
      <c r="F27" s="157" t="s">
        <v>335</v>
      </c>
      <c r="G27" s="157" t="s">
        <v>336</v>
      </c>
      <c r="H27" s="157" t="s">
        <v>337</v>
      </c>
      <c r="I27" s="157" t="s">
        <v>295</v>
      </c>
      <c r="J27" s="157" t="s">
        <v>159</v>
      </c>
      <c r="K27" s="161" t="s">
        <v>337</v>
      </c>
    </row>
    <row r="28" spans="1:11" ht="16" hidden="1">
      <c r="A28" s="141" t="str">
        <f t="shared" si="0"/>
        <v>031307</v>
      </c>
      <c r="B28" s="158">
        <v>1061</v>
      </c>
      <c r="C28" s="159">
        <v>43014</v>
      </c>
      <c r="D28" s="152" t="s">
        <v>160</v>
      </c>
      <c r="E28" s="160" t="s">
        <v>338</v>
      </c>
      <c r="F28" s="157" t="s">
        <v>339</v>
      </c>
      <c r="G28" s="157" t="s">
        <v>336</v>
      </c>
      <c r="H28" s="157" t="s">
        <v>337</v>
      </c>
      <c r="I28" s="157" t="s">
        <v>295</v>
      </c>
      <c r="J28" s="157" t="s">
        <v>159</v>
      </c>
      <c r="K28" s="161" t="s">
        <v>337</v>
      </c>
    </row>
    <row r="29" spans="1:11" ht="16" hidden="1">
      <c r="A29" s="141" t="str">
        <f t="shared" si="0"/>
        <v>043222</v>
      </c>
      <c r="B29" s="158">
        <v>1061</v>
      </c>
      <c r="C29" s="159">
        <v>43026</v>
      </c>
      <c r="D29" s="152" t="s">
        <v>346</v>
      </c>
      <c r="E29" s="160" t="s">
        <v>341</v>
      </c>
      <c r="F29" s="157" t="s">
        <v>342</v>
      </c>
      <c r="G29" s="157" t="s">
        <v>343</v>
      </c>
      <c r="H29" s="157" t="s">
        <v>344</v>
      </c>
      <c r="I29" s="157" t="s">
        <v>295</v>
      </c>
      <c r="J29" s="157" t="s">
        <v>159</v>
      </c>
      <c r="K29" s="161" t="s">
        <v>345</v>
      </c>
    </row>
    <row r="30" spans="1:11" ht="16" hidden="1">
      <c r="A30" s="141" t="str">
        <f t="shared" si="0"/>
        <v>053116</v>
      </c>
      <c r="B30" s="158">
        <v>1061</v>
      </c>
      <c r="C30" s="159">
        <v>43049</v>
      </c>
      <c r="D30" s="152" t="s">
        <v>347</v>
      </c>
      <c r="E30" s="160" t="s">
        <v>348</v>
      </c>
      <c r="F30" s="157" t="s">
        <v>349</v>
      </c>
      <c r="G30" s="157" t="s">
        <v>343</v>
      </c>
      <c r="H30" s="157" t="s">
        <v>344</v>
      </c>
      <c r="I30" s="157" t="s">
        <v>295</v>
      </c>
      <c r="J30" s="157" t="s">
        <v>159</v>
      </c>
      <c r="K30" s="161" t="s">
        <v>345</v>
      </c>
    </row>
    <row r="31" spans="1:11" ht="16" hidden="1">
      <c r="A31" s="141" t="str">
        <f t="shared" si="0"/>
        <v>068207</v>
      </c>
      <c r="B31" s="158">
        <v>1061</v>
      </c>
      <c r="C31" s="159">
        <v>43054</v>
      </c>
      <c r="D31" s="152" t="s">
        <v>350</v>
      </c>
      <c r="E31" s="160" t="s">
        <v>351</v>
      </c>
      <c r="F31" s="157" t="s">
        <v>352</v>
      </c>
      <c r="G31" s="157" t="s">
        <v>353</v>
      </c>
      <c r="H31" s="157" t="s">
        <v>344</v>
      </c>
      <c r="I31" s="157" t="s">
        <v>354</v>
      </c>
      <c r="J31" s="157" t="s">
        <v>159</v>
      </c>
      <c r="K31" s="161" t="s">
        <v>344</v>
      </c>
    </row>
    <row r="32" spans="1:11" ht="16" hidden="1">
      <c r="A32" s="141" t="str">
        <f t="shared" si="0"/>
        <v>031307</v>
      </c>
      <c r="B32" s="158">
        <v>1061</v>
      </c>
      <c r="C32" s="159">
        <v>43045</v>
      </c>
      <c r="D32" s="152" t="s">
        <v>355</v>
      </c>
      <c r="E32" s="160" t="s">
        <v>338</v>
      </c>
      <c r="F32" s="157" t="s">
        <v>356</v>
      </c>
      <c r="G32" s="157" t="s">
        <v>357</v>
      </c>
      <c r="H32" s="157" t="s">
        <v>358</v>
      </c>
      <c r="I32" s="157" t="s">
        <v>359</v>
      </c>
      <c r="J32" s="157" t="s">
        <v>360</v>
      </c>
      <c r="K32" s="161" t="s">
        <v>361</v>
      </c>
    </row>
    <row r="33" spans="1:11" ht="16" hidden="1">
      <c r="A33" s="141" t="str">
        <f t="shared" si="0"/>
        <v>061111</v>
      </c>
      <c r="B33" s="158">
        <v>1061</v>
      </c>
      <c r="C33" s="159">
        <v>43062</v>
      </c>
      <c r="D33" s="152" t="s">
        <v>362</v>
      </c>
      <c r="E33" s="160" t="s">
        <v>363</v>
      </c>
      <c r="F33" s="157" t="s">
        <v>364</v>
      </c>
      <c r="G33" s="157" t="s">
        <v>357</v>
      </c>
      <c r="H33" s="157" t="s">
        <v>365</v>
      </c>
      <c r="I33" s="157" t="s">
        <v>359</v>
      </c>
      <c r="J33" s="157" t="s">
        <v>360</v>
      </c>
      <c r="K33" s="161" t="s">
        <v>365</v>
      </c>
    </row>
    <row r="34" spans="1:11" ht="16" hidden="1">
      <c r="A34" s="141" t="str">
        <f t="shared" si="0"/>
        <v>064130</v>
      </c>
      <c r="B34" s="158">
        <v>1061</v>
      </c>
      <c r="C34" s="159">
        <v>43077</v>
      </c>
      <c r="D34" s="152" t="s">
        <v>366</v>
      </c>
      <c r="E34" s="160" t="s">
        <v>367</v>
      </c>
      <c r="F34" s="157" t="s">
        <v>368</v>
      </c>
      <c r="G34" s="157" t="s">
        <v>369</v>
      </c>
      <c r="H34" s="157" t="s">
        <v>370</v>
      </c>
      <c r="I34" s="157" t="s">
        <v>371</v>
      </c>
      <c r="J34" s="157" t="s">
        <v>372</v>
      </c>
      <c r="K34" s="161" t="s">
        <v>370</v>
      </c>
    </row>
    <row r="35" spans="1:11" ht="16" hidden="1">
      <c r="A35" s="141" t="str">
        <f t="shared" si="0"/>
        <v>052107</v>
      </c>
      <c r="B35" s="158">
        <v>1061</v>
      </c>
      <c r="C35" s="159">
        <v>43077</v>
      </c>
      <c r="D35" s="152" t="s">
        <v>373</v>
      </c>
      <c r="E35" s="160" t="s">
        <v>374</v>
      </c>
      <c r="F35" s="157" t="s">
        <v>375</v>
      </c>
      <c r="G35" s="157" t="s">
        <v>369</v>
      </c>
      <c r="H35" s="157" t="s">
        <v>370</v>
      </c>
      <c r="I35" s="157" t="s">
        <v>376</v>
      </c>
      <c r="J35" s="157" t="s">
        <v>159</v>
      </c>
      <c r="K35" s="161" t="s">
        <v>370</v>
      </c>
    </row>
    <row r="36" spans="1:11" ht="16" hidden="1">
      <c r="A36" s="141" t="str">
        <f t="shared" si="0"/>
        <v>054116</v>
      </c>
      <c r="B36" s="158">
        <v>1061</v>
      </c>
      <c r="C36" s="159">
        <v>43090</v>
      </c>
      <c r="D36" s="152" t="s">
        <v>377</v>
      </c>
      <c r="E36" s="160" t="s">
        <v>378</v>
      </c>
      <c r="F36" s="157" t="s">
        <v>379</v>
      </c>
      <c r="G36" s="157" t="s">
        <v>380</v>
      </c>
      <c r="H36" s="157" t="s">
        <v>381</v>
      </c>
      <c r="I36" s="157" t="s">
        <v>295</v>
      </c>
      <c r="J36" s="157" t="s">
        <v>159</v>
      </c>
      <c r="K36" s="161" t="s">
        <v>131</v>
      </c>
    </row>
    <row r="37" spans="1:11" ht="16" hidden="1">
      <c r="A37" s="141" t="str">
        <f t="shared" si="0"/>
        <v>053232</v>
      </c>
      <c r="B37" s="158">
        <v>1061</v>
      </c>
      <c r="C37" s="159">
        <v>43095</v>
      </c>
      <c r="D37" s="152" t="s">
        <v>382</v>
      </c>
      <c r="E37" s="160" t="s">
        <v>383</v>
      </c>
      <c r="F37" s="157" t="s">
        <v>384</v>
      </c>
      <c r="G37" s="157" t="s">
        <v>385</v>
      </c>
      <c r="H37" s="157" t="s">
        <v>386</v>
      </c>
      <c r="I37" s="157" t="s">
        <v>295</v>
      </c>
      <c r="J37" s="157" t="s">
        <v>159</v>
      </c>
      <c r="K37" s="161" t="s">
        <v>386</v>
      </c>
    </row>
    <row r="38" spans="1:11" ht="16" hidden="1">
      <c r="A38" s="141" t="str">
        <f t="shared" si="0"/>
        <v>052114</v>
      </c>
      <c r="B38" s="158">
        <v>1061</v>
      </c>
      <c r="C38" s="159">
        <v>43102</v>
      </c>
      <c r="D38" s="152" t="s">
        <v>387</v>
      </c>
      <c r="E38" s="160" t="s">
        <v>388</v>
      </c>
      <c r="F38" s="157" t="s">
        <v>389</v>
      </c>
      <c r="G38" s="157" t="s">
        <v>390</v>
      </c>
      <c r="H38" s="157" t="s">
        <v>391</v>
      </c>
      <c r="I38" s="157" t="s">
        <v>392</v>
      </c>
      <c r="J38" s="157" t="s">
        <v>393</v>
      </c>
      <c r="K38" s="161" t="s">
        <v>394</v>
      </c>
    </row>
    <row r="39" spans="1:11" ht="16" hidden="1">
      <c r="A39" s="141" t="str">
        <f t="shared" si="0"/>
        <v>051207</v>
      </c>
      <c r="B39" s="158">
        <v>1061</v>
      </c>
      <c r="C39" s="159">
        <v>43103</v>
      </c>
      <c r="D39" s="152" t="s">
        <v>395</v>
      </c>
      <c r="E39" s="160" t="s">
        <v>396</v>
      </c>
      <c r="F39" s="157" t="s">
        <v>397</v>
      </c>
      <c r="G39" s="157" t="s">
        <v>398</v>
      </c>
      <c r="H39" s="157" t="s">
        <v>399</v>
      </c>
      <c r="I39" s="157" t="s">
        <v>295</v>
      </c>
      <c r="J39" s="157" t="s">
        <v>159</v>
      </c>
      <c r="K39" s="161" t="s">
        <v>399</v>
      </c>
    </row>
    <row r="40" spans="1:11" ht="16" hidden="1">
      <c r="A40" s="141" t="str">
        <f t="shared" si="0"/>
        <v>062408</v>
      </c>
      <c r="B40" s="158">
        <v>1061</v>
      </c>
      <c r="C40" s="159">
        <v>43110</v>
      </c>
      <c r="D40" s="152" t="s">
        <v>52</v>
      </c>
      <c r="E40" s="160" t="s">
        <v>182</v>
      </c>
      <c r="F40" s="157" t="s">
        <v>183</v>
      </c>
      <c r="G40" s="157" t="s">
        <v>59</v>
      </c>
      <c r="H40" s="157" t="s">
        <v>127</v>
      </c>
      <c r="I40" s="157" t="s">
        <v>295</v>
      </c>
      <c r="J40" s="157" t="s">
        <v>401</v>
      </c>
      <c r="K40" s="161" t="s">
        <v>403</v>
      </c>
    </row>
    <row r="41" spans="1:11" ht="16" hidden="1">
      <c r="A41" s="141" t="str">
        <f t="shared" si="0"/>
        <v>063336</v>
      </c>
      <c r="B41" s="158">
        <v>1061</v>
      </c>
      <c r="C41" s="159">
        <v>43110</v>
      </c>
      <c r="D41" s="152" t="s">
        <v>61</v>
      </c>
      <c r="E41" s="160" t="s">
        <v>216</v>
      </c>
      <c r="F41" s="157" t="s">
        <v>400</v>
      </c>
      <c r="G41" s="157" t="s">
        <v>60</v>
      </c>
      <c r="H41" s="157" t="s">
        <v>127</v>
      </c>
      <c r="I41" s="157" t="s">
        <v>295</v>
      </c>
      <c r="J41" s="157" t="s">
        <v>402</v>
      </c>
      <c r="K41" s="161" t="s">
        <v>404</v>
      </c>
    </row>
    <row r="42" spans="1:11" ht="16" hidden="1">
      <c r="A42" s="141" t="str">
        <f t="shared" si="0"/>
        <v>065224</v>
      </c>
      <c r="B42" s="158">
        <v>1061</v>
      </c>
      <c r="C42" s="159">
        <v>43110</v>
      </c>
      <c r="D42" s="152" t="s">
        <v>58</v>
      </c>
      <c r="E42" s="160" t="s">
        <v>199</v>
      </c>
      <c r="F42" s="157" t="s">
        <v>200</v>
      </c>
      <c r="G42" s="157" t="s">
        <v>59</v>
      </c>
      <c r="H42" s="157" t="s">
        <v>127</v>
      </c>
      <c r="I42" s="157" t="s">
        <v>295</v>
      </c>
      <c r="J42" s="157" t="s">
        <v>402</v>
      </c>
      <c r="K42" s="161" t="s">
        <v>404</v>
      </c>
    </row>
    <row r="43" spans="1:11" ht="16" hidden="1">
      <c r="A43" s="141" t="str">
        <f t="shared" si="0"/>
        <v>062301</v>
      </c>
      <c r="B43" s="158">
        <v>1061</v>
      </c>
      <c r="C43" s="159">
        <v>43110</v>
      </c>
      <c r="D43" s="152" t="s">
        <v>51</v>
      </c>
      <c r="E43" s="160" t="s">
        <v>172</v>
      </c>
      <c r="F43" s="157" t="s">
        <v>173</v>
      </c>
      <c r="G43" s="157" t="s">
        <v>59</v>
      </c>
      <c r="H43" s="157" t="s">
        <v>127</v>
      </c>
      <c r="I43" s="157" t="s">
        <v>295</v>
      </c>
      <c r="J43" s="157" t="s">
        <v>401</v>
      </c>
      <c r="K43" s="161" t="s">
        <v>404</v>
      </c>
    </row>
    <row r="44" spans="1:11" ht="16" hidden="1">
      <c r="A44" s="141" t="str">
        <f t="shared" si="0"/>
        <v>051321</v>
      </c>
      <c r="B44" s="158">
        <v>1061</v>
      </c>
      <c r="C44" s="185">
        <v>43115</v>
      </c>
      <c r="D44" s="152" t="s">
        <v>405</v>
      </c>
      <c r="E44" s="186" t="s">
        <v>406</v>
      </c>
      <c r="F44" s="152" t="s">
        <v>407</v>
      </c>
      <c r="G44" s="152" t="s">
        <v>408</v>
      </c>
      <c r="H44" s="152" t="s">
        <v>409</v>
      </c>
      <c r="I44" s="152" t="s">
        <v>295</v>
      </c>
      <c r="J44" s="152" t="s">
        <v>417</v>
      </c>
      <c r="K44" s="187" t="s">
        <v>410</v>
      </c>
    </row>
    <row r="45" spans="1:11" ht="16" hidden="1">
      <c r="A45" s="141" t="str">
        <f t="shared" si="0"/>
        <v>063111</v>
      </c>
      <c r="B45" s="158">
        <v>1062</v>
      </c>
      <c r="C45" s="191">
        <v>43119</v>
      </c>
      <c r="D45" s="152" t="s">
        <v>411</v>
      </c>
      <c r="E45" s="186" t="s">
        <v>412</v>
      </c>
      <c r="F45" s="152" t="s">
        <v>413</v>
      </c>
      <c r="G45" s="152" t="s">
        <v>414</v>
      </c>
      <c r="H45" s="152" t="s">
        <v>415</v>
      </c>
      <c r="I45" s="152" t="s">
        <v>295</v>
      </c>
      <c r="J45" s="152" t="s">
        <v>159</v>
      </c>
      <c r="K45" s="187" t="s">
        <v>416</v>
      </c>
    </row>
    <row r="46" spans="1:11" ht="16" hidden="1">
      <c r="A46" s="141" t="str">
        <f t="shared" si="0"/>
        <v>062425</v>
      </c>
      <c r="B46" s="158">
        <v>1062</v>
      </c>
      <c r="C46" s="191">
        <v>43124</v>
      </c>
      <c r="D46" s="152" t="s">
        <v>418</v>
      </c>
      <c r="E46" s="186" t="s">
        <v>419</v>
      </c>
      <c r="F46" s="152" t="s">
        <v>420</v>
      </c>
      <c r="G46" s="152" t="s">
        <v>421</v>
      </c>
      <c r="H46" s="152" t="s">
        <v>422</v>
      </c>
      <c r="I46" s="152" t="s">
        <v>295</v>
      </c>
      <c r="J46" s="152" t="s">
        <v>159</v>
      </c>
      <c r="K46" s="187" t="s">
        <v>410</v>
      </c>
    </row>
    <row r="47" spans="1:11" ht="16" hidden="1">
      <c r="A47" s="141" t="str">
        <f t="shared" si="0"/>
        <v>063327</v>
      </c>
      <c r="B47" s="158">
        <v>1062</v>
      </c>
      <c r="C47" s="191">
        <v>43124</v>
      </c>
      <c r="D47" s="152" t="s">
        <v>171</v>
      </c>
      <c r="E47" s="186" t="s">
        <v>423</v>
      </c>
      <c r="F47" s="152" t="s">
        <v>424</v>
      </c>
      <c r="G47" s="152" t="s">
        <v>421</v>
      </c>
      <c r="H47" s="152" t="s">
        <v>425</v>
      </c>
      <c r="I47" s="152" t="s">
        <v>295</v>
      </c>
      <c r="J47" s="152" t="s">
        <v>159</v>
      </c>
      <c r="K47" s="187" t="s">
        <v>410</v>
      </c>
    </row>
    <row r="48" spans="1:11" ht="16" hidden="1">
      <c r="A48" s="141" t="str">
        <f t="shared" si="0"/>
        <v>067104</v>
      </c>
      <c r="B48" s="158">
        <v>1062</v>
      </c>
      <c r="C48" s="191">
        <v>43129</v>
      </c>
      <c r="D48" s="152" t="s">
        <v>427</v>
      </c>
      <c r="E48" s="186" t="s">
        <v>428</v>
      </c>
      <c r="F48" s="152" t="s">
        <v>429</v>
      </c>
      <c r="G48" s="152" t="s">
        <v>426</v>
      </c>
      <c r="H48" s="152" t="s">
        <v>675</v>
      </c>
      <c r="I48" s="152" t="s">
        <v>295</v>
      </c>
      <c r="J48" s="152" t="s">
        <v>430</v>
      </c>
      <c r="K48" s="187" t="s">
        <v>766</v>
      </c>
    </row>
    <row r="49" spans="1:11" ht="16" hidden="1">
      <c r="A49" s="141" t="str">
        <f t="shared" si="0"/>
        <v>061309</v>
      </c>
      <c r="B49" s="158">
        <v>1062</v>
      </c>
      <c r="C49" s="191">
        <v>43131</v>
      </c>
      <c r="D49" s="152" t="s">
        <v>439</v>
      </c>
      <c r="E49" s="186" t="s">
        <v>440</v>
      </c>
      <c r="F49" s="152" t="s">
        <v>441</v>
      </c>
      <c r="G49" s="152" t="s">
        <v>434</v>
      </c>
      <c r="H49" s="152" t="s">
        <v>675</v>
      </c>
      <c r="I49" s="152" t="s">
        <v>442</v>
      </c>
      <c r="J49" s="152" t="s">
        <v>159</v>
      </c>
      <c r="K49" s="187" t="s">
        <v>767</v>
      </c>
    </row>
    <row r="50" spans="1:11" ht="16" hidden="1">
      <c r="A50" s="141" t="str">
        <f t="shared" si="0"/>
        <v>058110</v>
      </c>
      <c r="B50" s="158">
        <v>1062</v>
      </c>
      <c r="C50" s="191">
        <v>43132</v>
      </c>
      <c r="D50" s="152" t="s">
        <v>443</v>
      </c>
      <c r="E50" s="186" t="s">
        <v>444</v>
      </c>
      <c r="F50" s="152" t="s">
        <v>445</v>
      </c>
      <c r="G50" s="152" t="s">
        <v>446</v>
      </c>
      <c r="H50" s="152" t="s">
        <v>675</v>
      </c>
      <c r="I50" s="152" t="s">
        <v>442</v>
      </c>
      <c r="J50" s="152" t="s">
        <v>159</v>
      </c>
      <c r="K50" s="187" t="s">
        <v>768</v>
      </c>
    </row>
    <row r="51" spans="1:11" ht="16" hidden="1">
      <c r="A51" s="141" t="str">
        <f t="shared" si="0"/>
        <v>061102</v>
      </c>
      <c r="B51" s="158">
        <v>1062</v>
      </c>
      <c r="C51" s="191">
        <v>43133</v>
      </c>
      <c r="D51" s="152" t="s">
        <v>431</v>
      </c>
      <c r="E51" s="186" t="s">
        <v>432</v>
      </c>
      <c r="F51" s="152" t="s">
        <v>433</v>
      </c>
      <c r="G51" s="152" t="s">
        <v>434</v>
      </c>
      <c r="H51" s="152" t="s">
        <v>435</v>
      </c>
      <c r="I51" s="152" t="s">
        <v>295</v>
      </c>
      <c r="J51" s="152" t="s">
        <v>159</v>
      </c>
      <c r="K51" s="187" t="s">
        <v>410</v>
      </c>
    </row>
    <row r="52" spans="1:11" ht="16" hidden="1">
      <c r="A52" s="141" t="str">
        <f t="shared" si="0"/>
        <v>064234</v>
      </c>
      <c r="B52" s="158">
        <v>1062</v>
      </c>
      <c r="C52" s="191">
        <v>43133</v>
      </c>
      <c r="D52" s="152" t="s">
        <v>436</v>
      </c>
      <c r="E52" s="186" t="s">
        <v>437</v>
      </c>
      <c r="F52" s="152" t="s">
        <v>438</v>
      </c>
      <c r="G52" s="152" t="s">
        <v>434</v>
      </c>
      <c r="H52" s="152" t="s">
        <v>675</v>
      </c>
      <c r="I52" s="152" t="s">
        <v>295</v>
      </c>
      <c r="J52" s="152" t="s">
        <v>159</v>
      </c>
      <c r="K52" s="187" t="s">
        <v>769</v>
      </c>
    </row>
    <row r="53" spans="1:11" ht="16" hidden="1">
      <c r="A53" s="141" t="str">
        <f t="shared" si="0"/>
        <v>065101</v>
      </c>
      <c r="B53" s="158">
        <v>1062</v>
      </c>
      <c r="C53" s="191">
        <v>43136</v>
      </c>
      <c r="D53" s="152" t="s">
        <v>447</v>
      </c>
      <c r="E53" s="186" t="s">
        <v>448</v>
      </c>
      <c r="F53" s="152" t="s">
        <v>449</v>
      </c>
      <c r="G53" s="152" t="s">
        <v>434</v>
      </c>
      <c r="H53" s="152" t="s">
        <v>675</v>
      </c>
      <c r="I53" s="152" t="s">
        <v>442</v>
      </c>
      <c r="J53" s="152" t="s">
        <v>159</v>
      </c>
      <c r="K53" s="187" t="s">
        <v>770</v>
      </c>
    </row>
    <row r="54" spans="1:11" ht="16" hidden="1">
      <c r="A54" s="141" t="str">
        <f t="shared" si="0"/>
        <v>062320</v>
      </c>
      <c r="B54" s="158">
        <v>1062</v>
      </c>
      <c r="C54" s="191">
        <v>43138</v>
      </c>
      <c r="D54" s="152" t="s">
        <v>450</v>
      </c>
      <c r="E54" s="186" t="s">
        <v>451</v>
      </c>
      <c r="F54" s="152" t="s">
        <v>452</v>
      </c>
      <c r="G54" s="152" t="s">
        <v>453</v>
      </c>
      <c r="H54" s="152" t="s">
        <v>675</v>
      </c>
      <c r="I54" s="152" t="s">
        <v>454</v>
      </c>
      <c r="J54" s="152" t="s">
        <v>455</v>
      </c>
      <c r="K54" s="187" t="s">
        <v>770</v>
      </c>
    </row>
    <row r="55" spans="1:11" ht="16" hidden="1">
      <c r="A55" s="141" t="str">
        <f t="shared" si="0"/>
        <v>065126</v>
      </c>
      <c r="B55" s="158">
        <v>1062</v>
      </c>
      <c r="C55" s="191">
        <v>43140</v>
      </c>
      <c r="D55" s="152" t="s">
        <v>456</v>
      </c>
      <c r="E55" s="186" t="s">
        <v>457</v>
      </c>
      <c r="F55" s="152" t="s">
        <v>458</v>
      </c>
      <c r="G55" s="152" t="s">
        <v>462</v>
      </c>
      <c r="H55" s="152" t="s">
        <v>675</v>
      </c>
      <c r="I55" s="152" t="s">
        <v>295</v>
      </c>
      <c r="J55" s="152" t="s">
        <v>159</v>
      </c>
      <c r="K55" s="187" t="s">
        <v>770</v>
      </c>
    </row>
    <row r="56" spans="1:11" ht="16" hidden="1">
      <c r="A56" s="141" t="str">
        <f t="shared" si="0"/>
        <v>061227</v>
      </c>
      <c r="B56" s="158">
        <v>1062</v>
      </c>
      <c r="C56" s="191">
        <v>43143</v>
      </c>
      <c r="D56" s="152" t="s">
        <v>460</v>
      </c>
      <c r="E56" s="186" t="s">
        <v>459</v>
      </c>
      <c r="F56" s="152" t="s">
        <v>461</v>
      </c>
      <c r="G56" s="152" t="s">
        <v>462</v>
      </c>
      <c r="H56" s="152" t="s">
        <v>675</v>
      </c>
      <c r="I56" s="152" t="s">
        <v>295</v>
      </c>
      <c r="J56" s="152" t="s">
        <v>159</v>
      </c>
      <c r="K56" s="187" t="s">
        <v>771</v>
      </c>
    </row>
    <row r="57" spans="1:11" ht="16" hidden="1">
      <c r="A57" s="141" t="str">
        <f t="shared" si="0"/>
        <v>055206</v>
      </c>
      <c r="B57" s="158">
        <v>1062</v>
      </c>
      <c r="C57" s="191">
        <v>43152</v>
      </c>
      <c r="D57" s="152" t="s">
        <v>463</v>
      </c>
      <c r="E57" s="186" t="s">
        <v>464</v>
      </c>
      <c r="F57" s="152" t="s">
        <v>465</v>
      </c>
      <c r="G57" s="152" t="s">
        <v>466</v>
      </c>
      <c r="H57" s="152" t="s">
        <v>467</v>
      </c>
      <c r="I57" s="152" t="s">
        <v>468</v>
      </c>
      <c r="J57" s="152" t="s">
        <v>159</v>
      </c>
      <c r="K57" s="187" t="s">
        <v>469</v>
      </c>
    </row>
    <row r="58" spans="1:11" ht="16" hidden="1">
      <c r="A58" s="141" t="str">
        <f t="shared" si="0"/>
        <v>065223</v>
      </c>
      <c r="B58" s="158">
        <v>1062</v>
      </c>
      <c r="C58" s="191">
        <v>43154</v>
      </c>
      <c r="D58" s="152" t="s">
        <v>470</v>
      </c>
      <c r="E58" s="186" t="s">
        <v>471</v>
      </c>
      <c r="F58" s="152" t="s">
        <v>472</v>
      </c>
      <c r="G58" s="152" t="s">
        <v>466</v>
      </c>
      <c r="H58" s="152" t="s">
        <v>467</v>
      </c>
      <c r="I58" s="152" t="s">
        <v>468</v>
      </c>
      <c r="J58" s="152" t="s">
        <v>159</v>
      </c>
      <c r="K58" s="187" t="s">
        <v>473</v>
      </c>
    </row>
    <row r="59" spans="1:11" ht="16" hidden="1">
      <c r="A59" s="141" t="str">
        <f t="shared" si="0"/>
        <v>043134</v>
      </c>
      <c r="B59" s="158">
        <v>1062</v>
      </c>
      <c r="C59" s="191">
        <v>43166</v>
      </c>
      <c r="D59" s="188" t="s">
        <v>480</v>
      </c>
      <c r="E59" s="186" t="s">
        <v>481</v>
      </c>
      <c r="F59" s="153" t="s">
        <v>482</v>
      </c>
      <c r="G59" s="153" t="s">
        <v>477</v>
      </c>
      <c r="H59" s="153" t="s">
        <v>478</v>
      </c>
      <c r="I59" s="153" t="s">
        <v>295</v>
      </c>
      <c r="J59" s="152" t="s">
        <v>159</v>
      </c>
      <c r="K59" s="189" t="s">
        <v>483</v>
      </c>
    </row>
    <row r="60" spans="1:11" ht="16" hidden="1">
      <c r="A60" s="141" t="str">
        <f t="shared" ref="A60:A123" si="1">TRIM(E60)</f>
        <v>042217</v>
      </c>
      <c r="B60" s="158">
        <v>1062</v>
      </c>
      <c r="C60" s="191">
        <v>43171</v>
      </c>
      <c r="D60" s="188" t="s">
        <v>484</v>
      </c>
      <c r="E60" s="186" t="s">
        <v>485</v>
      </c>
      <c r="F60" s="152" t="s">
        <v>486</v>
      </c>
      <c r="G60" s="152" t="s">
        <v>477</v>
      </c>
      <c r="H60" s="152" t="s">
        <v>478</v>
      </c>
      <c r="I60" s="152" t="s">
        <v>487</v>
      </c>
      <c r="J60" s="152" t="s">
        <v>159</v>
      </c>
      <c r="K60" s="187" t="s">
        <v>488</v>
      </c>
    </row>
    <row r="61" spans="1:11" ht="16" hidden="1">
      <c r="A61" s="141" t="str">
        <f t="shared" si="1"/>
        <v>063101</v>
      </c>
      <c r="B61" s="158">
        <v>1062</v>
      </c>
      <c r="C61" s="191">
        <v>43174</v>
      </c>
      <c r="D61" s="152" t="s">
        <v>474</v>
      </c>
      <c r="E61" s="186" t="s">
        <v>475</v>
      </c>
      <c r="F61" s="152" t="s">
        <v>476</v>
      </c>
      <c r="G61" s="152" t="s">
        <v>477</v>
      </c>
      <c r="H61" s="152" t="s">
        <v>478</v>
      </c>
      <c r="I61" s="152" t="s">
        <v>295</v>
      </c>
      <c r="J61" s="152" t="s">
        <v>159</v>
      </c>
      <c r="K61" s="187" t="s">
        <v>479</v>
      </c>
    </row>
    <row r="62" spans="1:11" ht="16" hidden="1">
      <c r="A62" s="141" t="str">
        <f t="shared" si="1"/>
        <v>043134</v>
      </c>
      <c r="B62" s="158">
        <v>1062</v>
      </c>
      <c r="C62" s="191">
        <v>43178</v>
      </c>
      <c r="D62" s="152" t="s">
        <v>162</v>
      </c>
      <c r="E62" s="186" t="s">
        <v>481</v>
      </c>
      <c r="F62" s="153" t="s">
        <v>482</v>
      </c>
      <c r="G62" s="153" t="s">
        <v>7</v>
      </c>
      <c r="H62" s="189" t="s">
        <v>489</v>
      </c>
      <c r="I62" s="153" t="s">
        <v>499</v>
      </c>
      <c r="J62" s="152" t="s">
        <v>159</v>
      </c>
      <c r="K62" s="189" t="s">
        <v>489</v>
      </c>
    </row>
    <row r="63" spans="1:11" ht="16" hidden="1">
      <c r="A63" s="141" t="str">
        <f t="shared" si="1"/>
        <v>063125</v>
      </c>
      <c r="B63" s="158">
        <v>1062</v>
      </c>
      <c r="C63" s="191">
        <v>43180</v>
      </c>
      <c r="D63" s="152" t="s">
        <v>490</v>
      </c>
      <c r="E63" s="186" t="s">
        <v>491</v>
      </c>
      <c r="F63" s="152" t="s">
        <v>492</v>
      </c>
      <c r="G63" s="152" t="s">
        <v>493</v>
      </c>
      <c r="H63" s="152" t="s">
        <v>494</v>
      </c>
      <c r="I63" s="152" t="s">
        <v>495</v>
      </c>
      <c r="J63" s="152" t="s">
        <v>159</v>
      </c>
      <c r="K63" s="187" t="s">
        <v>410</v>
      </c>
    </row>
    <row r="64" spans="1:11" ht="16" hidden="1">
      <c r="A64" s="141" t="str">
        <f t="shared" si="1"/>
        <v>061102</v>
      </c>
      <c r="B64" s="158">
        <v>1062</v>
      </c>
      <c r="C64" s="191">
        <v>43221</v>
      </c>
      <c r="D64" s="152" t="s">
        <v>158</v>
      </c>
      <c r="E64" s="186" t="s">
        <v>432</v>
      </c>
      <c r="F64" s="152" t="s">
        <v>433</v>
      </c>
      <c r="G64" s="152" t="s">
        <v>7</v>
      </c>
      <c r="H64" s="152" t="s">
        <v>675</v>
      </c>
      <c r="I64" s="152" t="s">
        <v>500</v>
      </c>
      <c r="J64" s="152" t="s">
        <v>159</v>
      </c>
      <c r="K64" s="187" t="s">
        <v>501</v>
      </c>
    </row>
    <row r="65" spans="1:11" ht="16" hidden="1">
      <c r="A65" s="141" t="str">
        <f t="shared" si="1"/>
        <v>052208</v>
      </c>
      <c r="B65" s="158">
        <v>1062</v>
      </c>
      <c r="C65" s="191">
        <v>43221</v>
      </c>
      <c r="D65" s="152" t="s">
        <v>496</v>
      </c>
      <c r="E65" s="186" t="s">
        <v>497</v>
      </c>
      <c r="F65" s="152" t="s">
        <v>144</v>
      </c>
      <c r="G65" s="152" t="s">
        <v>7</v>
      </c>
      <c r="H65" s="152" t="s">
        <v>675</v>
      </c>
      <c r="I65" s="152" t="s">
        <v>295</v>
      </c>
      <c r="J65" s="152" t="s">
        <v>159</v>
      </c>
      <c r="K65" s="187" t="s">
        <v>498</v>
      </c>
    </row>
    <row r="66" spans="1:11" ht="16" hidden="1">
      <c r="A66" s="141" t="str">
        <f t="shared" si="1"/>
        <v>065109</v>
      </c>
      <c r="B66" s="158">
        <v>1062</v>
      </c>
      <c r="C66" s="191">
        <v>43273</v>
      </c>
      <c r="D66" s="152" t="s">
        <v>502</v>
      </c>
      <c r="E66" s="186" t="s">
        <v>221</v>
      </c>
      <c r="F66" s="152" t="s">
        <v>222</v>
      </c>
      <c r="G66" s="152" t="s">
        <v>59</v>
      </c>
      <c r="H66" s="152" t="s">
        <v>503</v>
      </c>
      <c r="I66" s="152" t="s">
        <v>295</v>
      </c>
      <c r="J66" s="152" t="s">
        <v>159</v>
      </c>
      <c r="K66" s="187" t="s">
        <v>504</v>
      </c>
    </row>
    <row r="67" spans="1:11" ht="16" hidden="1">
      <c r="A67" s="141" t="str">
        <f t="shared" si="1"/>
        <v>062112</v>
      </c>
      <c r="B67" s="158">
        <v>1062</v>
      </c>
      <c r="C67" s="192">
        <v>43276</v>
      </c>
      <c r="D67" s="152" t="s">
        <v>505</v>
      </c>
      <c r="E67" s="186" t="s">
        <v>184</v>
      </c>
      <c r="F67" s="152" t="s">
        <v>506</v>
      </c>
      <c r="G67" s="152" t="s">
        <v>60</v>
      </c>
      <c r="H67" s="152" t="s">
        <v>675</v>
      </c>
      <c r="I67" s="152" t="s">
        <v>507</v>
      </c>
      <c r="J67" s="152" t="s">
        <v>159</v>
      </c>
      <c r="K67" s="187" t="s">
        <v>770</v>
      </c>
    </row>
    <row r="68" spans="1:11" ht="16" hidden="1">
      <c r="A68" s="141" t="str">
        <f t="shared" si="1"/>
        <v>061412</v>
      </c>
      <c r="B68" s="158">
        <v>1062</v>
      </c>
      <c r="C68" s="192">
        <v>43273</v>
      </c>
      <c r="D68" s="152" t="s">
        <v>508</v>
      </c>
      <c r="E68" s="186" t="s">
        <v>509</v>
      </c>
      <c r="F68" s="152" t="s">
        <v>510</v>
      </c>
      <c r="G68" s="152" t="s">
        <v>511</v>
      </c>
      <c r="H68" s="152" t="s">
        <v>512</v>
      </c>
      <c r="I68" s="152" t="s">
        <v>513</v>
      </c>
      <c r="J68" s="152" t="s">
        <v>159</v>
      </c>
      <c r="K68" s="187" t="s">
        <v>410</v>
      </c>
    </row>
    <row r="69" spans="1:11" ht="16" hidden="1">
      <c r="A69" s="141" t="str">
        <f t="shared" si="1"/>
        <v>063122</v>
      </c>
      <c r="B69" s="158">
        <v>1062</v>
      </c>
      <c r="C69" s="192">
        <v>43278</v>
      </c>
      <c r="D69" s="152" t="s">
        <v>514</v>
      </c>
      <c r="E69" s="186" t="s">
        <v>515</v>
      </c>
      <c r="F69" s="152" t="s">
        <v>516</v>
      </c>
      <c r="G69" s="152" t="s">
        <v>517</v>
      </c>
      <c r="H69" s="152" t="s">
        <v>675</v>
      </c>
      <c r="I69" s="152" t="s">
        <v>513</v>
      </c>
      <c r="J69" s="152" t="s">
        <v>159</v>
      </c>
      <c r="K69" s="187" t="s">
        <v>770</v>
      </c>
    </row>
    <row r="70" spans="1:11" ht="16" hidden="1">
      <c r="A70" s="141" t="str">
        <f t="shared" si="1"/>
        <v>054105</v>
      </c>
      <c r="B70" s="158">
        <v>1062</v>
      </c>
      <c r="C70" s="192">
        <v>43280</v>
      </c>
      <c r="D70" s="152" t="s">
        <v>518</v>
      </c>
      <c r="E70" s="186" t="s">
        <v>519</v>
      </c>
      <c r="F70" s="152" t="s">
        <v>520</v>
      </c>
      <c r="G70" s="152" t="s">
        <v>511</v>
      </c>
      <c r="H70" s="152" t="s">
        <v>512</v>
      </c>
      <c r="I70" s="152" t="s">
        <v>513</v>
      </c>
      <c r="J70" s="152" t="s">
        <v>159</v>
      </c>
      <c r="K70" s="187" t="s">
        <v>521</v>
      </c>
    </row>
    <row r="71" spans="1:11" ht="16" hidden="1">
      <c r="A71" s="141" t="str">
        <f t="shared" si="1"/>
        <v>054122</v>
      </c>
      <c r="B71" s="158">
        <v>1062</v>
      </c>
      <c r="C71" s="192">
        <v>43293</v>
      </c>
      <c r="D71" s="152" t="s">
        <v>522</v>
      </c>
      <c r="E71" s="186" t="s">
        <v>523</v>
      </c>
      <c r="F71" s="152" t="s">
        <v>524</v>
      </c>
      <c r="G71" s="152" t="s">
        <v>525</v>
      </c>
      <c r="H71" s="152" t="s">
        <v>526</v>
      </c>
      <c r="I71" s="152" t="s">
        <v>295</v>
      </c>
      <c r="J71" s="152" t="s">
        <v>159</v>
      </c>
      <c r="K71" s="187" t="s">
        <v>527</v>
      </c>
    </row>
    <row r="72" spans="1:11" ht="16" hidden="1">
      <c r="A72" s="141" t="str">
        <f t="shared" si="1"/>
        <v>063121</v>
      </c>
      <c r="B72" s="158">
        <v>1062</v>
      </c>
      <c r="C72" s="192">
        <v>43305</v>
      </c>
      <c r="D72" s="152" t="s">
        <v>528</v>
      </c>
      <c r="E72" s="186" t="s">
        <v>529</v>
      </c>
      <c r="F72" s="152" t="s">
        <v>530</v>
      </c>
      <c r="G72" s="152" t="s">
        <v>531</v>
      </c>
      <c r="H72" s="152" t="s">
        <v>532</v>
      </c>
      <c r="I72" s="152" t="s">
        <v>533</v>
      </c>
      <c r="J72" s="152" t="s">
        <v>159</v>
      </c>
      <c r="K72" s="187" t="s">
        <v>534</v>
      </c>
    </row>
    <row r="73" spans="1:11" ht="16" hidden="1">
      <c r="A73" s="141" t="str">
        <f t="shared" si="1"/>
        <v>063131</v>
      </c>
      <c r="B73" s="158">
        <v>1062</v>
      </c>
      <c r="C73" s="192">
        <v>43306</v>
      </c>
      <c r="D73" s="152" t="s">
        <v>528</v>
      </c>
      <c r="E73" s="186" t="s">
        <v>535</v>
      </c>
      <c r="F73" s="152" t="s">
        <v>536</v>
      </c>
      <c r="G73" s="152" t="s">
        <v>537</v>
      </c>
      <c r="H73" s="152" t="s">
        <v>663</v>
      </c>
      <c r="I73" s="152" t="s">
        <v>533</v>
      </c>
      <c r="J73" s="152" t="s">
        <v>159</v>
      </c>
      <c r="K73" s="187" t="s">
        <v>664</v>
      </c>
    </row>
    <row r="74" spans="1:11" ht="16" hidden="1">
      <c r="A74" s="141" t="str">
        <f t="shared" si="1"/>
        <v>068221</v>
      </c>
      <c r="B74" s="158">
        <v>1062</v>
      </c>
      <c r="C74" s="192">
        <v>43311</v>
      </c>
      <c r="D74" s="152" t="s">
        <v>539</v>
      </c>
      <c r="E74" s="186" t="s">
        <v>540</v>
      </c>
      <c r="F74" s="152" t="s">
        <v>541</v>
      </c>
      <c r="G74" s="152" t="s">
        <v>538</v>
      </c>
      <c r="H74" s="152" t="s">
        <v>542</v>
      </c>
      <c r="I74" s="152" t="s">
        <v>543</v>
      </c>
      <c r="J74" s="152" t="s">
        <v>159</v>
      </c>
      <c r="K74" s="187" t="s">
        <v>544</v>
      </c>
    </row>
    <row r="75" spans="1:11" ht="16" hidden="1">
      <c r="A75" s="141" t="str">
        <f t="shared" si="1"/>
        <v>062237</v>
      </c>
      <c r="B75" s="158">
        <v>1071</v>
      </c>
      <c r="C75" s="192">
        <v>43314</v>
      </c>
      <c r="D75" s="152" t="s">
        <v>644</v>
      </c>
      <c r="E75" s="186" t="s">
        <v>645</v>
      </c>
      <c r="F75" s="152" t="s">
        <v>646</v>
      </c>
      <c r="G75" s="152" t="s">
        <v>647</v>
      </c>
      <c r="H75" s="152" t="s">
        <v>648</v>
      </c>
      <c r="I75" s="152" t="s">
        <v>649</v>
      </c>
      <c r="J75" s="152" t="s">
        <v>661</v>
      </c>
      <c r="K75" s="187" t="s">
        <v>650</v>
      </c>
    </row>
    <row r="76" spans="1:11" ht="16" hidden="1">
      <c r="A76" s="141" t="str">
        <f t="shared" si="1"/>
        <v>062425</v>
      </c>
      <c r="B76" s="158">
        <v>1071</v>
      </c>
      <c r="C76" s="192">
        <v>43314</v>
      </c>
      <c r="D76" s="152" t="s">
        <v>651</v>
      </c>
      <c r="E76" s="186" t="s">
        <v>419</v>
      </c>
      <c r="F76" s="152" t="s">
        <v>652</v>
      </c>
      <c r="G76" s="152" t="s">
        <v>647</v>
      </c>
      <c r="H76" s="152" t="s">
        <v>648</v>
      </c>
      <c r="I76" s="152" t="s">
        <v>653</v>
      </c>
      <c r="J76" s="152" t="s">
        <v>661</v>
      </c>
      <c r="K76" s="187" t="s">
        <v>662</v>
      </c>
    </row>
    <row r="77" spans="1:11" ht="16" hidden="1">
      <c r="A77" s="141" t="str">
        <f t="shared" si="1"/>
        <v>061314</v>
      </c>
      <c r="B77" s="158">
        <v>1071</v>
      </c>
      <c r="C77" s="192">
        <v>43326</v>
      </c>
      <c r="D77" s="152" t="s">
        <v>665</v>
      </c>
      <c r="E77" s="186" t="s">
        <v>666</v>
      </c>
      <c r="F77" s="152" t="s">
        <v>667</v>
      </c>
      <c r="G77" s="152" t="s">
        <v>668</v>
      </c>
      <c r="H77" s="152" t="s">
        <v>670</v>
      </c>
      <c r="I77" s="152" t="s">
        <v>649</v>
      </c>
      <c r="J77" s="152" t="s">
        <v>159</v>
      </c>
      <c r="K77" s="187" t="s">
        <v>671</v>
      </c>
    </row>
    <row r="78" spans="1:11" ht="16" hidden="1">
      <c r="A78" s="141" t="str">
        <f t="shared" si="1"/>
        <v>063321</v>
      </c>
      <c r="B78" s="158">
        <v>1071</v>
      </c>
      <c r="C78" s="192">
        <v>43326</v>
      </c>
      <c r="D78" s="152" t="s">
        <v>669</v>
      </c>
      <c r="E78" s="186" t="s">
        <v>194</v>
      </c>
      <c r="F78" s="152" t="s">
        <v>195</v>
      </c>
      <c r="G78" s="152" t="s">
        <v>59</v>
      </c>
      <c r="H78" s="152" t="s">
        <v>670</v>
      </c>
      <c r="I78" s="152" t="s">
        <v>649</v>
      </c>
      <c r="J78" s="152" t="s">
        <v>159</v>
      </c>
      <c r="K78" s="187" t="s">
        <v>672</v>
      </c>
    </row>
    <row r="79" spans="1:11" ht="16" hidden="1">
      <c r="A79" s="141" t="str">
        <f t="shared" si="1"/>
        <v>052126</v>
      </c>
      <c r="B79" s="158">
        <v>1071</v>
      </c>
      <c r="C79" s="192">
        <v>43334</v>
      </c>
      <c r="D79" s="152" t="s">
        <v>130</v>
      </c>
      <c r="E79" s="186" t="s">
        <v>165</v>
      </c>
      <c r="F79" s="152" t="s">
        <v>673</v>
      </c>
      <c r="G79" s="152" t="s">
        <v>674</v>
      </c>
      <c r="H79" s="152" t="s">
        <v>676</v>
      </c>
      <c r="I79" s="152" t="s">
        <v>677</v>
      </c>
      <c r="J79" s="152" t="s">
        <v>159</v>
      </c>
      <c r="K79" s="187" t="s">
        <v>779</v>
      </c>
    </row>
    <row r="80" spans="1:11" ht="16" hidden="1">
      <c r="A80" s="141" t="str">
        <f t="shared" si="1"/>
        <v>063111</v>
      </c>
      <c r="B80" s="158">
        <v>1071</v>
      </c>
      <c r="C80" s="192">
        <v>43334</v>
      </c>
      <c r="D80" s="152" t="s">
        <v>678</v>
      </c>
      <c r="E80" s="186" t="s">
        <v>412</v>
      </c>
      <c r="F80" s="152" t="s">
        <v>413</v>
      </c>
      <c r="G80" s="152" t="s">
        <v>674</v>
      </c>
      <c r="H80" s="152" t="s">
        <v>676</v>
      </c>
      <c r="I80" s="152" t="s">
        <v>679</v>
      </c>
      <c r="J80" s="152" t="s">
        <v>159</v>
      </c>
      <c r="K80" s="187" t="s">
        <v>680</v>
      </c>
    </row>
    <row r="81" spans="1:11" ht="16" hidden="1">
      <c r="A81" s="141" t="str">
        <f t="shared" si="1"/>
        <v>063327</v>
      </c>
      <c r="B81" s="158">
        <v>1071</v>
      </c>
      <c r="C81" s="192">
        <v>43334</v>
      </c>
      <c r="D81" s="152" t="s">
        <v>171</v>
      </c>
      <c r="E81" s="186" t="s">
        <v>423</v>
      </c>
      <c r="F81" s="152" t="s">
        <v>681</v>
      </c>
      <c r="G81" s="152" t="s">
        <v>674</v>
      </c>
      <c r="H81" s="152" t="s">
        <v>676</v>
      </c>
      <c r="I81" s="152" t="s">
        <v>682</v>
      </c>
      <c r="J81" s="152" t="s">
        <v>159</v>
      </c>
      <c r="K81" s="187" t="s">
        <v>683</v>
      </c>
    </row>
    <row r="82" spans="1:11" ht="16" hidden="1">
      <c r="A82" s="141" t="str">
        <f t="shared" si="1"/>
        <v>065109</v>
      </c>
      <c r="B82" s="158">
        <v>1071</v>
      </c>
      <c r="C82" s="192">
        <v>43335</v>
      </c>
      <c r="D82" s="152" t="s">
        <v>684</v>
      </c>
      <c r="E82" s="186" t="s">
        <v>221</v>
      </c>
      <c r="F82" s="152" t="s">
        <v>222</v>
      </c>
      <c r="G82" s="152" t="s">
        <v>59</v>
      </c>
      <c r="H82" s="152" t="s">
        <v>685</v>
      </c>
      <c r="I82" s="152" t="s">
        <v>686</v>
      </c>
      <c r="J82" s="152" t="s">
        <v>159</v>
      </c>
      <c r="K82" s="187" t="s">
        <v>687</v>
      </c>
    </row>
    <row r="83" spans="1:11" ht="16" hidden="1">
      <c r="A83" s="141" t="str">
        <f t="shared" si="1"/>
        <v>078220</v>
      </c>
      <c r="B83" s="158">
        <v>1071</v>
      </c>
      <c r="C83" s="192">
        <v>43336</v>
      </c>
      <c r="D83" s="152" t="s">
        <v>690</v>
      </c>
      <c r="E83" s="186" t="s">
        <v>602</v>
      </c>
      <c r="F83" s="152" t="s">
        <v>603</v>
      </c>
      <c r="G83" s="152" t="s">
        <v>60</v>
      </c>
      <c r="H83" s="152" t="s">
        <v>689</v>
      </c>
      <c r="I83" s="152" t="s">
        <v>691</v>
      </c>
      <c r="J83" s="152" t="s">
        <v>159</v>
      </c>
      <c r="K83" s="187" t="s">
        <v>293</v>
      </c>
    </row>
    <row r="84" spans="1:11" ht="16" hidden="1">
      <c r="A84" s="141" t="str">
        <f t="shared" si="1"/>
        <v>068118</v>
      </c>
      <c r="B84" s="158">
        <v>1071</v>
      </c>
      <c r="C84" s="192">
        <v>43339</v>
      </c>
      <c r="D84" s="152" t="s">
        <v>692</v>
      </c>
      <c r="E84" s="186" t="s">
        <v>693</v>
      </c>
      <c r="F84" s="152" t="s">
        <v>189</v>
      </c>
      <c r="G84" s="152" t="s">
        <v>60</v>
      </c>
      <c r="H84" s="152" t="s">
        <v>694</v>
      </c>
      <c r="I84" s="152" t="s">
        <v>695</v>
      </c>
      <c r="J84" s="152" t="s">
        <v>159</v>
      </c>
      <c r="K84" s="187" t="s">
        <v>775</v>
      </c>
    </row>
    <row r="85" spans="1:11" ht="16" hidden="1">
      <c r="A85" s="141" t="str">
        <f t="shared" si="1"/>
        <v>063125</v>
      </c>
      <c r="B85" s="158">
        <v>1071</v>
      </c>
      <c r="C85" s="192">
        <v>43340</v>
      </c>
      <c r="D85" s="152" t="s">
        <v>696</v>
      </c>
      <c r="E85" s="186" t="s">
        <v>491</v>
      </c>
      <c r="F85" s="152" t="s">
        <v>697</v>
      </c>
      <c r="G85" s="152" t="s">
        <v>698</v>
      </c>
      <c r="H85" s="152" t="s">
        <v>694</v>
      </c>
      <c r="I85" s="152" t="s">
        <v>679</v>
      </c>
      <c r="J85" s="152" t="s">
        <v>159</v>
      </c>
      <c r="K85" s="187" t="s">
        <v>699</v>
      </c>
    </row>
    <row r="86" spans="1:11" ht="16" hidden="1">
      <c r="A86" s="141" t="str">
        <f t="shared" si="1"/>
        <v>068227</v>
      </c>
      <c r="B86" s="158">
        <v>1071</v>
      </c>
      <c r="C86" s="192">
        <v>43341</v>
      </c>
      <c r="D86" s="152" t="s">
        <v>702</v>
      </c>
      <c r="E86" s="186" t="s">
        <v>205</v>
      </c>
      <c r="F86" s="152" t="s">
        <v>206</v>
      </c>
      <c r="G86" s="152" t="s">
        <v>59</v>
      </c>
      <c r="H86" s="152" t="s">
        <v>694</v>
      </c>
      <c r="I86" s="152" t="s">
        <v>695</v>
      </c>
      <c r="J86" s="152" t="s">
        <v>159</v>
      </c>
      <c r="K86" s="187" t="s">
        <v>776</v>
      </c>
    </row>
    <row r="87" spans="1:11" ht="16" hidden="1">
      <c r="A87" s="141" t="str">
        <f t="shared" si="1"/>
        <v>064230</v>
      </c>
      <c r="B87" s="158">
        <v>1071</v>
      </c>
      <c r="C87" s="192">
        <v>43344</v>
      </c>
      <c r="D87" s="152" t="s">
        <v>700</v>
      </c>
      <c r="E87" s="186" t="s">
        <v>211</v>
      </c>
      <c r="F87" s="152" t="s">
        <v>212</v>
      </c>
      <c r="G87" s="152" t="s">
        <v>59</v>
      </c>
      <c r="H87" s="152" t="s">
        <v>701</v>
      </c>
      <c r="I87" s="152" t="s">
        <v>695</v>
      </c>
      <c r="J87" s="152" t="s">
        <v>159</v>
      </c>
      <c r="K87" s="187" t="s">
        <v>777</v>
      </c>
    </row>
    <row r="88" spans="1:11" ht="16" hidden="1">
      <c r="A88" s="141" t="str">
        <f t="shared" si="1"/>
        <v>061318</v>
      </c>
      <c r="B88" s="158">
        <v>1071</v>
      </c>
      <c r="C88" s="192">
        <v>43346</v>
      </c>
      <c r="D88" s="152" t="s">
        <v>167</v>
      </c>
      <c r="E88" s="186" t="s">
        <v>730</v>
      </c>
      <c r="F88" s="152" t="s">
        <v>185</v>
      </c>
      <c r="G88" s="152" t="s">
        <v>59</v>
      </c>
      <c r="H88" s="152" t="s">
        <v>701</v>
      </c>
      <c r="I88" s="152" t="s">
        <v>695</v>
      </c>
      <c r="J88" s="152" t="s">
        <v>159</v>
      </c>
      <c r="K88" s="187" t="s">
        <v>777</v>
      </c>
    </row>
    <row r="89" spans="1:11" ht="16" hidden="1">
      <c r="A89" s="141" t="str">
        <f t="shared" si="1"/>
        <v>077108</v>
      </c>
      <c r="B89" s="158">
        <v>1071</v>
      </c>
      <c r="C89" s="192">
        <v>43347</v>
      </c>
      <c r="D89" s="152" t="s">
        <v>703</v>
      </c>
      <c r="E89" s="186" t="s">
        <v>564</v>
      </c>
      <c r="F89" s="152" t="s">
        <v>565</v>
      </c>
      <c r="G89" s="152" t="s">
        <v>59</v>
      </c>
      <c r="H89" s="152" t="s">
        <v>294</v>
      </c>
      <c r="I89" s="152" t="s">
        <v>677</v>
      </c>
      <c r="J89" s="152" t="s">
        <v>159</v>
      </c>
      <c r="K89" s="187" t="s">
        <v>293</v>
      </c>
    </row>
    <row r="90" spans="1:11" ht="16" hidden="1">
      <c r="A90" s="141" t="str">
        <f t="shared" si="1"/>
        <v>035114</v>
      </c>
      <c r="B90" s="158">
        <v>1071</v>
      </c>
      <c r="C90" s="192">
        <v>43348</v>
      </c>
      <c r="D90" s="152" t="s">
        <v>704</v>
      </c>
      <c r="E90" s="186" t="s">
        <v>132</v>
      </c>
      <c r="F90" s="152" t="s">
        <v>705</v>
      </c>
      <c r="G90" s="152" t="s">
        <v>706</v>
      </c>
      <c r="H90" s="152" t="s">
        <v>294</v>
      </c>
      <c r="I90" s="152" t="s">
        <v>707</v>
      </c>
      <c r="J90" s="152" t="s">
        <v>159</v>
      </c>
      <c r="K90" s="187" t="s">
        <v>293</v>
      </c>
    </row>
    <row r="91" spans="1:11" ht="16" hidden="1">
      <c r="A91" s="141" t="str">
        <f t="shared" si="1"/>
        <v>073119</v>
      </c>
      <c r="B91" s="158">
        <v>1071</v>
      </c>
      <c r="C91" s="192">
        <v>43348</v>
      </c>
      <c r="D91" s="152" t="s">
        <v>708</v>
      </c>
      <c r="E91" s="186" t="s">
        <v>709</v>
      </c>
      <c r="F91" s="152" t="s">
        <v>710</v>
      </c>
      <c r="G91" s="152" t="s">
        <v>706</v>
      </c>
      <c r="H91" s="152" t="s">
        <v>711</v>
      </c>
      <c r="I91" s="152" t="s">
        <v>707</v>
      </c>
      <c r="J91" s="152" t="s">
        <v>159</v>
      </c>
      <c r="K91" s="187" t="s">
        <v>712</v>
      </c>
    </row>
    <row r="92" spans="1:11" ht="16" hidden="1">
      <c r="A92" s="141" t="str">
        <f t="shared" si="1"/>
        <v>064130</v>
      </c>
      <c r="B92" s="158">
        <v>1071</v>
      </c>
      <c r="C92" s="192">
        <v>43349</v>
      </c>
      <c r="D92" s="152" t="s">
        <v>133</v>
      </c>
      <c r="E92" s="186" t="s">
        <v>367</v>
      </c>
      <c r="F92" s="152" t="s">
        <v>713</v>
      </c>
      <c r="G92" s="152" t="s">
        <v>706</v>
      </c>
      <c r="H92" s="152" t="s">
        <v>714</v>
      </c>
      <c r="I92" s="152" t="s">
        <v>715</v>
      </c>
      <c r="J92" s="152" t="s">
        <v>159</v>
      </c>
      <c r="K92" s="187" t="s">
        <v>716</v>
      </c>
    </row>
    <row r="93" spans="1:11" ht="16" hidden="1">
      <c r="A93" s="141" t="str">
        <f t="shared" si="1"/>
        <v>058127</v>
      </c>
      <c r="B93" s="158">
        <v>1071</v>
      </c>
      <c r="C93" s="192">
        <v>43349</v>
      </c>
      <c r="D93" s="152" t="s">
        <v>731</v>
      </c>
      <c r="E93" s="186" t="s">
        <v>717</v>
      </c>
      <c r="F93" s="152" t="s">
        <v>718</v>
      </c>
      <c r="G93" s="152" t="s">
        <v>719</v>
      </c>
      <c r="H93" s="152" t="s">
        <v>720</v>
      </c>
      <c r="I93" s="152" t="s">
        <v>677</v>
      </c>
      <c r="J93" s="152" t="s">
        <v>159</v>
      </c>
      <c r="K93" s="187" t="s">
        <v>721</v>
      </c>
    </row>
    <row r="94" spans="1:11" ht="16" hidden="1">
      <c r="A94" s="141" t="str">
        <f t="shared" si="1"/>
        <v>061111</v>
      </c>
      <c r="B94" s="158">
        <v>1071</v>
      </c>
      <c r="C94" s="192">
        <v>43356</v>
      </c>
      <c r="D94" s="152" t="s">
        <v>722</v>
      </c>
      <c r="E94" s="186" t="s">
        <v>723</v>
      </c>
      <c r="F94" s="152" t="s">
        <v>724</v>
      </c>
      <c r="G94" s="152" t="s">
        <v>725</v>
      </c>
      <c r="H94" s="152" t="s">
        <v>726</v>
      </c>
      <c r="I94" s="152" t="s">
        <v>727</v>
      </c>
      <c r="J94" s="152" t="s">
        <v>159</v>
      </c>
      <c r="K94" s="187" t="s">
        <v>728</v>
      </c>
    </row>
    <row r="95" spans="1:11" ht="16" hidden="1">
      <c r="A95" s="141" t="str">
        <f t="shared" si="1"/>
        <v>051207</v>
      </c>
      <c r="B95" s="158">
        <v>1071</v>
      </c>
      <c r="C95" s="192">
        <v>43361</v>
      </c>
      <c r="D95" s="152" t="s">
        <v>732</v>
      </c>
      <c r="E95" s="186" t="s">
        <v>396</v>
      </c>
      <c r="F95" s="152" t="s">
        <v>733</v>
      </c>
      <c r="G95" s="152" t="s">
        <v>734</v>
      </c>
      <c r="H95" s="152" t="s">
        <v>735</v>
      </c>
      <c r="I95" s="152" t="s">
        <v>736</v>
      </c>
      <c r="J95" s="152" t="s">
        <v>159</v>
      </c>
      <c r="K95" s="187" t="s">
        <v>737</v>
      </c>
    </row>
    <row r="96" spans="1:11" ht="16" hidden="1">
      <c r="A96" s="141" t="str">
        <f t="shared" si="1"/>
        <v>062324</v>
      </c>
      <c r="B96" s="158">
        <v>1071</v>
      </c>
      <c r="C96" s="192">
        <v>43362</v>
      </c>
      <c r="D96" s="152" t="s">
        <v>140</v>
      </c>
      <c r="E96" s="186" t="s">
        <v>738</v>
      </c>
      <c r="F96" s="152" t="s">
        <v>739</v>
      </c>
      <c r="G96" s="152" t="s">
        <v>734</v>
      </c>
      <c r="H96" s="152" t="s">
        <v>735</v>
      </c>
      <c r="I96" s="152" t="s">
        <v>736</v>
      </c>
      <c r="J96" s="152" t="s">
        <v>159</v>
      </c>
      <c r="K96" s="187" t="s">
        <v>740</v>
      </c>
    </row>
    <row r="97" spans="1:14" ht="16" hidden="1">
      <c r="A97" s="141" t="str">
        <f t="shared" si="1"/>
        <v>055208</v>
      </c>
      <c r="B97" s="158">
        <v>1071</v>
      </c>
      <c r="C97" s="192">
        <v>43362</v>
      </c>
      <c r="D97" s="152" t="s">
        <v>745</v>
      </c>
      <c r="E97" s="186" t="s">
        <v>166</v>
      </c>
      <c r="F97" s="152" t="s">
        <v>741</v>
      </c>
      <c r="G97" s="152" t="s">
        <v>742</v>
      </c>
      <c r="H97" s="152" t="s">
        <v>743</v>
      </c>
      <c r="I97" s="152" t="s">
        <v>679</v>
      </c>
      <c r="J97" s="152" t="s">
        <v>159</v>
      </c>
      <c r="K97" s="187" t="s">
        <v>744</v>
      </c>
    </row>
    <row r="98" spans="1:14" ht="16" hidden="1">
      <c r="A98" s="141" t="str">
        <f t="shared" si="1"/>
        <v>061319</v>
      </c>
      <c r="B98" s="158">
        <v>1071</v>
      </c>
      <c r="C98" s="192">
        <v>43368</v>
      </c>
      <c r="D98" s="152" t="s">
        <v>746</v>
      </c>
      <c r="E98" s="186" t="s">
        <v>192</v>
      </c>
      <c r="F98" s="152" t="s">
        <v>193</v>
      </c>
      <c r="G98" s="152" t="s">
        <v>59</v>
      </c>
      <c r="H98" s="152" t="s">
        <v>747</v>
      </c>
      <c r="I98" s="152" t="s">
        <v>748</v>
      </c>
      <c r="J98" s="152" t="s">
        <v>774</v>
      </c>
      <c r="K98" s="187" t="s">
        <v>777</v>
      </c>
    </row>
    <row r="99" spans="1:14" ht="16" hidden="1">
      <c r="A99" s="141" t="str">
        <f t="shared" si="1"/>
        <v>068207</v>
      </c>
      <c r="B99" s="158">
        <v>1071</v>
      </c>
      <c r="C99" s="192">
        <v>43375</v>
      </c>
      <c r="D99" s="152" t="s">
        <v>749</v>
      </c>
      <c r="E99" s="186" t="s">
        <v>351</v>
      </c>
      <c r="F99" s="152" t="s">
        <v>750</v>
      </c>
      <c r="G99" s="152" t="s">
        <v>751</v>
      </c>
      <c r="H99" s="152" t="s">
        <v>752</v>
      </c>
      <c r="I99" s="152" t="s">
        <v>679</v>
      </c>
      <c r="J99" s="152" t="s">
        <v>774</v>
      </c>
      <c r="K99" s="187" t="s">
        <v>753</v>
      </c>
    </row>
    <row r="100" spans="1:14" ht="16" hidden="1">
      <c r="A100" s="141" t="str">
        <f t="shared" si="1"/>
        <v>053134</v>
      </c>
      <c r="B100" s="158">
        <v>1071</v>
      </c>
      <c r="C100" s="192">
        <v>43376</v>
      </c>
      <c r="D100" s="152" t="s">
        <v>754</v>
      </c>
      <c r="E100" s="186" t="s">
        <v>656</v>
      </c>
      <c r="F100" s="152" t="s">
        <v>688</v>
      </c>
      <c r="G100" s="152" t="s">
        <v>59</v>
      </c>
      <c r="H100" s="152" t="s">
        <v>755</v>
      </c>
      <c r="I100" s="152" t="s">
        <v>677</v>
      </c>
      <c r="J100" s="152" t="s">
        <v>774</v>
      </c>
      <c r="K100" s="187" t="s">
        <v>777</v>
      </c>
    </row>
    <row r="101" spans="1:14" ht="16" hidden="1">
      <c r="A101" s="141" t="str">
        <f t="shared" si="1"/>
        <v>073327</v>
      </c>
      <c r="B101" s="158">
        <v>1071</v>
      </c>
      <c r="C101" s="192">
        <v>43384</v>
      </c>
      <c r="D101" s="152" t="s">
        <v>761</v>
      </c>
      <c r="E101" s="186" t="s">
        <v>756</v>
      </c>
      <c r="F101" s="152" t="s">
        <v>757</v>
      </c>
      <c r="G101" s="152" t="s">
        <v>758</v>
      </c>
      <c r="H101" s="152" t="s">
        <v>759</v>
      </c>
      <c r="I101" s="152" t="s">
        <v>760</v>
      </c>
      <c r="J101" s="152" t="s">
        <v>774</v>
      </c>
      <c r="K101" s="187" t="s">
        <v>778</v>
      </c>
    </row>
    <row r="102" spans="1:14" ht="16" hidden="1">
      <c r="A102" s="141" t="str">
        <f t="shared" si="1"/>
        <v>042217</v>
      </c>
      <c r="B102" s="158">
        <v>1071</v>
      </c>
      <c r="C102" s="192">
        <v>43385</v>
      </c>
      <c r="D102" s="152" t="s">
        <v>762</v>
      </c>
      <c r="E102" s="186" t="s">
        <v>485</v>
      </c>
      <c r="F102" s="152" t="s">
        <v>763</v>
      </c>
      <c r="G102" s="152" t="s">
        <v>764</v>
      </c>
      <c r="H102" s="152" t="s">
        <v>765</v>
      </c>
      <c r="I102" s="152" t="s">
        <v>677</v>
      </c>
      <c r="J102" s="152" t="s">
        <v>774</v>
      </c>
      <c r="K102" s="187" t="s">
        <v>777</v>
      </c>
    </row>
    <row r="103" spans="1:14" ht="16" hidden="1">
      <c r="A103" s="141" t="str">
        <f t="shared" si="1"/>
        <v>052232</v>
      </c>
      <c r="B103" s="158">
        <v>1071</v>
      </c>
      <c r="C103" s="192">
        <v>43404</v>
      </c>
      <c r="D103" s="152" t="s">
        <v>772</v>
      </c>
      <c r="E103" s="186" t="s">
        <v>654</v>
      </c>
      <c r="F103" s="152" t="s">
        <v>655</v>
      </c>
      <c r="G103" s="152" t="s">
        <v>59</v>
      </c>
      <c r="H103" s="152" t="s">
        <v>773</v>
      </c>
      <c r="I103" s="152" t="s">
        <v>677</v>
      </c>
      <c r="J103" s="152" t="s">
        <v>774</v>
      </c>
      <c r="K103" s="187" t="s">
        <v>777</v>
      </c>
    </row>
    <row r="104" spans="1:14" ht="16" hidden="1">
      <c r="A104" s="141" t="str">
        <f t="shared" si="1"/>
        <v>058215</v>
      </c>
      <c r="B104" s="158">
        <v>1071</v>
      </c>
      <c r="C104" s="192">
        <v>43461</v>
      </c>
      <c r="D104" s="152" t="s">
        <v>780</v>
      </c>
      <c r="E104" s="186" t="s">
        <v>146</v>
      </c>
      <c r="F104" s="152" t="s">
        <v>145</v>
      </c>
      <c r="G104" s="152" t="s">
        <v>60</v>
      </c>
      <c r="H104" s="152" t="s">
        <v>781</v>
      </c>
      <c r="I104" s="152" t="s">
        <v>677</v>
      </c>
      <c r="J104" s="152" t="s">
        <v>159</v>
      </c>
      <c r="K104" s="187" t="s">
        <v>782</v>
      </c>
    </row>
    <row r="105" spans="1:14" ht="16" hidden="1">
      <c r="A105" s="141" t="str">
        <f t="shared" si="1"/>
        <v>073301</v>
      </c>
      <c r="B105" s="158">
        <v>1071</v>
      </c>
      <c r="C105" s="192" t="s">
        <v>783</v>
      </c>
      <c r="D105" s="152" t="s">
        <v>788</v>
      </c>
      <c r="E105" s="186" t="s">
        <v>545</v>
      </c>
      <c r="F105" s="152" t="s">
        <v>546</v>
      </c>
      <c r="G105" s="152" t="s">
        <v>59</v>
      </c>
      <c r="H105" s="152" t="s">
        <v>784</v>
      </c>
      <c r="I105" s="152" t="s">
        <v>785</v>
      </c>
      <c r="J105" s="152" t="s">
        <v>786</v>
      </c>
      <c r="K105" s="187" t="s">
        <v>787</v>
      </c>
    </row>
    <row r="106" spans="1:14" ht="16" hidden="1">
      <c r="A106" s="141" t="str">
        <f t="shared" si="1"/>
        <v>077118</v>
      </c>
      <c r="B106" s="158">
        <v>1071</v>
      </c>
      <c r="C106" s="192">
        <v>43483</v>
      </c>
      <c r="D106" s="152" t="s">
        <v>112</v>
      </c>
      <c r="E106" s="186" t="s">
        <v>789</v>
      </c>
      <c r="F106" s="152" t="s">
        <v>790</v>
      </c>
      <c r="G106" s="152" t="s">
        <v>791</v>
      </c>
      <c r="H106" s="152" t="s">
        <v>792</v>
      </c>
      <c r="I106" s="152" t="s">
        <v>793</v>
      </c>
      <c r="J106" s="152" t="s">
        <v>159</v>
      </c>
      <c r="K106" s="187" t="s">
        <v>794</v>
      </c>
    </row>
    <row r="107" spans="1:14" ht="16" hidden="1">
      <c r="A107" s="141" t="str">
        <f t="shared" si="1"/>
        <v>071309</v>
      </c>
      <c r="B107" s="158">
        <v>1071</v>
      </c>
      <c r="C107" s="192">
        <v>43483</v>
      </c>
      <c r="D107" s="152" t="s">
        <v>255</v>
      </c>
      <c r="E107" s="186" t="s">
        <v>795</v>
      </c>
      <c r="F107" s="152" t="s">
        <v>571</v>
      </c>
      <c r="G107" s="152" t="s">
        <v>796</v>
      </c>
      <c r="H107" s="152" t="s">
        <v>797</v>
      </c>
      <c r="I107" s="152" t="s">
        <v>793</v>
      </c>
      <c r="J107" s="152" t="s">
        <v>159</v>
      </c>
      <c r="K107" s="187" t="s">
        <v>798</v>
      </c>
      <c r="L107" s="152" t="s">
        <v>824</v>
      </c>
    </row>
    <row r="108" spans="1:14" ht="16" hidden="1">
      <c r="A108" s="141" t="str">
        <f t="shared" si="1"/>
        <v>062114</v>
      </c>
      <c r="B108" s="158">
        <v>1072</v>
      </c>
      <c r="C108" s="192">
        <v>43486</v>
      </c>
      <c r="D108" s="152" t="s">
        <v>799</v>
      </c>
      <c r="E108" s="186" t="s">
        <v>800</v>
      </c>
      <c r="F108" s="152" t="s">
        <v>801</v>
      </c>
      <c r="G108" s="152" t="s">
        <v>802</v>
      </c>
      <c r="H108" s="152" t="s">
        <v>803</v>
      </c>
      <c r="I108" s="152" t="s">
        <v>805</v>
      </c>
      <c r="J108" s="152" t="s">
        <v>806</v>
      </c>
      <c r="K108" s="187" t="s">
        <v>804</v>
      </c>
    </row>
    <row r="109" spans="1:14" ht="16" hidden="1">
      <c r="A109" s="141" t="str">
        <f t="shared" si="1"/>
        <v>073314</v>
      </c>
      <c r="B109" s="158">
        <v>1072</v>
      </c>
      <c r="C109" s="192">
        <v>43493</v>
      </c>
      <c r="D109" s="152" t="s">
        <v>807</v>
      </c>
      <c r="E109" s="186" t="s">
        <v>583</v>
      </c>
      <c r="F109" s="152" t="s">
        <v>586</v>
      </c>
      <c r="G109" s="152" t="s">
        <v>59</v>
      </c>
      <c r="H109" s="152" t="s">
        <v>808</v>
      </c>
      <c r="I109" s="152" t="s">
        <v>677</v>
      </c>
      <c r="J109" s="152" t="s">
        <v>809</v>
      </c>
      <c r="K109" s="187" t="s">
        <v>810</v>
      </c>
      <c r="L109" s="153" t="s">
        <v>823</v>
      </c>
      <c r="N109" s="280">
        <v>1904</v>
      </c>
    </row>
    <row r="110" spans="1:14" ht="16" hidden="1">
      <c r="A110" s="141" t="str">
        <f t="shared" si="1"/>
        <v>072327</v>
      </c>
      <c r="B110" s="158">
        <v>1072</v>
      </c>
      <c r="C110" s="192">
        <v>43507</v>
      </c>
      <c r="D110" s="152" t="s">
        <v>811</v>
      </c>
      <c r="E110" s="186" t="s">
        <v>812</v>
      </c>
      <c r="F110" s="152" t="s">
        <v>813</v>
      </c>
      <c r="G110" s="152" t="s">
        <v>814</v>
      </c>
      <c r="H110" s="152" t="s">
        <v>815</v>
      </c>
      <c r="I110" s="152" t="s">
        <v>677</v>
      </c>
      <c r="J110" s="152" t="s">
        <v>851</v>
      </c>
      <c r="K110" s="187" t="s">
        <v>816</v>
      </c>
    </row>
    <row r="111" spans="1:14" ht="16" hidden="1">
      <c r="A111" s="141" t="str">
        <f t="shared" si="1"/>
        <v>075222</v>
      </c>
      <c r="B111" s="158">
        <v>1072</v>
      </c>
      <c r="C111" s="192">
        <v>43510</v>
      </c>
      <c r="D111" s="152" t="s">
        <v>817</v>
      </c>
      <c r="E111" s="186" t="s">
        <v>818</v>
      </c>
      <c r="F111" s="152" t="s">
        <v>819</v>
      </c>
      <c r="G111" s="152" t="s">
        <v>820</v>
      </c>
      <c r="H111" s="152" t="s">
        <v>821</v>
      </c>
      <c r="I111" s="152" t="s">
        <v>677</v>
      </c>
      <c r="J111" s="152" t="s">
        <v>851</v>
      </c>
      <c r="K111" s="187" t="s">
        <v>822</v>
      </c>
    </row>
    <row r="112" spans="1:14" ht="16" hidden="1">
      <c r="A112" s="141" t="str">
        <f t="shared" si="1"/>
        <v>053116</v>
      </c>
      <c r="B112" s="158">
        <v>1072</v>
      </c>
      <c r="C112" s="192">
        <v>43529</v>
      </c>
      <c r="D112" s="152" t="s">
        <v>831</v>
      </c>
      <c r="E112" s="186" t="s">
        <v>348</v>
      </c>
      <c r="F112" s="152" t="s">
        <v>825</v>
      </c>
      <c r="G112" s="152" t="s">
        <v>826</v>
      </c>
      <c r="H112" s="152" t="s">
        <v>827</v>
      </c>
      <c r="I112" s="152" t="s">
        <v>828</v>
      </c>
      <c r="J112" s="152" t="s">
        <v>851</v>
      </c>
      <c r="K112" s="187" t="s">
        <v>829</v>
      </c>
    </row>
    <row r="113" spans="1:11" ht="16" hidden="1">
      <c r="A113" s="141" t="str">
        <f t="shared" si="1"/>
        <v>063231</v>
      </c>
      <c r="B113" s="158">
        <v>1072</v>
      </c>
      <c r="C113" s="192">
        <v>43531</v>
      </c>
      <c r="D113" s="152" t="s">
        <v>837</v>
      </c>
      <c r="E113" s="186" t="s">
        <v>838</v>
      </c>
      <c r="F113" s="152" t="s">
        <v>839</v>
      </c>
      <c r="G113" s="152" t="s">
        <v>834</v>
      </c>
      <c r="H113" s="152" t="s">
        <v>835</v>
      </c>
      <c r="I113" s="152" t="s">
        <v>677</v>
      </c>
      <c r="J113" s="152" t="s">
        <v>852</v>
      </c>
      <c r="K113" s="187" t="s">
        <v>840</v>
      </c>
    </row>
    <row r="114" spans="1:11" ht="16" hidden="1">
      <c r="A114" s="141" t="str">
        <f t="shared" si="1"/>
        <v>073224</v>
      </c>
      <c r="B114" s="158">
        <v>1072</v>
      </c>
      <c r="C114" s="192">
        <v>43531</v>
      </c>
      <c r="D114" s="152" t="s">
        <v>830</v>
      </c>
      <c r="E114" s="186" t="s">
        <v>832</v>
      </c>
      <c r="F114" s="152" t="s">
        <v>833</v>
      </c>
      <c r="G114" s="152" t="s">
        <v>834</v>
      </c>
      <c r="H114" s="152" t="s">
        <v>835</v>
      </c>
      <c r="I114" s="152" t="s">
        <v>677</v>
      </c>
      <c r="J114" s="152" t="s">
        <v>851</v>
      </c>
      <c r="K114" s="187" t="s">
        <v>836</v>
      </c>
    </row>
    <row r="115" spans="1:11" ht="16" hidden="1">
      <c r="A115" s="141" t="str">
        <f t="shared" si="1"/>
        <v>073233</v>
      </c>
      <c r="B115" s="158">
        <v>1072</v>
      </c>
      <c r="C115" s="192">
        <v>43546</v>
      </c>
      <c r="D115" s="152" t="s">
        <v>841</v>
      </c>
      <c r="E115" s="186" t="s">
        <v>628</v>
      </c>
      <c r="F115" s="152" t="s">
        <v>634</v>
      </c>
      <c r="G115" s="152" t="s">
        <v>59</v>
      </c>
      <c r="H115" s="152" t="s">
        <v>842</v>
      </c>
      <c r="I115" s="152" t="s">
        <v>677</v>
      </c>
      <c r="J115" s="152" t="s">
        <v>851</v>
      </c>
      <c r="K115" s="187" t="s">
        <v>836</v>
      </c>
    </row>
    <row r="116" spans="1:11" ht="16" hidden="1">
      <c r="A116" s="141" t="str">
        <f t="shared" si="1"/>
        <v>065117</v>
      </c>
      <c r="B116" s="158">
        <v>1072</v>
      </c>
      <c r="C116" s="192">
        <v>43546</v>
      </c>
      <c r="D116" s="152" t="s">
        <v>843</v>
      </c>
      <c r="E116" s="186" t="s">
        <v>225</v>
      </c>
      <c r="F116" s="152" t="s">
        <v>226</v>
      </c>
      <c r="G116" s="152" t="s">
        <v>59</v>
      </c>
      <c r="H116" s="152" t="s">
        <v>842</v>
      </c>
      <c r="I116" s="152" t="s">
        <v>677</v>
      </c>
      <c r="J116" s="152" t="s">
        <v>851</v>
      </c>
      <c r="K116" s="187" t="s">
        <v>844</v>
      </c>
    </row>
    <row r="117" spans="1:11" ht="16" hidden="1">
      <c r="A117" s="141" t="str">
        <f t="shared" si="1"/>
        <v>075220</v>
      </c>
      <c r="B117" s="158">
        <v>1072</v>
      </c>
      <c r="C117" s="192">
        <v>43556</v>
      </c>
      <c r="D117" s="152" t="s">
        <v>845</v>
      </c>
      <c r="E117" s="186" t="s">
        <v>600</v>
      </c>
      <c r="F117" s="152" t="s">
        <v>601</v>
      </c>
      <c r="G117" s="152" t="s">
        <v>59</v>
      </c>
      <c r="H117" s="152" t="s">
        <v>846</v>
      </c>
      <c r="I117" s="152" t="s">
        <v>847</v>
      </c>
      <c r="J117" s="152" t="s">
        <v>851</v>
      </c>
      <c r="K117" s="187" t="s">
        <v>410</v>
      </c>
    </row>
    <row r="118" spans="1:11" ht="16" hidden="1">
      <c r="A118" s="141" t="str">
        <f t="shared" si="1"/>
        <v>074127</v>
      </c>
      <c r="B118" s="158">
        <v>1072</v>
      </c>
      <c r="C118" s="192">
        <v>43581</v>
      </c>
      <c r="D118" s="152" t="s">
        <v>848</v>
      </c>
      <c r="E118" s="186" t="s">
        <v>617</v>
      </c>
      <c r="F118" s="152" t="s">
        <v>618</v>
      </c>
      <c r="G118" s="152" t="s">
        <v>59</v>
      </c>
      <c r="H118" s="152" t="s">
        <v>849</v>
      </c>
      <c r="I118" s="152" t="s">
        <v>850</v>
      </c>
      <c r="J118" s="152" t="s">
        <v>852</v>
      </c>
      <c r="K118" s="187" t="s">
        <v>410</v>
      </c>
    </row>
    <row r="119" spans="1:11" ht="16" hidden="1">
      <c r="A119" s="141" t="str">
        <f t="shared" si="1"/>
        <v>075203</v>
      </c>
      <c r="B119" s="158">
        <v>1072</v>
      </c>
      <c r="C119" s="192">
        <v>43605</v>
      </c>
      <c r="D119" s="152" t="s">
        <v>853</v>
      </c>
      <c r="E119" s="186" t="s">
        <v>854</v>
      </c>
      <c r="F119" s="152" t="s">
        <v>553</v>
      </c>
      <c r="G119" s="152" t="s">
        <v>59</v>
      </c>
      <c r="H119" s="152" t="s">
        <v>855</v>
      </c>
      <c r="I119" s="152" t="s">
        <v>677</v>
      </c>
      <c r="J119" s="152" t="s">
        <v>159</v>
      </c>
      <c r="K119" s="187" t="s">
        <v>410</v>
      </c>
    </row>
    <row r="120" spans="1:11" ht="16" hidden="1">
      <c r="A120" s="141" t="str">
        <f t="shared" si="1"/>
        <v>065228</v>
      </c>
      <c r="B120" s="158">
        <v>1072</v>
      </c>
      <c r="C120" s="192">
        <v>43630</v>
      </c>
      <c r="D120" s="152" t="s">
        <v>890</v>
      </c>
      <c r="E120" s="186" t="s">
        <v>207</v>
      </c>
      <c r="F120" s="152" t="s">
        <v>208</v>
      </c>
      <c r="G120" s="152" t="s">
        <v>59</v>
      </c>
      <c r="H120" s="152" t="s">
        <v>891</v>
      </c>
      <c r="I120" s="152" t="s">
        <v>892</v>
      </c>
      <c r="J120" s="152" t="s">
        <v>893</v>
      </c>
      <c r="K120" s="187" t="s">
        <v>894</v>
      </c>
    </row>
    <row r="121" spans="1:11" ht="16" hidden="1">
      <c r="A121" s="141" t="str">
        <f t="shared" si="1"/>
        <v>075203</v>
      </c>
      <c r="B121" s="158">
        <v>1072</v>
      </c>
      <c r="C121" s="192">
        <v>43640</v>
      </c>
      <c r="D121" s="152" t="s">
        <v>135</v>
      </c>
      <c r="E121" s="186" t="s">
        <v>854</v>
      </c>
      <c r="F121" s="152" t="s">
        <v>553</v>
      </c>
      <c r="G121" s="152" t="s">
        <v>856</v>
      </c>
      <c r="H121" s="152" t="s">
        <v>857</v>
      </c>
      <c r="I121" s="152" t="s">
        <v>677</v>
      </c>
      <c r="J121" s="152" t="s">
        <v>159</v>
      </c>
      <c r="K121" s="187" t="s">
        <v>858</v>
      </c>
    </row>
    <row r="122" spans="1:11" ht="16" hidden="1">
      <c r="A122" s="141" t="str">
        <f t="shared" si="1"/>
        <v>075136</v>
      </c>
      <c r="B122" s="158">
        <v>1072</v>
      </c>
      <c r="C122" s="192">
        <v>43643</v>
      </c>
      <c r="D122" s="152" t="s">
        <v>859</v>
      </c>
      <c r="E122" s="186" t="s">
        <v>638</v>
      </c>
      <c r="F122" s="152" t="s">
        <v>640</v>
      </c>
      <c r="G122" s="152" t="s">
        <v>59</v>
      </c>
      <c r="H122" s="152" t="s">
        <v>857</v>
      </c>
      <c r="I122" s="152" t="s">
        <v>860</v>
      </c>
      <c r="J122" s="152" t="s">
        <v>159</v>
      </c>
      <c r="K122" s="187" t="s">
        <v>861</v>
      </c>
    </row>
    <row r="123" spans="1:11" ht="16" hidden="1">
      <c r="A123" s="141" t="str">
        <f t="shared" si="1"/>
        <v>071409</v>
      </c>
      <c r="B123" s="158">
        <v>1081</v>
      </c>
      <c r="C123" s="192">
        <v>43644</v>
      </c>
      <c r="D123" s="152" t="s">
        <v>161</v>
      </c>
      <c r="E123" s="186" t="s">
        <v>567</v>
      </c>
      <c r="F123" s="152" t="s">
        <v>558</v>
      </c>
      <c r="G123" s="152" t="s">
        <v>59</v>
      </c>
      <c r="H123" s="152" t="s">
        <v>857</v>
      </c>
      <c r="I123" s="152" t="s">
        <v>862</v>
      </c>
      <c r="J123" s="152" t="s">
        <v>159</v>
      </c>
      <c r="K123" s="187" t="s">
        <v>863</v>
      </c>
    </row>
    <row r="124" spans="1:11" ht="16" hidden="1">
      <c r="A124" s="141" t="str">
        <f t="shared" ref="A124:A187" si="2">TRIM(E124)</f>
        <v>074130</v>
      </c>
      <c r="B124" s="158">
        <v>1081</v>
      </c>
      <c r="C124" s="192">
        <v>43647</v>
      </c>
      <c r="D124" s="152" t="s">
        <v>55</v>
      </c>
      <c r="E124" s="186" t="s">
        <v>622</v>
      </c>
      <c r="F124" s="152" t="s">
        <v>864</v>
      </c>
      <c r="G124" s="152" t="s">
        <v>865</v>
      </c>
      <c r="H124" s="152" t="s">
        <v>857</v>
      </c>
      <c r="I124" s="152" t="s">
        <v>866</v>
      </c>
      <c r="J124" s="152" t="s">
        <v>159</v>
      </c>
      <c r="K124" s="187" t="s">
        <v>868</v>
      </c>
    </row>
    <row r="125" spans="1:11" ht="16" hidden="1">
      <c r="A125" s="141" t="str">
        <f t="shared" si="2"/>
        <v>071228</v>
      </c>
      <c r="B125" s="158">
        <v>1081</v>
      </c>
      <c r="C125" s="192">
        <v>43647</v>
      </c>
      <c r="D125" s="152" t="s">
        <v>46</v>
      </c>
      <c r="E125" s="186" t="s">
        <v>619</v>
      </c>
      <c r="F125" s="152" t="s">
        <v>620</v>
      </c>
      <c r="G125" s="152" t="s">
        <v>867</v>
      </c>
      <c r="H125" s="152" t="s">
        <v>857</v>
      </c>
      <c r="I125" s="152" t="s">
        <v>866</v>
      </c>
      <c r="J125" s="152" t="s">
        <v>159</v>
      </c>
      <c r="K125" s="187" t="s">
        <v>868</v>
      </c>
    </row>
    <row r="126" spans="1:11" ht="16" hidden="1">
      <c r="A126" s="141" t="str">
        <f t="shared" si="2"/>
        <v>071309</v>
      </c>
      <c r="B126" s="158">
        <v>1081</v>
      </c>
      <c r="C126" s="192">
        <v>43656</v>
      </c>
      <c r="D126" s="152" t="s">
        <v>869</v>
      </c>
      <c r="E126" s="186" t="s">
        <v>870</v>
      </c>
      <c r="F126" s="152" t="s">
        <v>571</v>
      </c>
      <c r="G126" s="152" t="s">
        <v>59</v>
      </c>
      <c r="H126" s="152" t="s">
        <v>871</v>
      </c>
      <c r="I126" s="152" t="s">
        <v>872</v>
      </c>
      <c r="J126" s="152" t="s">
        <v>873</v>
      </c>
      <c r="K126" s="187" t="s">
        <v>874</v>
      </c>
    </row>
    <row r="127" spans="1:11" ht="16" hidden="1">
      <c r="A127" s="141" t="str">
        <f t="shared" si="2"/>
        <v>072219</v>
      </c>
      <c r="B127" s="158">
        <v>1081</v>
      </c>
      <c r="C127" s="192">
        <v>43656</v>
      </c>
      <c r="D127" s="152" t="s">
        <v>877</v>
      </c>
      <c r="E127" s="186" t="s">
        <v>599</v>
      </c>
      <c r="F127" s="152" t="s">
        <v>597</v>
      </c>
      <c r="G127" s="152" t="s">
        <v>59</v>
      </c>
      <c r="H127" s="152" t="s">
        <v>134</v>
      </c>
      <c r="I127" s="152" t="s">
        <v>862</v>
      </c>
      <c r="J127" s="152" t="s">
        <v>875</v>
      </c>
      <c r="K127" s="187" t="s">
        <v>876</v>
      </c>
    </row>
    <row r="128" spans="1:11" ht="16" hidden="1">
      <c r="A128" s="141" t="str">
        <f t="shared" si="2"/>
        <v>053134</v>
      </c>
      <c r="B128" s="158">
        <v>1081</v>
      </c>
      <c r="C128" s="192">
        <v>43657</v>
      </c>
      <c r="D128" s="152" t="s">
        <v>878</v>
      </c>
      <c r="E128" s="186" t="s">
        <v>168</v>
      </c>
      <c r="F128" s="152" t="s">
        <v>879</v>
      </c>
      <c r="G128" s="152" t="s">
        <v>880</v>
      </c>
      <c r="H128" s="152" t="s">
        <v>881</v>
      </c>
      <c r="I128" s="152" t="s">
        <v>882</v>
      </c>
      <c r="J128" s="152" t="s">
        <v>883</v>
      </c>
      <c r="K128" s="187" t="s">
        <v>884</v>
      </c>
    </row>
    <row r="129" spans="1:14" ht="16" hidden="1">
      <c r="A129" s="141" t="str">
        <f t="shared" si="2"/>
        <v>065107</v>
      </c>
      <c r="B129" s="158">
        <v>1081</v>
      </c>
      <c r="C129" s="192">
        <v>43662</v>
      </c>
      <c r="D129" s="152" t="s">
        <v>885</v>
      </c>
      <c r="E129" s="186" t="s">
        <v>217</v>
      </c>
      <c r="F129" s="152" t="s">
        <v>218</v>
      </c>
      <c r="G129" s="152" t="s">
        <v>59</v>
      </c>
      <c r="H129" s="152" t="s">
        <v>881</v>
      </c>
      <c r="I129" s="152" t="s">
        <v>886</v>
      </c>
      <c r="J129" s="152" t="s">
        <v>883</v>
      </c>
      <c r="K129" s="187" t="s">
        <v>887</v>
      </c>
    </row>
    <row r="130" spans="1:14" ht="16" hidden="1">
      <c r="A130" s="141" t="str">
        <f t="shared" si="2"/>
        <v>072327</v>
      </c>
      <c r="B130" s="158">
        <v>1081</v>
      </c>
      <c r="C130" s="192">
        <v>43663</v>
      </c>
      <c r="D130" s="152" t="s">
        <v>140</v>
      </c>
      <c r="E130" s="186" t="s">
        <v>812</v>
      </c>
      <c r="F130" s="152" t="s">
        <v>813</v>
      </c>
      <c r="G130" s="152" t="s">
        <v>7</v>
      </c>
      <c r="H130" s="152" t="s">
        <v>881</v>
      </c>
      <c r="I130" s="152" t="s">
        <v>888</v>
      </c>
      <c r="J130" s="152" t="s">
        <v>883</v>
      </c>
      <c r="K130" s="187" t="s">
        <v>889</v>
      </c>
    </row>
    <row r="131" spans="1:14" ht="16" hidden="1">
      <c r="A131" s="141" t="str">
        <f t="shared" si="2"/>
        <v>074110</v>
      </c>
      <c r="B131" s="158">
        <v>1081</v>
      </c>
      <c r="C131" s="192">
        <v>43669</v>
      </c>
      <c r="D131" s="152" t="s">
        <v>895</v>
      </c>
      <c r="E131" s="186" t="s">
        <v>572</v>
      </c>
      <c r="F131" s="152" t="s">
        <v>570</v>
      </c>
      <c r="G131" s="152" t="s">
        <v>59</v>
      </c>
      <c r="H131" s="152" t="s">
        <v>896</v>
      </c>
      <c r="I131" s="152" t="s">
        <v>897</v>
      </c>
      <c r="J131" s="152" t="s">
        <v>159</v>
      </c>
      <c r="K131" s="187" t="s">
        <v>898</v>
      </c>
    </row>
    <row r="132" spans="1:14" ht="16" hidden="1">
      <c r="A132" s="141" t="str">
        <f t="shared" si="2"/>
        <v>073333</v>
      </c>
      <c r="B132" s="158">
        <v>1081</v>
      </c>
      <c r="C132" s="192">
        <v>43669</v>
      </c>
      <c r="D132" s="152" t="s">
        <v>171</v>
      </c>
      <c r="E132" s="186" t="s">
        <v>629</v>
      </c>
      <c r="F132" s="152" t="s">
        <v>630</v>
      </c>
      <c r="G132" s="152" t="s">
        <v>59</v>
      </c>
      <c r="H132" s="152" t="s">
        <v>896</v>
      </c>
      <c r="I132" s="152" t="s">
        <v>899</v>
      </c>
      <c r="J132" s="152" t="s">
        <v>900</v>
      </c>
      <c r="K132" s="187" t="s">
        <v>901</v>
      </c>
    </row>
    <row r="133" spans="1:14" ht="16" hidden="1">
      <c r="A133" s="141" t="str">
        <f t="shared" si="2"/>
        <v>071112</v>
      </c>
      <c r="B133" s="158">
        <v>1081</v>
      </c>
      <c r="C133" s="192">
        <v>43670</v>
      </c>
      <c r="D133" s="152" t="s">
        <v>902</v>
      </c>
      <c r="E133" s="186" t="s">
        <v>577</v>
      </c>
      <c r="F133" s="152" t="s">
        <v>578</v>
      </c>
      <c r="G133" s="152" t="s">
        <v>59</v>
      </c>
      <c r="H133" s="152" t="s">
        <v>896</v>
      </c>
      <c r="I133" s="152" t="s">
        <v>899</v>
      </c>
      <c r="J133" s="152" t="s">
        <v>900</v>
      </c>
      <c r="K133" s="187" t="s">
        <v>903</v>
      </c>
    </row>
    <row r="134" spans="1:14" ht="16" hidden="1">
      <c r="A134" s="141" t="str">
        <f t="shared" si="2"/>
        <v>071330</v>
      </c>
      <c r="B134" s="158">
        <v>1081</v>
      </c>
      <c r="C134" s="192">
        <v>43675</v>
      </c>
      <c r="D134" s="152" t="s">
        <v>255</v>
      </c>
      <c r="E134" s="186" t="s">
        <v>621</v>
      </c>
      <c r="F134" s="152" t="s">
        <v>623</v>
      </c>
      <c r="G134" s="152" t="s">
        <v>59</v>
      </c>
      <c r="H134" s="152" t="s">
        <v>896</v>
      </c>
      <c r="I134" s="152" t="s">
        <v>899</v>
      </c>
      <c r="J134" s="152" t="s">
        <v>900</v>
      </c>
      <c r="K134" s="187" t="s">
        <v>901</v>
      </c>
    </row>
    <row r="135" spans="1:14" ht="16" hidden="1">
      <c r="A135" s="141" t="str">
        <f t="shared" si="2"/>
        <v>063330</v>
      </c>
      <c r="B135" s="158">
        <v>1081</v>
      </c>
      <c r="C135" s="192">
        <v>43679</v>
      </c>
      <c r="D135" s="152" t="s">
        <v>260</v>
      </c>
      <c r="E135" s="186" t="s">
        <v>209</v>
      </c>
      <c r="F135" s="152" t="s">
        <v>210</v>
      </c>
      <c r="G135" s="152" t="s">
        <v>59</v>
      </c>
      <c r="H135" s="152" t="s">
        <v>896</v>
      </c>
      <c r="I135" s="152" t="s">
        <v>899</v>
      </c>
      <c r="J135" s="152" t="s">
        <v>900</v>
      </c>
      <c r="K135" s="187" t="s">
        <v>904</v>
      </c>
    </row>
    <row r="136" spans="1:14" ht="16" hidden="1">
      <c r="A136" s="141" t="str">
        <f t="shared" si="2"/>
        <v>072408</v>
      </c>
      <c r="B136" s="158">
        <v>1081</v>
      </c>
      <c r="C136" s="192">
        <v>43676</v>
      </c>
      <c r="D136" s="152" t="s">
        <v>905</v>
      </c>
      <c r="E136" s="186" t="s">
        <v>561</v>
      </c>
      <c r="F136" s="152" t="s">
        <v>562</v>
      </c>
      <c r="G136" s="152" t="s">
        <v>59</v>
      </c>
      <c r="H136" s="152" t="s">
        <v>906</v>
      </c>
      <c r="I136" s="152" t="s">
        <v>907</v>
      </c>
      <c r="J136" s="152" t="s">
        <v>908</v>
      </c>
      <c r="K136" s="187" t="s">
        <v>909</v>
      </c>
    </row>
    <row r="137" spans="1:14" ht="16" hidden="1">
      <c r="A137" s="141" t="str">
        <f t="shared" si="2"/>
        <v>073111</v>
      </c>
      <c r="B137" s="158">
        <v>1081</v>
      </c>
      <c r="C137" s="192">
        <v>43676</v>
      </c>
      <c r="D137" s="152" t="s">
        <v>910</v>
      </c>
      <c r="E137" s="186" t="s">
        <v>575</v>
      </c>
      <c r="F137" s="152" t="s">
        <v>576</v>
      </c>
      <c r="G137" s="152" t="s">
        <v>60</v>
      </c>
      <c r="H137" s="152" t="s">
        <v>906</v>
      </c>
      <c r="I137" s="152" t="s">
        <v>907</v>
      </c>
      <c r="J137" s="152" t="s">
        <v>911</v>
      </c>
      <c r="K137" s="187" t="s">
        <v>912</v>
      </c>
    </row>
    <row r="138" spans="1:14" ht="16" hidden="1">
      <c r="A138" s="141" t="str">
        <f t="shared" si="2"/>
        <v>052107</v>
      </c>
      <c r="B138" s="158">
        <v>1081</v>
      </c>
      <c r="C138" s="192">
        <v>43682</v>
      </c>
      <c r="D138" s="152" t="s">
        <v>130</v>
      </c>
      <c r="E138" s="186" t="s">
        <v>659</v>
      </c>
      <c r="F138" s="152" t="s">
        <v>660</v>
      </c>
      <c r="G138" s="152" t="s">
        <v>59</v>
      </c>
      <c r="H138" s="152" t="s">
        <v>913</v>
      </c>
      <c r="I138" s="152" t="s">
        <v>914</v>
      </c>
      <c r="J138" s="152" t="s">
        <v>915</v>
      </c>
      <c r="K138" s="187" t="s">
        <v>916</v>
      </c>
      <c r="L138" s="153"/>
    </row>
    <row r="139" spans="1:14" ht="16" hidden="1">
      <c r="A139" s="141" t="str">
        <f t="shared" si="2"/>
        <v>061116</v>
      </c>
      <c r="B139" s="158">
        <v>1081</v>
      </c>
      <c r="C139" s="192">
        <v>43689</v>
      </c>
      <c r="D139" s="152" t="s">
        <v>1077</v>
      </c>
      <c r="E139" s="186" t="s">
        <v>188</v>
      </c>
      <c r="F139" s="152" t="s">
        <v>259</v>
      </c>
      <c r="G139" s="152" t="s">
        <v>59</v>
      </c>
      <c r="H139" s="152" t="s">
        <v>1074</v>
      </c>
      <c r="I139" s="152" t="s">
        <v>1075</v>
      </c>
      <c r="J139" s="152" t="s">
        <v>159</v>
      </c>
      <c r="K139" s="187" t="s">
        <v>1076</v>
      </c>
      <c r="L139" s="153"/>
    </row>
    <row r="140" spans="1:14" ht="16" hidden="1">
      <c r="A140" s="141" t="str">
        <f t="shared" si="2"/>
        <v>071308</v>
      </c>
      <c r="B140" s="158">
        <v>1081</v>
      </c>
      <c r="C140" s="192">
        <v>43698</v>
      </c>
      <c r="D140" s="152" t="s">
        <v>64</v>
      </c>
      <c r="E140" s="186" t="s">
        <v>557</v>
      </c>
      <c r="F140" s="152" t="s">
        <v>566</v>
      </c>
      <c r="G140" s="152" t="s">
        <v>59</v>
      </c>
      <c r="H140" s="152" t="s">
        <v>1095</v>
      </c>
      <c r="I140" s="152" t="s">
        <v>1096</v>
      </c>
      <c r="J140" s="152" t="s">
        <v>159</v>
      </c>
      <c r="K140" s="187" t="s">
        <v>1097</v>
      </c>
      <c r="L140" s="153"/>
    </row>
    <row r="141" spans="1:14" ht="16" hidden="1">
      <c r="A141" s="141" t="str">
        <f t="shared" si="2"/>
        <v>065223</v>
      </c>
      <c r="B141" s="158">
        <v>1081</v>
      </c>
      <c r="C141" s="192">
        <v>43698</v>
      </c>
      <c r="D141" s="152" t="s">
        <v>1087</v>
      </c>
      <c r="E141" s="186" t="s">
        <v>471</v>
      </c>
      <c r="F141" s="152" t="s">
        <v>1088</v>
      </c>
      <c r="G141" s="152" t="s">
        <v>1089</v>
      </c>
      <c r="H141" s="152" t="s">
        <v>1090</v>
      </c>
      <c r="I141" s="152" t="s">
        <v>1091</v>
      </c>
      <c r="J141" s="152" t="s">
        <v>1098</v>
      </c>
      <c r="K141" s="187" t="s">
        <v>1092</v>
      </c>
      <c r="L141" s="153"/>
    </row>
    <row r="142" spans="1:14" ht="16" hidden="1">
      <c r="A142" s="141" t="str">
        <f t="shared" si="2"/>
        <v>074122</v>
      </c>
      <c r="B142" s="158">
        <v>1081</v>
      </c>
      <c r="C142" s="192">
        <v>43698</v>
      </c>
      <c r="D142" s="152" t="s">
        <v>1100</v>
      </c>
      <c r="E142" s="186" t="s">
        <v>608</v>
      </c>
      <c r="F142" s="152" t="s">
        <v>604</v>
      </c>
      <c r="G142" s="152" t="s">
        <v>59</v>
      </c>
      <c r="H142" s="152" t="s">
        <v>1090</v>
      </c>
      <c r="I142" s="152" t="s">
        <v>1093</v>
      </c>
      <c r="J142" s="152" t="s">
        <v>1099</v>
      </c>
      <c r="K142" s="187" t="s">
        <v>1094</v>
      </c>
      <c r="L142" s="153" t="s">
        <v>1101</v>
      </c>
      <c r="N142" s="193">
        <v>1921</v>
      </c>
    </row>
    <row r="143" spans="1:14" ht="16" hidden="1">
      <c r="A143" s="141" t="str">
        <f t="shared" si="2"/>
        <v>082215</v>
      </c>
      <c r="B143" s="158">
        <v>1081</v>
      </c>
      <c r="C143" s="192">
        <v>43710</v>
      </c>
      <c r="D143" s="152" t="s">
        <v>1104</v>
      </c>
      <c r="E143" s="186" t="s">
        <v>978</v>
      </c>
      <c r="F143" s="152" t="s">
        <v>979</v>
      </c>
      <c r="G143" s="152" t="s">
        <v>59</v>
      </c>
      <c r="H143" s="152" t="s">
        <v>1102</v>
      </c>
      <c r="I143" s="152" t="s">
        <v>862</v>
      </c>
      <c r="J143" s="152" t="s">
        <v>1159</v>
      </c>
      <c r="K143" s="187" t="s">
        <v>1103</v>
      </c>
      <c r="L143" s="153"/>
    </row>
    <row r="144" spans="1:14" ht="16" hidden="1">
      <c r="A144" s="141" t="str">
        <f t="shared" si="2"/>
        <v>074215</v>
      </c>
      <c r="B144" s="158">
        <v>1081</v>
      </c>
      <c r="C144" s="192">
        <v>43710</v>
      </c>
      <c r="D144" s="152" t="s">
        <v>1105</v>
      </c>
      <c r="E144" s="186" t="s">
        <v>587</v>
      </c>
      <c r="F144" s="152" t="s">
        <v>593</v>
      </c>
      <c r="G144" s="152" t="s">
        <v>59</v>
      </c>
      <c r="H144" s="152" t="s">
        <v>1106</v>
      </c>
      <c r="I144" s="152" t="s">
        <v>862</v>
      </c>
      <c r="J144" s="152" t="s">
        <v>1159</v>
      </c>
      <c r="K144" s="187" t="s">
        <v>1107</v>
      </c>
      <c r="L144" s="153"/>
    </row>
    <row r="145" spans="1:12" ht="16" hidden="1">
      <c r="A145" s="141" t="str">
        <f t="shared" si="2"/>
        <v>085103</v>
      </c>
      <c r="B145" s="158">
        <v>1081</v>
      </c>
      <c r="C145" s="192">
        <v>43712</v>
      </c>
      <c r="D145" s="152" t="s">
        <v>1108</v>
      </c>
      <c r="E145" s="186" t="s">
        <v>928</v>
      </c>
      <c r="F145" s="152" t="s">
        <v>1111</v>
      </c>
      <c r="G145" s="152" t="s">
        <v>60</v>
      </c>
      <c r="H145" s="152" t="s">
        <v>1109</v>
      </c>
      <c r="I145" s="152" t="s">
        <v>862</v>
      </c>
      <c r="J145" s="152" t="s">
        <v>1159</v>
      </c>
      <c r="K145" s="187" t="s">
        <v>1110</v>
      </c>
      <c r="L145" s="153"/>
    </row>
    <row r="146" spans="1:12" ht="16" hidden="1">
      <c r="A146" s="141" t="str">
        <f t="shared" si="2"/>
        <v>081102</v>
      </c>
      <c r="B146" s="158">
        <v>1081</v>
      </c>
      <c r="C146" s="192">
        <v>43712</v>
      </c>
      <c r="D146" s="152" t="s">
        <v>1112</v>
      </c>
      <c r="E146" s="186" t="s">
        <v>917</v>
      </c>
      <c r="F146" s="152" t="s">
        <v>1113</v>
      </c>
      <c r="G146" s="152" t="s">
        <v>60</v>
      </c>
      <c r="H146" s="152" t="s">
        <v>1109</v>
      </c>
      <c r="I146" s="152" t="s">
        <v>862</v>
      </c>
      <c r="J146" s="152" t="s">
        <v>1159</v>
      </c>
      <c r="K146" s="187" t="s">
        <v>410</v>
      </c>
      <c r="L146" s="153"/>
    </row>
    <row r="147" spans="1:12" ht="16" hidden="1">
      <c r="A147" s="141" t="str">
        <f t="shared" si="2"/>
        <v>085211</v>
      </c>
      <c r="B147" s="158">
        <v>1081</v>
      </c>
      <c r="C147" s="192">
        <v>43712</v>
      </c>
      <c r="D147" s="152" t="s">
        <v>1114</v>
      </c>
      <c r="E147" s="186" t="s">
        <v>967</v>
      </c>
      <c r="F147" s="152" t="s">
        <v>968</v>
      </c>
      <c r="G147" s="152" t="s">
        <v>59</v>
      </c>
      <c r="H147" s="152" t="s">
        <v>1115</v>
      </c>
      <c r="I147" s="152" t="s">
        <v>862</v>
      </c>
      <c r="J147" s="152" t="s">
        <v>1159</v>
      </c>
      <c r="K147" s="187" t="s">
        <v>1116</v>
      </c>
      <c r="L147" s="153"/>
    </row>
    <row r="148" spans="1:12" ht="16" hidden="1">
      <c r="A148" s="141" t="str">
        <f t="shared" si="2"/>
        <v>085130</v>
      </c>
      <c r="B148" s="264">
        <v>1081</v>
      </c>
      <c r="C148" s="265">
        <v>43714</v>
      </c>
      <c r="D148" s="153" t="s">
        <v>1151</v>
      </c>
      <c r="E148" s="154" t="s">
        <v>1032</v>
      </c>
      <c r="F148" s="154" t="s">
        <v>1037</v>
      </c>
      <c r="G148" s="153" t="s">
        <v>60</v>
      </c>
      <c r="H148" s="153" t="s">
        <v>1115</v>
      </c>
      <c r="I148" s="153" t="s">
        <v>862</v>
      </c>
      <c r="J148" s="152" t="s">
        <v>1159</v>
      </c>
      <c r="K148" s="189" t="s">
        <v>1115</v>
      </c>
      <c r="L148" s="153"/>
    </row>
    <row r="149" spans="1:12" ht="16" hidden="1">
      <c r="A149" s="141" t="str">
        <f t="shared" si="2"/>
        <v>074222</v>
      </c>
      <c r="B149" s="158">
        <v>1081</v>
      </c>
      <c r="C149" s="192">
        <v>43714</v>
      </c>
      <c r="D149" s="152" t="s">
        <v>1117</v>
      </c>
      <c r="E149" s="186" t="s">
        <v>609</v>
      </c>
      <c r="F149" s="152" t="s">
        <v>610</v>
      </c>
      <c r="G149" s="152" t="s">
        <v>59</v>
      </c>
      <c r="H149" s="152" t="s">
        <v>1118</v>
      </c>
      <c r="I149" s="152" t="s">
        <v>862</v>
      </c>
      <c r="J149" s="152" t="s">
        <v>1159</v>
      </c>
      <c r="K149" s="187" t="s">
        <v>1119</v>
      </c>
      <c r="L149" s="153"/>
    </row>
    <row r="150" spans="1:12" ht="16" hidden="1">
      <c r="A150" s="141" t="str">
        <f t="shared" si="2"/>
        <v>073233</v>
      </c>
      <c r="B150" s="158">
        <v>1081</v>
      </c>
      <c r="C150" s="192">
        <v>43714</v>
      </c>
      <c r="D150" s="152" t="s">
        <v>1120</v>
      </c>
      <c r="E150" s="186" t="s">
        <v>1121</v>
      </c>
      <c r="F150" s="152" t="s">
        <v>1122</v>
      </c>
      <c r="G150" s="152" t="s">
        <v>1123</v>
      </c>
      <c r="H150" s="152" t="s">
        <v>1124</v>
      </c>
      <c r="I150" s="152" t="s">
        <v>1125</v>
      </c>
      <c r="J150" s="152" t="s">
        <v>1159</v>
      </c>
      <c r="K150" s="187" t="s">
        <v>1126</v>
      </c>
      <c r="L150" s="153"/>
    </row>
    <row r="151" spans="1:12" ht="16" hidden="1">
      <c r="A151" s="141" t="str">
        <f t="shared" si="2"/>
        <v>072108</v>
      </c>
      <c r="B151" s="158">
        <v>1081</v>
      </c>
      <c r="C151" s="192">
        <v>43714</v>
      </c>
      <c r="D151" s="152" t="s">
        <v>1127</v>
      </c>
      <c r="E151" s="186" t="s">
        <v>559</v>
      </c>
      <c r="F151" s="152" t="s">
        <v>560</v>
      </c>
      <c r="G151" s="152" t="s">
        <v>59</v>
      </c>
      <c r="H151" s="152" t="s">
        <v>1128</v>
      </c>
      <c r="I151" s="152" t="s">
        <v>1129</v>
      </c>
      <c r="J151" s="152" t="s">
        <v>1159</v>
      </c>
      <c r="K151" s="187" t="s">
        <v>410</v>
      </c>
      <c r="L151" s="153"/>
    </row>
    <row r="152" spans="1:12" ht="16" hidden="1">
      <c r="A152" s="141" t="str">
        <f t="shared" si="2"/>
        <v>063231</v>
      </c>
      <c r="B152" s="158">
        <v>1081</v>
      </c>
      <c r="C152" s="192">
        <v>43718</v>
      </c>
      <c r="D152" s="152" t="s">
        <v>1130</v>
      </c>
      <c r="E152" s="186" t="s">
        <v>1131</v>
      </c>
      <c r="F152" s="152" t="s">
        <v>1132</v>
      </c>
      <c r="G152" s="152" t="s">
        <v>1133</v>
      </c>
      <c r="H152" s="152" t="s">
        <v>1134</v>
      </c>
      <c r="I152" s="152" t="s">
        <v>1135</v>
      </c>
      <c r="J152" s="152" t="s">
        <v>1159</v>
      </c>
      <c r="K152" s="187" t="s">
        <v>1136</v>
      </c>
      <c r="L152" s="153"/>
    </row>
    <row r="153" spans="1:12" ht="16" hidden="1">
      <c r="A153" s="141" t="str">
        <f t="shared" si="2"/>
        <v>073327</v>
      </c>
      <c r="B153" s="158">
        <v>1081</v>
      </c>
      <c r="C153" s="192">
        <v>43724</v>
      </c>
      <c r="D153" s="152" t="s">
        <v>260</v>
      </c>
      <c r="E153" s="186" t="s">
        <v>756</v>
      </c>
      <c r="F153" s="152" t="s">
        <v>1140</v>
      </c>
      <c r="G153" s="152" t="s">
        <v>1137</v>
      </c>
      <c r="H153" s="152" t="s">
        <v>1138</v>
      </c>
      <c r="I153" s="152" t="s">
        <v>1139</v>
      </c>
      <c r="J153" s="152" t="s">
        <v>1159</v>
      </c>
      <c r="K153" s="187" t="s">
        <v>1141</v>
      </c>
      <c r="L153" s="153"/>
    </row>
    <row r="154" spans="1:12" ht="16" hidden="1">
      <c r="A154" s="141" t="str">
        <f t="shared" si="2"/>
        <v>071431</v>
      </c>
      <c r="B154" s="158">
        <v>1081</v>
      </c>
      <c r="C154" s="192">
        <v>43734</v>
      </c>
      <c r="D154" s="152" t="s">
        <v>1142</v>
      </c>
      <c r="E154" s="186" t="s">
        <v>624</v>
      </c>
      <c r="F154" s="152" t="s">
        <v>627</v>
      </c>
      <c r="G154" s="152" t="s">
        <v>60</v>
      </c>
      <c r="H154" s="152" t="s">
        <v>1143</v>
      </c>
      <c r="I154" s="152" t="s">
        <v>862</v>
      </c>
      <c r="J154" s="152" t="s">
        <v>1159</v>
      </c>
      <c r="K154" s="187" t="s">
        <v>1144</v>
      </c>
      <c r="L154" s="153"/>
    </row>
    <row r="155" spans="1:12" ht="16" hidden="1">
      <c r="A155" s="141" t="str">
        <f t="shared" si="2"/>
        <v>086107</v>
      </c>
      <c r="B155" s="158">
        <v>1081</v>
      </c>
      <c r="C155" s="192">
        <v>43735</v>
      </c>
      <c r="D155" s="152" t="s">
        <v>1145</v>
      </c>
      <c r="E155" s="186" t="s">
        <v>945</v>
      </c>
      <c r="F155" s="152" t="s">
        <v>946</v>
      </c>
      <c r="G155" s="152" t="s">
        <v>60</v>
      </c>
      <c r="H155" s="152" t="s">
        <v>1146</v>
      </c>
      <c r="I155" s="152" t="s">
        <v>1148</v>
      </c>
      <c r="J155" s="152" t="s">
        <v>1159</v>
      </c>
      <c r="K155" s="187" t="s">
        <v>1147</v>
      </c>
      <c r="L155" s="153"/>
    </row>
    <row r="156" spans="1:12" ht="16" hidden="1">
      <c r="A156" s="141" t="str">
        <f t="shared" si="2"/>
        <v>081331</v>
      </c>
      <c r="B156" s="264">
        <v>1081</v>
      </c>
      <c r="C156" s="265">
        <v>43735</v>
      </c>
      <c r="D156" s="153" t="s">
        <v>1152</v>
      </c>
      <c r="E156" s="266" t="s">
        <v>1033</v>
      </c>
      <c r="F156" s="153" t="s">
        <v>1034</v>
      </c>
      <c r="G156" s="153" t="s">
        <v>59</v>
      </c>
      <c r="H156" s="153" t="s">
        <v>1115</v>
      </c>
      <c r="I156" s="153" t="s">
        <v>862</v>
      </c>
      <c r="J156" s="152" t="s">
        <v>1159</v>
      </c>
      <c r="K156" s="189" t="s">
        <v>1115</v>
      </c>
      <c r="L156" s="153"/>
    </row>
    <row r="157" spans="1:12" ht="16" hidden="1">
      <c r="A157" s="141" t="str">
        <f t="shared" si="2"/>
        <v>084126</v>
      </c>
      <c r="B157" s="158">
        <v>1081</v>
      </c>
      <c r="C157" s="192">
        <v>43739</v>
      </c>
      <c r="D157" s="152" t="s">
        <v>1149</v>
      </c>
      <c r="E157" s="186" t="s">
        <v>1017</v>
      </c>
      <c r="F157" s="152" t="s">
        <v>1018</v>
      </c>
      <c r="G157" s="152" t="s">
        <v>59</v>
      </c>
      <c r="H157" s="152" t="s">
        <v>1150</v>
      </c>
      <c r="I157" s="152" t="s">
        <v>862</v>
      </c>
      <c r="J157" s="152" t="s">
        <v>1159</v>
      </c>
      <c r="K157" s="187" t="s">
        <v>410</v>
      </c>
      <c r="L157" s="153"/>
    </row>
    <row r="158" spans="1:12" ht="16" hidden="1">
      <c r="A158" s="141" t="str">
        <f t="shared" si="2"/>
        <v>075201</v>
      </c>
      <c r="B158" s="158">
        <v>1081</v>
      </c>
      <c r="C158" s="192">
        <v>43743</v>
      </c>
      <c r="D158" s="152" t="s">
        <v>1153</v>
      </c>
      <c r="E158" s="186" t="s">
        <v>548</v>
      </c>
      <c r="F158" s="152" t="s">
        <v>551</v>
      </c>
      <c r="G158" s="152" t="s">
        <v>59</v>
      </c>
      <c r="H158" s="152" t="s">
        <v>1154</v>
      </c>
      <c r="I158" s="152" t="s">
        <v>1155</v>
      </c>
      <c r="J158" s="152" t="s">
        <v>1159</v>
      </c>
      <c r="K158" s="187" t="s">
        <v>410</v>
      </c>
      <c r="L158" s="153"/>
    </row>
    <row r="159" spans="1:12" ht="16" hidden="1">
      <c r="A159" s="141" t="str">
        <f t="shared" si="2"/>
        <v>053232</v>
      </c>
      <c r="B159" s="158">
        <v>1081</v>
      </c>
      <c r="C159" s="192">
        <v>43747</v>
      </c>
      <c r="D159" s="152" t="s">
        <v>1156</v>
      </c>
      <c r="E159" s="186" t="s">
        <v>657</v>
      </c>
      <c r="F159" s="152" t="s">
        <v>658</v>
      </c>
      <c r="G159" s="152" t="s">
        <v>59</v>
      </c>
      <c r="H159" s="152" t="s">
        <v>1157</v>
      </c>
      <c r="I159" s="152" t="s">
        <v>862</v>
      </c>
      <c r="J159" s="152" t="s">
        <v>1159</v>
      </c>
      <c r="K159" s="187" t="s">
        <v>1158</v>
      </c>
      <c r="L159" s="153"/>
    </row>
    <row r="160" spans="1:12" ht="16" hidden="1">
      <c r="A160" s="141" t="str">
        <f t="shared" si="2"/>
        <v>074201</v>
      </c>
      <c r="B160" s="158">
        <v>1081</v>
      </c>
      <c r="C160" s="192">
        <v>43755</v>
      </c>
      <c r="D160" s="152" t="s">
        <v>1160</v>
      </c>
      <c r="E160" s="186" t="s">
        <v>547</v>
      </c>
      <c r="F160" s="152" t="s">
        <v>142</v>
      </c>
      <c r="G160" s="152" t="s">
        <v>1161</v>
      </c>
      <c r="H160" s="152" t="s">
        <v>1162</v>
      </c>
      <c r="I160" s="152" t="s">
        <v>1163</v>
      </c>
      <c r="J160" s="152" t="s">
        <v>159</v>
      </c>
      <c r="K160" s="187" t="s">
        <v>410</v>
      </c>
      <c r="L160" s="153"/>
    </row>
    <row r="161" spans="1:12" ht="16" hidden="1">
      <c r="A161" s="141" t="str">
        <f t="shared" si="2"/>
        <v>071335</v>
      </c>
      <c r="B161" s="158">
        <v>1081</v>
      </c>
      <c r="C161" s="192">
        <v>43755</v>
      </c>
      <c r="D161" s="152" t="s">
        <v>1164</v>
      </c>
      <c r="E161" s="186" t="s">
        <v>636</v>
      </c>
      <c r="F161" s="152" t="s">
        <v>637</v>
      </c>
      <c r="G161" s="152" t="s">
        <v>59</v>
      </c>
      <c r="H161" s="152" t="s">
        <v>1165</v>
      </c>
      <c r="I161" s="152" t="s">
        <v>862</v>
      </c>
      <c r="J161" s="152" t="s">
        <v>159</v>
      </c>
      <c r="K161" s="187" t="s">
        <v>410</v>
      </c>
      <c r="L161" s="153"/>
    </row>
    <row r="162" spans="1:12" ht="16" hidden="1">
      <c r="A162" s="141" t="str">
        <f t="shared" si="2"/>
        <v>061435</v>
      </c>
      <c r="B162" s="158">
        <v>1081</v>
      </c>
      <c r="C162" s="192">
        <v>43755</v>
      </c>
      <c r="D162" s="152" t="s">
        <v>1166</v>
      </c>
      <c r="E162" s="186" t="s">
        <v>214</v>
      </c>
      <c r="F162" s="152" t="s">
        <v>215</v>
      </c>
      <c r="G162" s="152" t="s">
        <v>60</v>
      </c>
      <c r="H162" s="152" t="s">
        <v>1167</v>
      </c>
      <c r="I162" s="152" t="s">
        <v>862</v>
      </c>
      <c r="J162" s="152" t="s">
        <v>159</v>
      </c>
      <c r="K162" s="187" t="s">
        <v>1168</v>
      </c>
      <c r="L162" s="153"/>
    </row>
    <row r="163" spans="1:12" ht="16" hidden="1">
      <c r="A163" s="141" t="str">
        <f t="shared" si="2"/>
        <v>083336</v>
      </c>
      <c r="B163" s="158">
        <v>1081</v>
      </c>
      <c r="C163" s="192">
        <v>43759</v>
      </c>
      <c r="D163" s="152" t="s">
        <v>171</v>
      </c>
      <c r="E163" s="186" t="s">
        <v>1050</v>
      </c>
      <c r="F163" s="152" t="s">
        <v>1051</v>
      </c>
      <c r="G163" s="152" t="s">
        <v>59</v>
      </c>
      <c r="H163" s="152" t="s">
        <v>1167</v>
      </c>
      <c r="I163" s="152" t="s">
        <v>862</v>
      </c>
      <c r="J163" s="152" t="s">
        <v>159</v>
      </c>
      <c r="K163" s="187" t="s">
        <v>1169</v>
      </c>
      <c r="L163" s="153"/>
    </row>
    <row r="164" spans="1:12" ht="16" hidden="1">
      <c r="A164" s="141" t="str">
        <f t="shared" si="2"/>
        <v>072116</v>
      </c>
      <c r="B164" s="158">
        <v>1081</v>
      </c>
      <c r="C164" s="192">
        <v>43761</v>
      </c>
      <c r="D164" s="152" t="s">
        <v>1170</v>
      </c>
      <c r="E164" s="186" t="s">
        <v>590</v>
      </c>
      <c r="F164" s="152" t="s">
        <v>591</v>
      </c>
      <c r="G164" s="152" t="s">
        <v>59</v>
      </c>
      <c r="H164" s="152" t="s">
        <v>1167</v>
      </c>
      <c r="I164" s="152" t="s">
        <v>862</v>
      </c>
      <c r="J164" s="152" t="s">
        <v>159</v>
      </c>
      <c r="K164" s="187" t="s">
        <v>410</v>
      </c>
      <c r="L164" s="153"/>
    </row>
    <row r="165" spans="1:12" ht="16" hidden="1">
      <c r="A165" s="141" t="str">
        <f t="shared" si="2"/>
        <v>083137</v>
      </c>
      <c r="B165" s="158">
        <v>1081</v>
      </c>
      <c r="C165" s="192">
        <v>43763</v>
      </c>
      <c r="D165" s="152" t="s">
        <v>1171</v>
      </c>
      <c r="E165" s="186" t="s">
        <v>1052</v>
      </c>
      <c r="F165" s="152" t="s">
        <v>1053</v>
      </c>
      <c r="G165" s="152" t="s">
        <v>59</v>
      </c>
      <c r="H165" s="152" t="s">
        <v>131</v>
      </c>
      <c r="I165" s="152" t="s">
        <v>862</v>
      </c>
      <c r="J165" s="152" t="s">
        <v>159</v>
      </c>
      <c r="K165" s="187" t="s">
        <v>1172</v>
      </c>
      <c r="L165" s="153"/>
    </row>
    <row r="166" spans="1:12" ht="16" hidden="1">
      <c r="A166" s="141" t="str">
        <f t="shared" si="2"/>
        <v>085210</v>
      </c>
      <c r="B166" s="158">
        <v>1081</v>
      </c>
      <c r="C166" s="192">
        <v>43768</v>
      </c>
      <c r="D166" s="152" t="s">
        <v>1173</v>
      </c>
      <c r="E166" s="186" t="s">
        <v>956</v>
      </c>
      <c r="F166" s="152" t="s">
        <v>957</v>
      </c>
      <c r="G166" s="152" t="s">
        <v>59</v>
      </c>
      <c r="H166" s="152" t="s">
        <v>131</v>
      </c>
      <c r="I166" s="152" t="s">
        <v>862</v>
      </c>
      <c r="J166" s="152" t="s">
        <v>159</v>
      </c>
      <c r="K166" s="187" t="s">
        <v>410</v>
      </c>
      <c r="L166" s="153"/>
    </row>
    <row r="167" spans="1:12" ht="16" hidden="1">
      <c r="A167" s="141" t="str">
        <f t="shared" si="2"/>
        <v>083319</v>
      </c>
      <c r="B167" s="158">
        <v>1081</v>
      </c>
      <c r="C167" s="192">
        <v>43776</v>
      </c>
      <c r="D167" s="152" t="s">
        <v>1174</v>
      </c>
      <c r="E167" s="186" t="s">
        <v>993</v>
      </c>
      <c r="F167" s="152" t="s">
        <v>1070</v>
      </c>
      <c r="G167" s="152" t="s">
        <v>59</v>
      </c>
      <c r="H167" s="152" t="s">
        <v>1175</v>
      </c>
      <c r="I167" s="152" t="s">
        <v>862</v>
      </c>
      <c r="J167" s="152" t="s">
        <v>159</v>
      </c>
      <c r="K167" s="187" t="s">
        <v>410</v>
      </c>
      <c r="L167" s="153"/>
    </row>
    <row r="168" spans="1:12" ht="16" hidden="1">
      <c r="A168" s="141" t="str">
        <f t="shared" si="2"/>
        <v>073202</v>
      </c>
      <c r="B168" s="158">
        <v>1081</v>
      </c>
      <c r="C168" s="192">
        <v>43777</v>
      </c>
      <c r="D168" s="152" t="s">
        <v>1176</v>
      </c>
      <c r="E168" s="186" t="s">
        <v>549</v>
      </c>
      <c r="F168" s="152" t="s">
        <v>550</v>
      </c>
      <c r="G168" s="152" t="s">
        <v>59</v>
      </c>
      <c r="H168" s="152" t="s">
        <v>131</v>
      </c>
      <c r="I168" s="152" t="s">
        <v>862</v>
      </c>
      <c r="J168" s="152" t="s">
        <v>159</v>
      </c>
      <c r="K168" s="187" t="s">
        <v>1177</v>
      </c>
      <c r="L168" s="153"/>
    </row>
    <row r="169" spans="1:12" ht="16" hidden="1">
      <c r="A169" s="141" t="str">
        <f t="shared" si="2"/>
        <v>082225</v>
      </c>
      <c r="B169" s="158">
        <v>1081</v>
      </c>
      <c r="C169" s="192">
        <v>43784</v>
      </c>
      <c r="D169" s="152" t="s">
        <v>1178</v>
      </c>
      <c r="E169" s="186" t="s">
        <v>1010</v>
      </c>
      <c r="F169" s="152" t="s">
        <v>1011</v>
      </c>
      <c r="G169" s="152" t="s">
        <v>59</v>
      </c>
      <c r="H169" s="152" t="s">
        <v>131</v>
      </c>
      <c r="I169" s="152" t="s">
        <v>862</v>
      </c>
      <c r="J169" s="152" t="s">
        <v>159</v>
      </c>
      <c r="K169" s="187" t="s">
        <v>410</v>
      </c>
      <c r="L169" s="153"/>
    </row>
    <row r="170" spans="1:12" ht="16" hidden="1">
      <c r="A170" s="141" t="str">
        <f t="shared" si="2"/>
        <v>083233</v>
      </c>
      <c r="B170" s="264">
        <v>1081</v>
      </c>
      <c r="C170" s="265">
        <v>44156</v>
      </c>
      <c r="D170" s="153" t="s">
        <v>1209</v>
      </c>
      <c r="E170" s="266" t="s">
        <v>1208</v>
      </c>
      <c r="F170" s="153" t="s">
        <v>1207</v>
      </c>
      <c r="G170" s="153" t="s">
        <v>59</v>
      </c>
      <c r="H170" s="153" t="s">
        <v>131</v>
      </c>
      <c r="I170" s="153" t="s">
        <v>862</v>
      </c>
      <c r="J170" s="153" t="s">
        <v>159</v>
      </c>
      <c r="K170" s="189" t="s">
        <v>410</v>
      </c>
      <c r="L170" s="153"/>
    </row>
    <row r="171" spans="1:12" ht="16" hidden="1">
      <c r="A171" s="141" t="str">
        <f t="shared" si="2"/>
        <v>065113</v>
      </c>
      <c r="B171" s="158">
        <v>1081</v>
      </c>
      <c r="C171" s="192">
        <v>43794</v>
      </c>
      <c r="D171" s="152" t="s">
        <v>1179</v>
      </c>
      <c r="E171" s="186" t="s">
        <v>223</v>
      </c>
      <c r="F171" s="152" t="s">
        <v>224</v>
      </c>
      <c r="G171" s="152" t="s">
        <v>59</v>
      </c>
      <c r="H171" s="152" t="s">
        <v>131</v>
      </c>
      <c r="I171" s="152" t="s">
        <v>862</v>
      </c>
      <c r="J171" s="152" t="s">
        <v>159</v>
      </c>
      <c r="K171" s="187" t="s">
        <v>410</v>
      </c>
      <c r="L171" s="153"/>
    </row>
    <row r="172" spans="1:12" ht="16" hidden="1">
      <c r="A172" s="141" t="str">
        <f t="shared" si="2"/>
        <v>088110</v>
      </c>
      <c r="B172" s="158">
        <v>1081</v>
      </c>
      <c r="C172" s="192">
        <v>43810</v>
      </c>
      <c r="D172" s="152" t="s">
        <v>1180</v>
      </c>
      <c r="E172" s="186" t="s">
        <v>958</v>
      </c>
      <c r="F172" s="152" t="s">
        <v>959</v>
      </c>
      <c r="G172" s="152" t="s">
        <v>59</v>
      </c>
      <c r="H172" s="152" t="s">
        <v>131</v>
      </c>
      <c r="I172" s="152" t="s">
        <v>862</v>
      </c>
      <c r="J172" s="152" t="s">
        <v>159</v>
      </c>
      <c r="K172" s="187" t="s">
        <v>1181</v>
      </c>
      <c r="L172" s="153"/>
    </row>
    <row r="173" spans="1:12" ht="16" hidden="1">
      <c r="A173" s="141" t="str">
        <f t="shared" si="2"/>
        <v>083111</v>
      </c>
      <c r="B173" s="158">
        <v>1081</v>
      </c>
      <c r="C173" s="192">
        <v>43816</v>
      </c>
      <c r="D173" s="152" t="s">
        <v>1182</v>
      </c>
      <c r="E173" s="186" t="s">
        <v>960</v>
      </c>
      <c r="F173" s="152" t="s">
        <v>969</v>
      </c>
      <c r="G173" s="152" t="s">
        <v>59</v>
      </c>
      <c r="H173" s="152" t="s">
        <v>1183</v>
      </c>
      <c r="I173" s="152" t="s">
        <v>862</v>
      </c>
      <c r="J173" s="152" t="s">
        <v>159</v>
      </c>
      <c r="K173" s="187" t="s">
        <v>410</v>
      </c>
      <c r="L173" s="153"/>
    </row>
    <row r="174" spans="1:12" ht="16" hidden="1">
      <c r="A174" s="141" t="str">
        <f t="shared" si="2"/>
        <v>081232</v>
      </c>
      <c r="B174" s="158">
        <v>1081</v>
      </c>
      <c r="C174" s="192">
        <v>43826</v>
      </c>
      <c r="D174" s="152" t="s">
        <v>1184</v>
      </c>
      <c r="E174" s="186" t="s">
        <v>1038</v>
      </c>
      <c r="F174" s="152" t="s">
        <v>1039</v>
      </c>
      <c r="G174" s="152" t="s">
        <v>59</v>
      </c>
      <c r="H174" s="152" t="s">
        <v>131</v>
      </c>
      <c r="I174" s="152" t="s">
        <v>862</v>
      </c>
      <c r="J174" s="152" t="s">
        <v>159</v>
      </c>
      <c r="K174" s="187" t="s">
        <v>410</v>
      </c>
      <c r="L174" s="153"/>
    </row>
    <row r="175" spans="1:12" ht="16" hidden="1">
      <c r="A175" s="141" t="str">
        <f t="shared" si="2"/>
        <v>055206</v>
      </c>
      <c r="B175" s="158">
        <v>1081</v>
      </c>
      <c r="C175" s="192">
        <v>43829</v>
      </c>
      <c r="D175" s="152" t="s">
        <v>1185</v>
      </c>
      <c r="E175" s="186" t="s">
        <v>464</v>
      </c>
      <c r="F175" s="152" t="s">
        <v>1186</v>
      </c>
      <c r="G175" s="152" t="s">
        <v>1187</v>
      </c>
      <c r="H175" s="152" t="s">
        <v>131</v>
      </c>
      <c r="I175" s="152" t="s">
        <v>862</v>
      </c>
      <c r="J175" s="152" t="s">
        <v>159</v>
      </c>
      <c r="K175" s="187" t="s">
        <v>410</v>
      </c>
      <c r="L175" s="153"/>
    </row>
    <row r="176" spans="1:12" ht="16" hidden="1">
      <c r="A176" s="141" t="str">
        <f t="shared" si="2"/>
        <v>083231</v>
      </c>
      <c r="B176" s="158">
        <v>1081</v>
      </c>
      <c r="C176" s="192">
        <v>43836</v>
      </c>
      <c r="D176" s="152" t="s">
        <v>1188</v>
      </c>
      <c r="E176" s="186" t="s">
        <v>1035</v>
      </c>
      <c r="F176" s="152" t="s">
        <v>1036</v>
      </c>
      <c r="G176" s="152" t="s">
        <v>60</v>
      </c>
      <c r="H176" s="152" t="s">
        <v>163</v>
      </c>
      <c r="I176" s="152" t="s">
        <v>1189</v>
      </c>
      <c r="J176" s="152" t="s">
        <v>164</v>
      </c>
      <c r="K176" s="187" t="s">
        <v>1239</v>
      </c>
      <c r="L176" s="153"/>
    </row>
    <row r="177" spans="1:12" ht="16" hidden="1">
      <c r="A177" s="141" t="str">
        <f t="shared" si="2"/>
        <v>083226</v>
      </c>
      <c r="B177" s="158">
        <v>1081</v>
      </c>
      <c r="C177" s="192">
        <v>43838</v>
      </c>
      <c r="D177" s="152" t="s">
        <v>830</v>
      </c>
      <c r="E177" s="186" t="s">
        <v>1015</v>
      </c>
      <c r="F177" s="152" t="s">
        <v>1016</v>
      </c>
      <c r="G177" s="152" t="s">
        <v>59</v>
      </c>
      <c r="H177" s="152" t="s">
        <v>163</v>
      </c>
      <c r="I177" s="152" t="s">
        <v>1189</v>
      </c>
      <c r="J177" s="152" t="s">
        <v>164</v>
      </c>
      <c r="K177" s="187" t="s">
        <v>1193</v>
      </c>
      <c r="L177" s="153"/>
    </row>
    <row r="178" spans="1:12" ht="16" hidden="1">
      <c r="A178" s="141" t="str">
        <f t="shared" si="2"/>
        <v>083206</v>
      </c>
      <c r="B178" s="158">
        <v>1082</v>
      </c>
      <c r="C178" s="192">
        <v>43864</v>
      </c>
      <c r="D178" s="152" t="s">
        <v>1194</v>
      </c>
      <c r="E178" s="186" t="s">
        <v>939</v>
      </c>
      <c r="F178" s="152" t="s">
        <v>940</v>
      </c>
      <c r="G178" s="152" t="s">
        <v>59</v>
      </c>
      <c r="H178" s="152" t="s">
        <v>1195</v>
      </c>
      <c r="I178" s="152" t="s">
        <v>1196</v>
      </c>
      <c r="J178" s="152" t="s">
        <v>159</v>
      </c>
      <c r="K178" s="187" t="s">
        <v>1205</v>
      </c>
      <c r="L178" s="153"/>
    </row>
    <row r="179" spans="1:12" ht="16" hidden="1">
      <c r="A179" s="141" t="str">
        <f t="shared" si="2"/>
        <v>083114</v>
      </c>
      <c r="B179" s="158">
        <v>1082</v>
      </c>
      <c r="C179" s="192">
        <v>43864</v>
      </c>
      <c r="D179" s="152" t="s">
        <v>1197</v>
      </c>
      <c r="E179" s="186" t="s">
        <v>975</v>
      </c>
      <c r="F179" s="152" t="s">
        <v>981</v>
      </c>
      <c r="G179" s="152" t="s">
        <v>59</v>
      </c>
      <c r="H179" s="152" t="s">
        <v>1195</v>
      </c>
      <c r="I179" s="152" t="s">
        <v>1196</v>
      </c>
      <c r="J179" s="152" t="s">
        <v>159</v>
      </c>
      <c r="K179" s="187" t="s">
        <v>1198</v>
      </c>
      <c r="L179" s="153"/>
    </row>
    <row r="180" spans="1:12" ht="16" hidden="1">
      <c r="A180" s="141" t="str">
        <f t="shared" si="2"/>
        <v>073119</v>
      </c>
      <c r="B180" s="158">
        <v>1082</v>
      </c>
      <c r="C180" s="192">
        <v>43865</v>
      </c>
      <c r="D180" s="152" t="s">
        <v>1194</v>
      </c>
      <c r="E180" s="186" t="s">
        <v>1060</v>
      </c>
      <c r="F180" s="152" t="s">
        <v>1061</v>
      </c>
      <c r="G180" s="152" t="s">
        <v>59</v>
      </c>
      <c r="H180" s="152" t="s">
        <v>1195</v>
      </c>
      <c r="I180" s="152" t="s">
        <v>1196</v>
      </c>
      <c r="J180" s="152" t="s">
        <v>159</v>
      </c>
      <c r="K180" s="187" t="s">
        <v>1206</v>
      </c>
      <c r="L180" s="153"/>
    </row>
    <row r="181" spans="1:12" ht="16" hidden="1">
      <c r="A181" s="141" t="str">
        <f t="shared" si="2"/>
        <v>081418</v>
      </c>
      <c r="B181" s="158">
        <v>1082</v>
      </c>
      <c r="C181" s="192">
        <v>43865</v>
      </c>
      <c r="D181" s="152" t="s">
        <v>1199</v>
      </c>
      <c r="E181" s="186" t="s">
        <v>990</v>
      </c>
      <c r="F181" s="152" t="s">
        <v>991</v>
      </c>
      <c r="G181" s="152" t="s">
        <v>59</v>
      </c>
      <c r="H181" s="152" t="s">
        <v>131</v>
      </c>
      <c r="I181" s="152" t="s">
        <v>1200</v>
      </c>
      <c r="J181" s="152" t="s">
        <v>159</v>
      </c>
      <c r="K181" s="187" t="s">
        <v>410</v>
      </c>
      <c r="L181" s="153"/>
    </row>
    <row r="182" spans="1:12" ht="16" hidden="1">
      <c r="A182" s="141" t="str">
        <f t="shared" si="2"/>
        <v>063307</v>
      </c>
      <c r="B182" s="158">
        <v>1082</v>
      </c>
      <c r="C182" s="192">
        <v>43864</v>
      </c>
      <c r="D182" s="152" t="s">
        <v>1156</v>
      </c>
      <c r="E182" s="186" t="s">
        <v>180</v>
      </c>
      <c r="F182" s="152" t="s">
        <v>181</v>
      </c>
      <c r="G182" s="152" t="s">
        <v>59</v>
      </c>
      <c r="H182" s="152" t="s">
        <v>1195</v>
      </c>
      <c r="I182" s="152" t="s">
        <v>1196</v>
      </c>
      <c r="J182" s="152" t="s">
        <v>159</v>
      </c>
      <c r="K182" s="187" t="s">
        <v>1201</v>
      </c>
      <c r="L182" s="153"/>
    </row>
    <row r="183" spans="1:12" ht="16" hidden="1">
      <c r="A183" s="141" t="str">
        <f t="shared" si="2"/>
        <v>081208</v>
      </c>
      <c r="B183" s="158">
        <v>1082</v>
      </c>
      <c r="C183" s="192">
        <v>43864</v>
      </c>
      <c r="D183" s="152" t="s">
        <v>138</v>
      </c>
      <c r="E183" s="186" t="s">
        <v>947</v>
      </c>
      <c r="F183" s="152" t="s">
        <v>948</v>
      </c>
      <c r="G183" s="152" t="s">
        <v>59</v>
      </c>
      <c r="H183" s="152" t="s">
        <v>1195</v>
      </c>
      <c r="I183" s="152" t="s">
        <v>1196</v>
      </c>
      <c r="J183" s="152" t="s">
        <v>159</v>
      </c>
      <c r="K183" s="187" t="s">
        <v>1202</v>
      </c>
      <c r="L183" s="153"/>
    </row>
    <row r="184" spans="1:12" ht="16" hidden="1">
      <c r="A184" s="141" t="str">
        <f t="shared" si="2"/>
        <v>084216</v>
      </c>
      <c r="B184" s="158">
        <v>1082</v>
      </c>
      <c r="C184" s="192">
        <v>43865</v>
      </c>
      <c r="D184" s="152" t="s">
        <v>1203</v>
      </c>
      <c r="E184" s="186" t="s">
        <v>986</v>
      </c>
      <c r="F184" s="152" t="s">
        <v>987</v>
      </c>
      <c r="G184" s="152" t="s">
        <v>60</v>
      </c>
      <c r="H184" s="152" t="s">
        <v>1195</v>
      </c>
      <c r="I184" s="152" t="s">
        <v>1196</v>
      </c>
      <c r="J184" s="152" t="s">
        <v>159</v>
      </c>
      <c r="K184" s="187" t="s">
        <v>1204</v>
      </c>
      <c r="L184" s="153"/>
    </row>
    <row r="185" spans="1:12" ht="16" hidden="1">
      <c r="A185" s="141" t="str">
        <f t="shared" si="2"/>
        <v>078210</v>
      </c>
      <c r="B185" s="158">
        <v>1082</v>
      </c>
      <c r="C185" s="192">
        <v>43866</v>
      </c>
      <c r="D185" s="152" t="s">
        <v>1210</v>
      </c>
      <c r="E185" s="186" t="s">
        <v>573</v>
      </c>
      <c r="F185" s="152" t="s">
        <v>574</v>
      </c>
      <c r="G185" s="152" t="s">
        <v>59</v>
      </c>
      <c r="H185" s="152" t="s">
        <v>134</v>
      </c>
      <c r="I185" s="152" t="s">
        <v>1196</v>
      </c>
      <c r="J185" s="152" t="s">
        <v>159</v>
      </c>
      <c r="K185" s="187" t="s">
        <v>1204</v>
      </c>
      <c r="L185" s="153"/>
    </row>
    <row r="186" spans="1:12" ht="16" hidden="1">
      <c r="A186" s="141" t="str">
        <f t="shared" si="2"/>
        <v>084134</v>
      </c>
      <c r="B186" s="158">
        <v>1082</v>
      </c>
      <c r="C186" s="192">
        <v>43867</v>
      </c>
      <c r="D186" s="152" t="s">
        <v>1211</v>
      </c>
      <c r="E186" s="186" t="s">
        <v>1044</v>
      </c>
      <c r="F186" s="152" t="s">
        <v>1040</v>
      </c>
      <c r="G186" s="152" t="s">
        <v>59</v>
      </c>
      <c r="H186" s="152" t="s">
        <v>134</v>
      </c>
      <c r="I186" s="152" t="s">
        <v>1196</v>
      </c>
      <c r="J186" s="152" t="s">
        <v>159</v>
      </c>
      <c r="K186" s="187" t="s">
        <v>1212</v>
      </c>
      <c r="L186" s="153"/>
    </row>
    <row r="187" spans="1:12" ht="16" hidden="1">
      <c r="A187" s="141" t="str">
        <f t="shared" si="2"/>
        <v>076211</v>
      </c>
      <c r="B187" s="158">
        <v>1082</v>
      </c>
      <c r="C187" s="192">
        <v>43865</v>
      </c>
      <c r="D187" s="152" t="s">
        <v>1213</v>
      </c>
      <c r="E187" s="186" t="s">
        <v>1079</v>
      </c>
      <c r="F187" s="152" t="s">
        <v>1078</v>
      </c>
      <c r="G187" s="152" t="s">
        <v>59</v>
      </c>
      <c r="H187" s="152" t="s">
        <v>134</v>
      </c>
      <c r="I187" s="152" t="s">
        <v>1196</v>
      </c>
      <c r="J187" s="152" t="s">
        <v>159</v>
      </c>
      <c r="K187" s="187" t="s">
        <v>1214</v>
      </c>
      <c r="L187" s="153"/>
    </row>
    <row r="188" spans="1:12" ht="16" hidden="1">
      <c r="A188" s="141" t="str">
        <f t="shared" ref="A188:A259" si="3">TRIM(E188)</f>
        <v>063101</v>
      </c>
      <c r="B188" s="158">
        <v>1082</v>
      </c>
      <c r="C188" s="192">
        <v>43868</v>
      </c>
      <c r="D188" s="152" t="s">
        <v>1215</v>
      </c>
      <c r="E188" s="186" t="s">
        <v>475</v>
      </c>
      <c r="F188" s="152" t="s">
        <v>1216</v>
      </c>
      <c r="G188" s="152" t="s">
        <v>1217</v>
      </c>
      <c r="H188" s="152" t="s">
        <v>134</v>
      </c>
      <c r="I188" s="152" t="s">
        <v>1218</v>
      </c>
      <c r="J188" s="152" t="s">
        <v>159</v>
      </c>
      <c r="K188" s="187" t="s">
        <v>1219</v>
      </c>
      <c r="L188" s="153"/>
    </row>
    <row r="189" spans="1:12" ht="16" hidden="1">
      <c r="A189" s="141" t="str">
        <f t="shared" si="3"/>
        <v>085206</v>
      </c>
      <c r="B189" s="158">
        <v>1082</v>
      </c>
      <c r="C189" s="192">
        <v>43875</v>
      </c>
      <c r="D189" s="152" t="s">
        <v>1220</v>
      </c>
      <c r="E189" s="186" t="s">
        <v>941</v>
      </c>
      <c r="F189" s="152" t="s">
        <v>942</v>
      </c>
      <c r="G189" s="152" t="s">
        <v>59</v>
      </c>
      <c r="H189" s="152" t="s">
        <v>134</v>
      </c>
      <c r="I189" s="152" t="s">
        <v>1196</v>
      </c>
      <c r="J189" s="152" t="s">
        <v>159</v>
      </c>
      <c r="K189" s="187" t="s">
        <v>1221</v>
      </c>
      <c r="L189" s="153"/>
    </row>
    <row r="190" spans="1:12" ht="16" hidden="1">
      <c r="A190" s="141" t="str">
        <f t="shared" si="3"/>
        <v>083106</v>
      </c>
      <c r="B190" s="158">
        <v>1082</v>
      </c>
      <c r="C190" s="192">
        <v>43878</v>
      </c>
      <c r="D190" s="152" t="s">
        <v>137</v>
      </c>
      <c r="E190" s="186" t="s">
        <v>938</v>
      </c>
      <c r="F190" s="152" t="s">
        <v>944</v>
      </c>
      <c r="G190" s="152" t="s">
        <v>59</v>
      </c>
      <c r="H190" s="152" t="s">
        <v>1222</v>
      </c>
      <c r="I190" s="152" t="s">
        <v>1196</v>
      </c>
      <c r="J190" s="152" t="s">
        <v>159</v>
      </c>
      <c r="K190" s="187" t="s">
        <v>1223</v>
      </c>
      <c r="L190" s="153"/>
    </row>
    <row r="191" spans="1:12" ht="16" hidden="1">
      <c r="A191" s="141" t="str">
        <f t="shared" si="3"/>
        <v>075138</v>
      </c>
      <c r="B191" s="158">
        <v>1082</v>
      </c>
      <c r="C191" s="192">
        <v>43881</v>
      </c>
      <c r="D191" s="152" t="s">
        <v>1224</v>
      </c>
      <c r="E191" s="186" t="s">
        <v>639</v>
      </c>
      <c r="F191" s="152" t="s">
        <v>641</v>
      </c>
      <c r="G191" s="152" t="s">
        <v>59</v>
      </c>
      <c r="H191" s="152" t="s">
        <v>134</v>
      </c>
      <c r="I191" s="152" t="s">
        <v>1196</v>
      </c>
      <c r="J191" s="152" t="s">
        <v>159</v>
      </c>
      <c r="K191" s="187" t="s">
        <v>1225</v>
      </c>
      <c r="L191" s="153"/>
    </row>
    <row r="192" spans="1:12" ht="16" hidden="1">
      <c r="A192" s="141" t="str">
        <f t="shared" si="3"/>
        <v>075208</v>
      </c>
      <c r="B192" s="158">
        <v>1082</v>
      </c>
      <c r="C192" s="192">
        <v>43885</v>
      </c>
      <c r="D192" s="152" t="s">
        <v>1226</v>
      </c>
      <c r="E192" s="186" t="s">
        <v>563</v>
      </c>
      <c r="F192" s="152" t="s">
        <v>556</v>
      </c>
      <c r="G192" s="152" t="s">
        <v>59</v>
      </c>
      <c r="H192" s="152" t="s">
        <v>675</v>
      </c>
      <c r="I192" s="152" t="s">
        <v>1227</v>
      </c>
      <c r="J192" s="152" t="s">
        <v>164</v>
      </c>
      <c r="K192" s="187" t="s">
        <v>1228</v>
      </c>
      <c r="L192" s="153" t="s">
        <v>1230</v>
      </c>
    </row>
    <row r="193" spans="1:12" ht="16" hidden="1">
      <c r="A193" s="141" t="str">
        <f t="shared" si="3"/>
        <v>084108</v>
      </c>
      <c r="B193" s="158">
        <v>1082</v>
      </c>
      <c r="C193" s="192">
        <v>43886</v>
      </c>
      <c r="D193" s="152" t="s">
        <v>1229</v>
      </c>
      <c r="E193" s="186" t="s">
        <v>950</v>
      </c>
      <c r="F193" s="152" t="s">
        <v>951</v>
      </c>
      <c r="G193" s="152" t="s">
        <v>59</v>
      </c>
      <c r="H193" s="152" t="s">
        <v>1231</v>
      </c>
      <c r="I193" s="152" t="s">
        <v>1227</v>
      </c>
      <c r="J193" s="152" t="s">
        <v>164</v>
      </c>
      <c r="K193" s="187" t="s">
        <v>410</v>
      </c>
      <c r="L193" s="153"/>
    </row>
    <row r="194" spans="1:12" ht="16" hidden="1">
      <c r="A194" s="141" t="str">
        <f t="shared" si="3"/>
        <v>071315</v>
      </c>
      <c r="B194" s="158">
        <v>1082</v>
      </c>
      <c r="C194" s="192">
        <v>43886</v>
      </c>
      <c r="D194" s="152" t="s">
        <v>1232</v>
      </c>
      <c r="E194" s="186" t="s">
        <v>584</v>
      </c>
      <c r="F194" s="152" t="s">
        <v>589</v>
      </c>
      <c r="G194" s="152" t="s">
        <v>59</v>
      </c>
      <c r="H194" s="152" t="s">
        <v>1231</v>
      </c>
      <c r="I194" s="152" t="s">
        <v>1227</v>
      </c>
      <c r="J194" s="152" t="s">
        <v>164</v>
      </c>
      <c r="K194" s="187" t="s">
        <v>410</v>
      </c>
      <c r="L194" s="153"/>
    </row>
    <row r="195" spans="1:12" ht="16" hidden="1">
      <c r="A195" s="141" t="str">
        <f t="shared" si="3"/>
        <v>082320</v>
      </c>
      <c r="B195" s="158">
        <v>1082</v>
      </c>
      <c r="C195" s="192">
        <v>43886</v>
      </c>
      <c r="D195" s="152" t="s">
        <v>140</v>
      </c>
      <c r="E195" s="186" t="s">
        <v>994</v>
      </c>
      <c r="F195" s="152" t="s">
        <v>997</v>
      </c>
      <c r="G195" s="152" t="s">
        <v>59</v>
      </c>
      <c r="H195" s="152" t="s">
        <v>1231</v>
      </c>
      <c r="I195" s="152" t="s">
        <v>1227</v>
      </c>
      <c r="J195" s="152" t="s">
        <v>164</v>
      </c>
      <c r="K195" s="187" t="s">
        <v>410</v>
      </c>
      <c r="L195" s="153"/>
    </row>
    <row r="196" spans="1:12" ht="16" hidden="1">
      <c r="A196" s="141" t="str">
        <f t="shared" si="3"/>
        <v>074234</v>
      </c>
      <c r="B196" s="158">
        <v>1082</v>
      </c>
      <c r="C196" s="192">
        <v>43887</v>
      </c>
      <c r="D196" s="152" t="s">
        <v>1233</v>
      </c>
      <c r="E196" s="186" t="s">
        <v>635</v>
      </c>
      <c r="F196" s="152" t="s">
        <v>633</v>
      </c>
      <c r="G196" s="152" t="s">
        <v>59</v>
      </c>
      <c r="H196" s="152" t="s">
        <v>1234</v>
      </c>
      <c r="I196" s="152" t="s">
        <v>1227</v>
      </c>
      <c r="J196" s="152" t="s">
        <v>1235</v>
      </c>
      <c r="K196" s="187" t="s">
        <v>1236</v>
      </c>
      <c r="L196" s="153"/>
    </row>
    <row r="197" spans="1:12" ht="16" hidden="1">
      <c r="A197" s="141" t="str">
        <f t="shared" si="3"/>
        <v>082125</v>
      </c>
      <c r="B197" s="158">
        <v>1082</v>
      </c>
      <c r="C197" s="192">
        <v>43887</v>
      </c>
      <c r="D197" s="152" t="s">
        <v>1237</v>
      </c>
      <c r="E197" s="186" t="s">
        <v>1008</v>
      </c>
      <c r="F197" s="152" t="s">
        <v>1009</v>
      </c>
      <c r="G197" s="152" t="s">
        <v>59</v>
      </c>
      <c r="H197" s="152" t="s">
        <v>1234</v>
      </c>
      <c r="I197" s="152" t="s">
        <v>1227</v>
      </c>
      <c r="J197" s="152" t="s">
        <v>1235</v>
      </c>
      <c r="K197" s="187" t="s">
        <v>1236</v>
      </c>
      <c r="L197" s="153"/>
    </row>
    <row r="198" spans="1:12" ht="16" hidden="1">
      <c r="A198" s="141" t="str">
        <f t="shared" si="3"/>
        <v>082105</v>
      </c>
      <c r="B198" s="158">
        <v>1082</v>
      </c>
      <c r="C198" s="192">
        <v>43887</v>
      </c>
      <c r="D198" s="152" t="s">
        <v>1237</v>
      </c>
      <c r="E198" s="186" t="s">
        <v>932</v>
      </c>
      <c r="F198" s="152" t="s">
        <v>933</v>
      </c>
      <c r="G198" s="152" t="s">
        <v>59</v>
      </c>
      <c r="H198" s="152" t="s">
        <v>131</v>
      </c>
      <c r="I198" s="152" t="s">
        <v>1227</v>
      </c>
      <c r="J198" s="152" t="s">
        <v>164</v>
      </c>
      <c r="K198" s="187" t="s">
        <v>1238</v>
      </c>
      <c r="L198" s="153"/>
    </row>
    <row r="199" spans="1:12" ht="16" hidden="1">
      <c r="A199" s="141" t="str">
        <f t="shared" si="3"/>
        <v>073127</v>
      </c>
      <c r="B199" s="158">
        <v>1082</v>
      </c>
      <c r="C199" s="192">
        <v>43901</v>
      </c>
      <c r="D199" s="152" t="s">
        <v>1240</v>
      </c>
      <c r="E199" s="186" t="s">
        <v>616</v>
      </c>
      <c r="F199" s="152" t="s">
        <v>614</v>
      </c>
      <c r="G199" s="152" t="s">
        <v>59</v>
      </c>
      <c r="H199" s="152" t="s">
        <v>131</v>
      </c>
      <c r="I199" s="152" t="s">
        <v>1227</v>
      </c>
      <c r="J199" s="152" t="s">
        <v>164</v>
      </c>
      <c r="K199" s="187" t="s">
        <v>410</v>
      </c>
      <c r="L199" s="153"/>
    </row>
    <row r="200" spans="1:12" ht="16" hidden="1">
      <c r="A200" s="141" t="str">
        <f t="shared" si="3"/>
        <v>082321</v>
      </c>
      <c r="B200" s="158">
        <v>1082</v>
      </c>
      <c r="C200" s="192">
        <v>43903</v>
      </c>
      <c r="D200" s="152" t="s">
        <v>1241</v>
      </c>
      <c r="E200" s="186" t="s">
        <v>996</v>
      </c>
      <c r="F200" s="152" t="s">
        <v>998</v>
      </c>
      <c r="G200" s="152" t="s">
        <v>59</v>
      </c>
      <c r="H200" s="152" t="s">
        <v>131</v>
      </c>
      <c r="I200" s="152" t="s">
        <v>1227</v>
      </c>
      <c r="J200" s="152" t="s">
        <v>164</v>
      </c>
      <c r="K200" s="187" t="s">
        <v>410</v>
      </c>
      <c r="L200" s="153"/>
    </row>
    <row r="201" spans="1:12" ht="16" hidden="1">
      <c r="A201" s="141" t="str">
        <f t="shared" si="3"/>
        <v>088102</v>
      </c>
      <c r="B201" s="158">
        <v>1082</v>
      </c>
      <c r="C201" s="192">
        <v>43910</v>
      </c>
      <c r="D201" s="152" t="s">
        <v>1242</v>
      </c>
      <c r="E201" s="186" t="s">
        <v>926</v>
      </c>
      <c r="F201" s="152" t="s">
        <v>927</v>
      </c>
      <c r="G201" s="152" t="s">
        <v>60</v>
      </c>
      <c r="H201" s="152" t="s">
        <v>131</v>
      </c>
      <c r="I201" s="152" t="s">
        <v>1227</v>
      </c>
      <c r="J201" s="152" t="s">
        <v>164</v>
      </c>
      <c r="K201" s="187" t="s">
        <v>410</v>
      </c>
      <c r="L201" s="153"/>
    </row>
    <row r="202" spans="1:12" ht="16" hidden="1">
      <c r="A202" s="141" t="str">
        <f t="shared" si="3"/>
        <v>072312</v>
      </c>
      <c r="B202" s="158">
        <v>1082</v>
      </c>
      <c r="C202" s="192">
        <v>43910</v>
      </c>
      <c r="D202" s="152" t="s">
        <v>1243</v>
      </c>
      <c r="E202" s="186" t="s">
        <v>579</v>
      </c>
      <c r="F202" s="152" t="s">
        <v>580</v>
      </c>
      <c r="G202" s="152" t="s">
        <v>59</v>
      </c>
      <c r="H202" s="152" t="s">
        <v>131</v>
      </c>
      <c r="I202" s="152" t="s">
        <v>1227</v>
      </c>
      <c r="J202" s="152" t="s">
        <v>164</v>
      </c>
      <c r="K202" s="187" t="s">
        <v>410</v>
      </c>
      <c r="L202" s="153"/>
    </row>
    <row r="203" spans="1:12" ht="16" hidden="1">
      <c r="A203" s="141" t="str">
        <f t="shared" si="3"/>
        <v>061318</v>
      </c>
      <c r="B203" s="158">
        <v>1082</v>
      </c>
      <c r="C203" s="192">
        <v>43914</v>
      </c>
      <c r="D203" s="152" t="s">
        <v>1244</v>
      </c>
      <c r="E203" s="186" t="s">
        <v>1059</v>
      </c>
      <c r="F203" s="152" t="s">
        <v>185</v>
      </c>
      <c r="G203" s="152" t="s">
        <v>59</v>
      </c>
      <c r="H203" s="152" t="s">
        <v>1248</v>
      </c>
      <c r="I203" s="152" t="s">
        <v>1227</v>
      </c>
      <c r="J203" s="152" t="s">
        <v>164</v>
      </c>
      <c r="K203" s="187" t="s">
        <v>1248</v>
      </c>
      <c r="L203" s="153"/>
    </row>
    <row r="204" spans="1:12" ht="16" hidden="1">
      <c r="A204" s="141" t="str">
        <f t="shared" si="3"/>
        <v>068204</v>
      </c>
      <c r="B204" s="158">
        <v>1082</v>
      </c>
      <c r="C204" s="192">
        <v>43927</v>
      </c>
      <c r="D204" s="152" t="s">
        <v>1245</v>
      </c>
      <c r="E204" s="186" t="s">
        <v>176</v>
      </c>
      <c r="F204" s="152" t="s">
        <v>177</v>
      </c>
      <c r="G204" s="152" t="s">
        <v>59</v>
      </c>
      <c r="H204" s="152" t="s">
        <v>131</v>
      </c>
      <c r="I204" s="152" t="s">
        <v>1227</v>
      </c>
      <c r="J204" s="152" t="s">
        <v>164</v>
      </c>
      <c r="K204" s="187" t="s">
        <v>1246</v>
      </c>
      <c r="L204" s="153"/>
    </row>
    <row r="205" spans="1:12" ht="16" hidden="1">
      <c r="A205" s="141" t="str">
        <f t="shared" si="3"/>
        <v>074133</v>
      </c>
      <c r="B205" s="158">
        <v>1082</v>
      </c>
      <c r="C205" s="192">
        <v>43928</v>
      </c>
      <c r="D205" s="152" t="s">
        <v>1247</v>
      </c>
      <c r="E205" s="186" t="s">
        <v>631</v>
      </c>
      <c r="F205" s="152" t="s">
        <v>632</v>
      </c>
      <c r="G205" s="152" t="s">
        <v>60</v>
      </c>
      <c r="H205" s="152" t="s">
        <v>131</v>
      </c>
      <c r="I205" s="152" t="s">
        <v>1227</v>
      </c>
      <c r="J205" s="152" t="s">
        <v>164</v>
      </c>
      <c r="K205" s="187" t="s">
        <v>410</v>
      </c>
      <c r="L205" s="153"/>
    </row>
    <row r="206" spans="1:12" ht="16" hidden="1">
      <c r="A206" s="141" t="str">
        <f t="shared" si="3"/>
        <v>082223</v>
      </c>
      <c r="B206" s="158">
        <v>1082</v>
      </c>
      <c r="C206" s="192">
        <v>43952</v>
      </c>
      <c r="D206" s="152" t="s">
        <v>1249</v>
      </c>
      <c r="E206" s="186" t="s">
        <v>1001</v>
      </c>
      <c r="F206" s="152" t="s">
        <v>1002</v>
      </c>
      <c r="G206" s="152" t="s">
        <v>59</v>
      </c>
      <c r="H206" s="152" t="s">
        <v>131</v>
      </c>
      <c r="I206" s="152" t="s">
        <v>1227</v>
      </c>
      <c r="J206" s="152" t="s">
        <v>164</v>
      </c>
      <c r="K206" s="187" t="s">
        <v>1250</v>
      </c>
      <c r="L206" s="153"/>
    </row>
    <row r="207" spans="1:12" ht="16" hidden="1">
      <c r="A207" s="141" t="str">
        <f t="shared" si="3"/>
        <v>073315</v>
      </c>
      <c r="B207" s="158">
        <v>1082</v>
      </c>
      <c r="C207" s="192">
        <v>43965</v>
      </c>
      <c r="D207" s="152" t="s">
        <v>260</v>
      </c>
      <c r="E207" s="186" t="s">
        <v>585</v>
      </c>
      <c r="F207" s="152" t="s">
        <v>592</v>
      </c>
      <c r="G207" s="152" t="s">
        <v>59</v>
      </c>
      <c r="H207" s="152" t="s">
        <v>131</v>
      </c>
      <c r="I207" s="152" t="s">
        <v>1227</v>
      </c>
      <c r="J207" s="152" t="s">
        <v>164</v>
      </c>
      <c r="K207" s="187" t="s">
        <v>410</v>
      </c>
      <c r="L207" s="153"/>
    </row>
    <row r="208" spans="1:12" ht="16" hidden="1">
      <c r="A208" s="141" t="str">
        <f t="shared" si="3"/>
        <v>081204</v>
      </c>
      <c r="B208" s="158">
        <v>1082</v>
      </c>
      <c r="C208" s="192">
        <v>43977</v>
      </c>
      <c r="D208" s="152" t="s">
        <v>1251</v>
      </c>
      <c r="E208" s="186" t="s">
        <v>929</v>
      </c>
      <c r="F208" s="152" t="s">
        <v>930</v>
      </c>
      <c r="G208" s="152" t="s">
        <v>59</v>
      </c>
      <c r="H208" s="152" t="s">
        <v>131</v>
      </c>
      <c r="I208" s="152" t="s">
        <v>1227</v>
      </c>
      <c r="J208" s="152" t="s">
        <v>164</v>
      </c>
      <c r="K208" s="187" t="s">
        <v>410</v>
      </c>
      <c r="L208" s="153"/>
    </row>
    <row r="209" spans="1:12" ht="16" hidden="1">
      <c r="A209" s="141" t="str">
        <f t="shared" si="3"/>
        <v>081216</v>
      </c>
      <c r="B209" s="158">
        <v>1082</v>
      </c>
      <c r="C209" s="192">
        <v>43978</v>
      </c>
      <c r="D209" s="152" t="s">
        <v>1251</v>
      </c>
      <c r="E209" s="186" t="s">
        <v>982</v>
      </c>
      <c r="F209" s="152" t="s">
        <v>148</v>
      </c>
      <c r="G209" s="152" t="s">
        <v>59</v>
      </c>
      <c r="H209" s="152" t="s">
        <v>131</v>
      </c>
      <c r="I209" s="152" t="s">
        <v>1227</v>
      </c>
      <c r="J209" s="152" t="s">
        <v>164</v>
      </c>
      <c r="K209" s="187" t="s">
        <v>410</v>
      </c>
      <c r="L209" s="153"/>
    </row>
    <row r="210" spans="1:12" ht="16" hidden="1">
      <c r="A210" s="141" t="str">
        <f t="shared" si="3"/>
        <v>061116</v>
      </c>
      <c r="B210" s="158">
        <v>1082</v>
      </c>
      <c r="C210" s="192">
        <v>43979</v>
      </c>
      <c r="D210" s="152" t="s">
        <v>1077</v>
      </c>
      <c r="E210" s="186" t="s">
        <v>188</v>
      </c>
      <c r="F210" s="152" t="s">
        <v>259</v>
      </c>
      <c r="G210" s="152" t="s">
        <v>59</v>
      </c>
      <c r="H210" s="152" t="s">
        <v>134</v>
      </c>
      <c r="I210" s="152" t="s">
        <v>1252</v>
      </c>
      <c r="J210" s="152" t="s">
        <v>164</v>
      </c>
      <c r="K210" s="187" t="s">
        <v>1253</v>
      </c>
      <c r="L210" s="153"/>
    </row>
    <row r="211" spans="1:12" ht="16" hidden="1">
      <c r="A211" s="141" t="str">
        <f t="shared" si="3"/>
        <v>085137</v>
      </c>
      <c r="B211" s="158">
        <v>1082</v>
      </c>
      <c r="C211" s="192">
        <v>43979</v>
      </c>
      <c r="D211" s="152" t="s">
        <v>1254</v>
      </c>
      <c r="E211" s="186" t="s">
        <v>1054</v>
      </c>
      <c r="F211" s="152" t="s">
        <v>1055</v>
      </c>
      <c r="G211" s="152" t="s">
        <v>60</v>
      </c>
      <c r="H211" s="152" t="s">
        <v>134</v>
      </c>
      <c r="I211" s="152" t="s">
        <v>1227</v>
      </c>
      <c r="J211" s="152" t="s">
        <v>164</v>
      </c>
      <c r="K211" s="187" t="s">
        <v>1255</v>
      </c>
      <c r="L211" s="153"/>
    </row>
    <row r="212" spans="1:12" ht="16" hidden="1">
      <c r="A212" s="141" t="str">
        <f t="shared" si="3"/>
        <v>084233</v>
      </c>
      <c r="B212" s="158">
        <v>1082</v>
      </c>
      <c r="C212" s="192">
        <v>43983</v>
      </c>
      <c r="D212" s="152" t="s">
        <v>1256</v>
      </c>
      <c r="E212" s="186" t="s">
        <v>1043</v>
      </c>
      <c r="F212" s="152" t="s">
        <v>1045</v>
      </c>
      <c r="G212" s="152" t="s">
        <v>59</v>
      </c>
      <c r="H212" s="152" t="s">
        <v>1257</v>
      </c>
      <c r="I212" s="152" t="s">
        <v>1227</v>
      </c>
      <c r="J212" s="152" t="s">
        <v>164</v>
      </c>
      <c r="K212" s="187" t="s">
        <v>1258</v>
      </c>
      <c r="L212" s="153"/>
    </row>
    <row r="213" spans="1:12" ht="16" hidden="1">
      <c r="A213" s="141" t="str">
        <f t="shared" si="3"/>
        <v>071315</v>
      </c>
      <c r="B213" s="158">
        <v>1082</v>
      </c>
      <c r="C213" s="192">
        <v>43993</v>
      </c>
      <c r="D213" s="152" t="s">
        <v>1259</v>
      </c>
      <c r="E213" s="186" t="s">
        <v>584</v>
      </c>
      <c r="F213" s="152" t="s">
        <v>589</v>
      </c>
      <c r="G213" s="152" t="s">
        <v>59</v>
      </c>
      <c r="H213" s="152" t="s">
        <v>1260</v>
      </c>
      <c r="I213" s="152" t="s">
        <v>679</v>
      </c>
      <c r="J213" s="152" t="s">
        <v>1261</v>
      </c>
      <c r="K213" s="187" t="s">
        <v>1262</v>
      </c>
      <c r="L213" s="153"/>
    </row>
    <row r="214" spans="1:12" ht="16" hidden="1">
      <c r="A214" s="141" t="str">
        <f t="shared" si="3"/>
        <v>083231</v>
      </c>
      <c r="B214" s="158">
        <v>1082</v>
      </c>
      <c r="C214" s="192">
        <v>43998</v>
      </c>
      <c r="D214" s="152" t="s">
        <v>1263</v>
      </c>
      <c r="E214" s="186" t="s">
        <v>1035</v>
      </c>
      <c r="F214" s="152" t="s">
        <v>1036</v>
      </c>
      <c r="G214" s="152" t="s">
        <v>60</v>
      </c>
      <c r="H214" s="152" t="s">
        <v>1264</v>
      </c>
      <c r="I214" s="152" t="s">
        <v>679</v>
      </c>
      <c r="J214" s="152" t="s">
        <v>1261</v>
      </c>
      <c r="K214" s="187" t="s">
        <v>1265</v>
      </c>
      <c r="L214" s="153"/>
    </row>
    <row r="215" spans="1:12" ht="16" hidden="1">
      <c r="A215" s="141" t="str">
        <f t="shared" si="3"/>
        <v>081209</v>
      </c>
      <c r="B215" s="158">
        <v>1082</v>
      </c>
      <c r="C215" s="192">
        <v>44001</v>
      </c>
      <c r="D215" s="152" t="s">
        <v>1266</v>
      </c>
      <c r="E215" s="186" t="s">
        <v>953</v>
      </c>
      <c r="F215" s="152" t="s">
        <v>954</v>
      </c>
      <c r="G215" s="152" t="s">
        <v>59</v>
      </c>
      <c r="H215" s="152" t="s">
        <v>131</v>
      </c>
      <c r="I215" s="152" t="s">
        <v>1227</v>
      </c>
      <c r="J215" s="152" t="s">
        <v>159</v>
      </c>
      <c r="K215" s="187" t="s">
        <v>410</v>
      </c>
      <c r="L215" s="153"/>
    </row>
    <row r="216" spans="1:12" ht="16" hidden="1">
      <c r="A216" s="141" t="str">
        <f t="shared" si="3"/>
        <v>082320</v>
      </c>
      <c r="B216" s="158">
        <v>1082</v>
      </c>
      <c r="C216" s="192">
        <v>44006</v>
      </c>
      <c r="D216" s="152" t="s">
        <v>1267</v>
      </c>
      <c r="E216" s="186" t="s">
        <v>994</v>
      </c>
      <c r="F216" s="152" t="s">
        <v>997</v>
      </c>
      <c r="G216" s="152" t="s">
        <v>59</v>
      </c>
      <c r="H216" s="152" t="s">
        <v>134</v>
      </c>
      <c r="I216" s="152" t="s">
        <v>679</v>
      </c>
      <c r="J216" s="152" t="s">
        <v>159</v>
      </c>
      <c r="K216" s="187" t="s">
        <v>1268</v>
      </c>
      <c r="L216" s="153"/>
    </row>
    <row r="217" spans="1:12" ht="16" hidden="1">
      <c r="A217" s="141" t="str">
        <f t="shared" si="3"/>
        <v>081109</v>
      </c>
      <c r="B217" s="158">
        <v>1082</v>
      </c>
      <c r="C217" s="192">
        <v>44026</v>
      </c>
      <c r="D217" s="152" t="s">
        <v>1269</v>
      </c>
      <c r="E217" s="186" t="s">
        <v>919</v>
      </c>
      <c r="F217" s="152" t="s">
        <v>918</v>
      </c>
      <c r="G217" s="152" t="s">
        <v>59</v>
      </c>
      <c r="H217" s="152" t="s">
        <v>134</v>
      </c>
      <c r="I217" s="152" t="s">
        <v>1270</v>
      </c>
      <c r="J217" s="152" t="s">
        <v>1271</v>
      </c>
      <c r="K217" s="187" t="s">
        <v>1272</v>
      </c>
      <c r="L217" s="153"/>
    </row>
    <row r="218" spans="1:12" ht="16" hidden="1">
      <c r="A218" s="141" t="str">
        <f t="shared" si="3"/>
        <v>085125</v>
      </c>
      <c r="B218" s="158">
        <v>1082</v>
      </c>
      <c r="C218" s="192">
        <v>44026</v>
      </c>
      <c r="D218" s="152" t="s">
        <v>1273</v>
      </c>
      <c r="E218" s="186" t="s">
        <v>1012</v>
      </c>
      <c r="F218" s="152" t="s">
        <v>1013</v>
      </c>
      <c r="G218" s="152" t="s">
        <v>59</v>
      </c>
      <c r="H218" s="152" t="s">
        <v>131</v>
      </c>
      <c r="I218" s="152" t="s">
        <v>1227</v>
      </c>
      <c r="J218" s="152" t="s">
        <v>159</v>
      </c>
      <c r="K218" s="187" t="s">
        <v>1274</v>
      </c>
      <c r="L218" s="153"/>
    </row>
    <row r="219" spans="1:12" ht="16" hidden="1">
      <c r="A219" s="141" t="str">
        <f t="shared" si="3"/>
        <v>081418</v>
      </c>
      <c r="B219" s="158">
        <v>1082</v>
      </c>
      <c r="C219" s="192">
        <v>44028</v>
      </c>
      <c r="D219" s="152" t="s">
        <v>161</v>
      </c>
      <c r="E219" s="186" t="s">
        <v>990</v>
      </c>
      <c r="F219" s="152" t="s">
        <v>991</v>
      </c>
      <c r="G219" s="152" t="s">
        <v>59</v>
      </c>
      <c r="H219" s="152" t="s">
        <v>1275</v>
      </c>
      <c r="I219" s="152" t="s">
        <v>1279</v>
      </c>
      <c r="J219" s="152" t="s">
        <v>159</v>
      </c>
      <c r="K219" s="187" t="s">
        <v>2589</v>
      </c>
      <c r="L219" s="153"/>
    </row>
    <row r="220" spans="1:12" ht="16" hidden="1">
      <c r="A220" s="141" t="str">
        <f t="shared" si="3"/>
        <v>081102</v>
      </c>
      <c r="B220" s="158">
        <v>1082</v>
      </c>
      <c r="C220" s="192">
        <v>44027</v>
      </c>
      <c r="D220" s="152" t="s">
        <v>158</v>
      </c>
      <c r="E220" s="186" t="s">
        <v>917</v>
      </c>
      <c r="F220" s="152" t="s">
        <v>1113</v>
      </c>
      <c r="G220" s="152" t="s">
        <v>60</v>
      </c>
      <c r="H220" s="152" t="s">
        <v>1277</v>
      </c>
      <c r="I220" s="152" t="s">
        <v>1276</v>
      </c>
      <c r="J220" s="152" t="s">
        <v>159</v>
      </c>
      <c r="K220" s="187" t="s">
        <v>1278</v>
      </c>
      <c r="L220" s="153"/>
    </row>
    <row r="221" spans="1:12" ht="16" hidden="1">
      <c r="A221" s="141" t="str">
        <f t="shared" si="3"/>
        <v>064230</v>
      </c>
      <c r="B221" s="158">
        <v>1082</v>
      </c>
      <c r="C221" s="192">
        <v>44032</v>
      </c>
      <c r="D221" s="152" t="s">
        <v>156</v>
      </c>
      <c r="E221" s="186" t="s">
        <v>211</v>
      </c>
      <c r="F221" s="152" t="s">
        <v>212</v>
      </c>
      <c r="G221" s="152" t="s">
        <v>59</v>
      </c>
      <c r="H221" s="152" t="s">
        <v>1280</v>
      </c>
      <c r="I221" s="152" t="s">
        <v>1282</v>
      </c>
      <c r="J221" s="152" t="s">
        <v>159</v>
      </c>
      <c r="K221" s="187" t="s">
        <v>1281</v>
      </c>
      <c r="L221" s="153"/>
    </row>
    <row r="222" spans="1:12" ht="16" hidden="1">
      <c r="A222" s="141" t="str">
        <f t="shared" si="3"/>
        <v>085111</v>
      </c>
      <c r="B222" s="158">
        <v>1082</v>
      </c>
      <c r="C222" s="192">
        <v>44040</v>
      </c>
      <c r="D222" s="152" t="s">
        <v>1283</v>
      </c>
      <c r="E222" s="186" t="s">
        <v>965</v>
      </c>
      <c r="F222" s="152" t="s">
        <v>966</v>
      </c>
      <c r="G222" s="152" t="s">
        <v>59</v>
      </c>
      <c r="H222" s="152" t="s">
        <v>1285</v>
      </c>
      <c r="I222" s="152" t="s">
        <v>1284</v>
      </c>
      <c r="J222" s="152" t="s">
        <v>159</v>
      </c>
      <c r="K222" s="187" t="s">
        <v>901</v>
      </c>
      <c r="L222" s="153"/>
    </row>
    <row r="223" spans="1:12" ht="16" hidden="1">
      <c r="A223" s="141" t="str">
        <f t="shared" si="3"/>
        <v>085210</v>
      </c>
      <c r="B223" s="158">
        <v>1082</v>
      </c>
      <c r="C223" s="192">
        <v>44042</v>
      </c>
      <c r="D223" s="152" t="s">
        <v>58</v>
      </c>
      <c r="E223" s="186" t="s">
        <v>956</v>
      </c>
      <c r="F223" s="152" t="s">
        <v>957</v>
      </c>
      <c r="G223" s="152" t="s">
        <v>59</v>
      </c>
      <c r="H223" s="152" t="s">
        <v>1287</v>
      </c>
      <c r="I223" s="152" t="s">
        <v>1288</v>
      </c>
      <c r="J223" s="152" t="s">
        <v>1289</v>
      </c>
      <c r="K223" s="187" t="s">
        <v>1290</v>
      </c>
      <c r="L223" s="153"/>
    </row>
    <row r="224" spans="1:12" ht="16" hidden="1">
      <c r="A224" s="141" t="str">
        <f t="shared" si="3"/>
        <v>084230</v>
      </c>
      <c r="B224" s="158">
        <v>1082</v>
      </c>
      <c r="C224" s="192">
        <v>44043</v>
      </c>
      <c r="D224" s="152" t="s">
        <v>1291</v>
      </c>
      <c r="E224" s="186" t="s">
        <v>1030</v>
      </c>
      <c r="F224" s="152" t="s">
        <v>1031</v>
      </c>
      <c r="G224" s="152" t="s">
        <v>60</v>
      </c>
      <c r="H224" s="152" t="s">
        <v>134</v>
      </c>
      <c r="I224" s="152" t="s">
        <v>1284</v>
      </c>
      <c r="J224" s="152" t="s">
        <v>159</v>
      </c>
      <c r="K224" s="187" t="s">
        <v>2524</v>
      </c>
      <c r="L224" s="153"/>
    </row>
    <row r="225" spans="1:12" ht="16" hidden="1">
      <c r="A225" s="141" t="str">
        <f t="shared" si="3"/>
        <v>074133</v>
      </c>
      <c r="B225" s="158">
        <v>1082</v>
      </c>
      <c r="C225" s="192">
        <v>44043</v>
      </c>
      <c r="D225" s="152" t="s">
        <v>1292</v>
      </c>
      <c r="E225" s="186" t="s">
        <v>631</v>
      </c>
      <c r="F225" s="152" t="s">
        <v>632</v>
      </c>
      <c r="G225" s="152" t="s">
        <v>60</v>
      </c>
      <c r="H225" s="152" t="s">
        <v>1293</v>
      </c>
      <c r="I225" s="152" t="s">
        <v>1294</v>
      </c>
      <c r="J225" s="152" t="s">
        <v>164</v>
      </c>
      <c r="K225" s="187" t="s">
        <v>2526</v>
      </c>
      <c r="L225" s="153"/>
    </row>
    <row r="226" spans="1:12" ht="16" hidden="1">
      <c r="A226" s="141" t="str">
        <f t="shared" si="3"/>
        <v>083319</v>
      </c>
      <c r="B226" s="158">
        <v>1082</v>
      </c>
      <c r="C226" s="192">
        <v>44046</v>
      </c>
      <c r="D226" s="152" t="s">
        <v>171</v>
      </c>
      <c r="E226" s="186" t="s">
        <v>993</v>
      </c>
      <c r="F226" s="152" t="s">
        <v>1070</v>
      </c>
      <c r="G226" s="152" t="s">
        <v>59</v>
      </c>
      <c r="H226" s="152" t="s">
        <v>1293</v>
      </c>
      <c r="I226" s="152" t="s">
        <v>1295</v>
      </c>
      <c r="J226" s="152" t="s">
        <v>164</v>
      </c>
      <c r="K226" s="187" t="s">
        <v>2525</v>
      </c>
      <c r="L226" s="153"/>
    </row>
    <row r="227" spans="1:12" ht="16" hidden="1">
      <c r="A227" s="141" t="str">
        <f t="shared" si="3"/>
        <v>081232</v>
      </c>
      <c r="B227" s="158">
        <v>1091</v>
      </c>
      <c r="C227" s="192">
        <v>44054</v>
      </c>
      <c r="D227" s="152" t="s">
        <v>2532</v>
      </c>
      <c r="E227" s="186" t="s">
        <v>1038</v>
      </c>
      <c r="F227" s="152" t="s">
        <v>1039</v>
      </c>
      <c r="G227" s="152" t="s">
        <v>59</v>
      </c>
      <c r="H227" s="152" t="s">
        <v>134</v>
      </c>
      <c r="I227" s="152" t="s">
        <v>1276</v>
      </c>
      <c r="J227" s="152" t="s">
        <v>164</v>
      </c>
      <c r="K227" s="187" t="s">
        <v>2527</v>
      </c>
      <c r="L227" s="153"/>
    </row>
    <row r="228" spans="1:12" ht="16" hidden="1">
      <c r="A228" s="141" t="str">
        <f t="shared" si="3"/>
        <v>072323</v>
      </c>
      <c r="B228" s="158">
        <v>1091</v>
      </c>
      <c r="C228" s="192">
        <v>44055</v>
      </c>
      <c r="D228" s="152" t="s">
        <v>2528</v>
      </c>
      <c r="E228" s="186" t="s">
        <v>611</v>
      </c>
      <c r="F228" s="152" t="s">
        <v>612</v>
      </c>
      <c r="G228" s="152" t="s">
        <v>59</v>
      </c>
      <c r="H228" s="152" t="s">
        <v>2529</v>
      </c>
      <c r="I228" s="152" t="s">
        <v>2530</v>
      </c>
      <c r="J228" s="152" t="s">
        <v>159</v>
      </c>
      <c r="K228" s="187" t="s">
        <v>410</v>
      </c>
      <c r="L228" s="153"/>
    </row>
    <row r="229" spans="1:12" ht="16" hidden="1">
      <c r="A229" s="141" t="str">
        <f t="shared" si="3"/>
        <v>083227</v>
      </c>
      <c r="B229" s="158">
        <v>1091</v>
      </c>
      <c r="C229" s="192">
        <v>44055</v>
      </c>
      <c r="D229" s="152" t="s">
        <v>2531</v>
      </c>
      <c r="E229" s="186" t="s">
        <v>1022</v>
      </c>
      <c r="F229" s="152" t="s">
        <v>1023</v>
      </c>
      <c r="G229" s="152" t="s">
        <v>59</v>
      </c>
      <c r="H229" s="152" t="s">
        <v>675</v>
      </c>
      <c r="I229" s="152" t="s">
        <v>2535</v>
      </c>
      <c r="J229" s="152" t="s">
        <v>164</v>
      </c>
      <c r="K229" s="187" t="s">
        <v>2536</v>
      </c>
      <c r="L229" s="153"/>
    </row>
    <row r="230" spans="1:12" ht="16" hidden="1">
      <c r="A230" s="141" t="str">
        <f t="shared" si="3"/>
        <v>084108</v>
      </c>
      <c r="B230" s="158">
        <v>1091</v>
      </c>
      <c r="C230" s="192">
        <v>44055</v>
      </c>
      <c r="D230" s="152" t="s">
        <v>2533</v>
      </c>
      <c r="E230" s="186" t="s">
        <v>950</v>
      </c>
      <c r="F230" s="152" t="s">
        <v>951</v>
      </c>
      <c r="G230" s="152" t="s">
        <v>59</v>
      </c>
      <c r="H230" s="152" t="s">
        <v>134</v>
      </c>
      <c r="I230" s="152" t="s">
        <v>1279</v>
      </c>
      <c r="J230" s="152" t="s">
        <v>164</v>
      </c>
      <c r="K230" s="187" t="s">
        <v>2534</v>
      </c>
      <c r="L230" s="153" t="s">
        <v>2549</v>
      </c>
    </row>
    <row r="231" spans="1:12" ht="16" hidden="1">
      <c r="A231" s="141" t="str">
        <f t="shared" si="3"/>
        <v>081224</v>
      </c>
      <c r="B231" s="158">
        <v>1091</v>
      </c>
      <c r="C231" s="192">
        <v>44067</v>
      </c>
      <c r="D231" s="152" t="s">
        <v>63</v>
      </c>
      <c r="E231" s="186" t="s">
        <v>1005</v>
      </c>
      <c r="F231" s="152" t="s">
        <v>1006</v>
      </c>
      <c r="G231" s="152" t="s">
        <v>59</v>
      </c>
      <c r="H231" s="152" t="s">
        <v>675</v>
      </c>
      <c r="I231" s="152" t="s">
        <v>2550</v>
      </c>
      <c r="J231" s="152" t="s">
        <v>164</v>
      </c>
      <c r="K231" s="187" t="s">
        <v>2539</v>
      </c>
      <c r="L231" s="153"/>
    </row>
    <row r="232" spans="1:12" ht="16" hidden="1">
      <c r="A232" s="141" t="str">
        <f t="shared" si="3"/>
        <v>083226</v>
      </c>
      <c r="B232" s="158">
        <v>1091</v>
      </c>
      <c r="C232" s="192">
        <v>44068</v>
      </c>
      <c r="D232" s="152" t="s">
        <v>830</v>
      </c>
      <c r="E232" s="186" t="s">
        <v>2540</v>
      </c>
      <c r="F232" s="152" t="s">
        <v>2541</v>
      </c>
      <c r="G232" s="152" t="s">
        <v>2542</v>
      </c>
      <c r="H232" s="152" t="s">
        <v>2543</v>
      </c>
      <c r="I232" s="152" t="s">
        <v>2544</v>
      </c>
      <c r="J232" s="152" t="s">
        <v>164</v>
      </c>
      <c r="K232" s="187" t="s">
        <v>2545</v>
      </c>
      <c r="L232" s="153"/>
    </row>
    <row r="233" spans="1:12" ht="16" hidden="1">
      <c r="A233" s="141" t="str">
        <f t="shared" si="3"/>
        <v>084211</v>
      </c>
      <c r="B233" s="158">
        <v>1091</v>
      </c>
      <c r="C233" s="192">
        <v>44068</v>
      </c>
      <c r="D233" s="152" t="s">
        <v>2546</v>
      </c>
      <c r="E233" s="186" t="s">
        <v>963</v>
      </c>
      <c r="F233" s="152" t="s">
        <v>964</v>
      </c>
      <c r="G233" s="152" t="s">
        <v>59</v>
      </c>
      <c r="H233" s="152" t="s">
        <v>2543</v>
      </c>
      <c r="I233" s="152" t="s">
        <v>2547</v>
      </c>
      <c r="J233" s="152" t="s">
        <v>164</v>
      </c>
      <c r="K233" s="187" t="s">
        <v>2548</v>
      </c>
      <c r="L233" s="153"/>
    </row>
    <row r="234" spans="1:12" ht="16" hidden="1">
      <c r="A234" s="141" t="str">
        <f t="shared" si="3"/>
        <v>072312</v>
      </c>
      <c r="B234" s="158">
        <v>1091</v>
      </c>
      <c r="C234" s="192">
        <v>44069</v>
      </c>
      <c r="D234" s="152" t="s">
        <v>130</v>
      </c>
      <c r="E234" s="186" t="s">
        <v>2551</v>
      </c>
      <c r="F234" s="152" t="s">
        <v>2552</v>
      </c>
      <c r="G234" s="152" t="s">
        <v>2542</v>
      </c>
      <c r="H234" s="152" t="s">
        <v>2543</v>
      </c>
      <c r="I234" s="152" t="s">
        <v>2553</v>
      </c>
      <c r="J234" s="152" t="s">
        <v>164</v>
      </c>
      <c r="K234" s="187" t="s">
        <v>2554</v>
      </c>
      <c r="L234" s="276"/>
    </row>
    <row r="235" spans="1:12" ht="16" hidden="1">
      <c r="A235" s="141" t="str">
        <f t="shared" si="3"/>
        <v>098225</v>
      </c>
      <c r="B235" s="158">
        <v>1091</v>
      </c>
      <c r="C235" s="192">
        <v>44074</v>
      </c>
      <c r="D235" s="152" t="s">
        <v>1085</v>
      </c>
      <c r="E235" s="186" t="s">
        <v>2191</v>
      </c>
      <c r="F235" s="152" t="s">
        <v>2192</v>
      </c>
      <c r="G235" s="152" t="s">
        <v>60</v>
      </c>
      <c r="H235" s="152" t="s">
        <v>2555</v>
      </c>
      <c r="I235" s="152" t="s">
        <v>2556</v>
      </c>
      <c r="J235" s="152" t="s">
        <v>164</v>
      </c>
      <c r="K235" s="187" t="s">
        <v>2557</v>
      </c>
      <c r="L235" s="276"/>
    </row>
    <row r="236" spans="1:12" ht="16" hidden="1">
      <c r="A236" s="141" t="str">
        <f t="shared" si="3"/>
        <v>083313</v>
      </c>
      <c r="B236" s="158">
        <v>1091</v>
      </c>
      <c r="C236" s="192">
        <v>44074</v>
      </c>
      <c r="D236" s="152" t="s">
        <v>2558</v>
      </c>
      <c r="E236" s="186" t="s">
        <v>972</v>
      </c>
      <c r="F236" s="152" t="s">
        <v>970</v>
      </c>
      <c r="G236" s="152" t="s">
        <v>59</v>
      </c>
      <c r="H236" s="152" t="s">
        <v>2555</v>
      </c>
      <c r="I236" s="152" t="s">
        <v>2556</v>
      </c>
      <c r="J236" s="152" t="s">
        <v>164</v>
      </c>
      <c r="K236" s="187" t="s">
        <v>410</v>
      </c>
      <c r="L236" s="276"/>
    </row>
    <row r="237" spans="1:12" ht="16" hidden="1">
      <c r="A237" s="141" t="str">
        <f t="shared" si="3"/>
        <v>091221</v>
      </c>
      <c r="B237" s="158">
        <v>1091</v>
      </c>
      <c r="C237" s="192">
        <v>44074</v>
      </c>
      <c r="D237" s="152" t="s">
        <v>2559</v>
      </c>
      <c r="E237" s="186" t="s">
        <v>2028</v>
      </c>
      <c r="F237" s="152" t="s">
        <v>2029</v>
      </c>
      <c r="G237" s="152" t="s">
        <v>59</v>
      </c>
      <c r="H237" s="152" t="s">
        <v>1115</v>
      </c>
      <c r="I237" s="152" t="s">
        <v>2556</v>
      </c>
      <c r="J237" s="152" t="s">
        <v>164</v>
      </c>
      <c r="K237" s="187" t="s">
        <v>1115</v>
      </c>
      <c r="L237" s="276"/>
    </row>
    <row r="238" spans="1:12" ht="16" hidden="1">
      <c r="A238" s="141" t="str">
        <f t="shared" si="3"/>
        <v>074217</v>
      </c>
      <c r="B238" s="158">
        <v>1091</v>
      </c>
      <c r="C238" s="192">
        <v>44074</v>
      </c>
      <c r="D238" s="152" t="s">
        <v>2560</v>
      </c>
      <c r="E238" s="186" t="s">
        <v>595</v>
      </c>
      <c r="F238" s="152" t="s">
        <v>596</v>
      </c>
      <c r="G238" s="152" t="s">
        <v>59</v>
      </c>
      <c r="H238" s="152" t="s">
        <v>2561</v>
      </c>
      <c r="I238" s="152" t="s">
        <v>2556</v>
      </c>
      <c r="J238" s="152" t="s">
        <v>164</v>
      </c>
      <c r="K238" s="187" t="s">
        <v>2562</v>
      </c>
      <c r="L238" s="276"/>
    </row>
    <row r="239" spans="1:12" ht="16" hidden="1">
      <c r="A239" s="141" t="str">
        <f t="shared" si="3"/>
        <v>083211</v>
      </c>
      <c r="B239" s="158">
        <v>1091</v>
      </c>
      <c r="C239" s="192">
        <v>44074</v>
      </c>
      <c r="D239" s="152" t="s">
        <v>2563</v>
      </c>
      <c r="E239" s="186" t="s">
        <v>961</v>
      </c>
      <c r="F239" s="152" t="s">
        <v>962</v>
      </c>
      <c r="G239" s="152" t="s">
        <v>59</v>
      </c>
      <c r="H239" s="152" t="s">
        <v>2561</v>
      </c>
      <c r="I239" s="152" t="s">
        <v>2556</v>
      </c>
      <c r="J239" s="152" t="s">
        <v>164</v>
      </c>
      <c r="K239" s="187" t="s">
        <v>2596</v>
      </c>
      <c r="L239" s="276"/>
    </row>
    <row r="240" spans="1:12" ht="16" hidden="1">
      <c r="A240" s="141" t="str">
        <f t="shared" si="3"/>
        <v>098103</v>
      </c>
      <c r="B240" s="158">
        <v>1091</v>
      </c>
      <c r="C240" s="192">
        <v>44075</v>
      </c>
      <c r="D240" s="152" t="s">
        <v>2564</v>
      </c>
      <c r="E240" s="186" t="s">
        <v>1408</v>
      </c>
      <c r="F240" s="152" t="s">
        <v>1409</v>
      </c>
      <c r="G240" s="152" t="s">
        <v>60</v>
      </c>
      <c r="H240" s="152" t="s">
        <v>1115</v>
      </c>
      <c r="I240" s="152" t="s">
        <v>2556</v>
      </c>
      <c r="J240" s="152" t="s">
        <v>159</v>
      </c>
      <c r="K240" s="187" t="s">
        <v>1115</v>
      </c>
      <c r="L240" s="276"/>
    </row>
    <row r="241" spans="1:12" ht="16" hidden="1">
      <c r="A241" s="141" t="str">
        <f t="shared" si="3"/>
        <v>083137</v>
      </c>
      <c r="B241" s="158">
        <v>1091</v>
      </c>
      <c r="C241" s="192">
        <v>44077</v>
      </c>
      <c r="D241" s="152" t="s">
        <v>2565</v>
      </c>
      <c r="E241" s="186" t="s">
        <v>1052</v>
      </c>
      <c r="F241" s="152" t="s">
        <v>1053</v>
      </c>
      <c r="G241" s="152" t="s">
        <v>59</v>
      </c>
      <c r="H241" s="152" t="s">
        <v>2566</v>
      </c>
      <c r="I241" s="152" t="s">
        <v>2547</v>
      </c>
      <c r="J241" s="152" t="s">
        <v>159</v>
      </c>
      <c r="K241" s="187" t="s">
        <v>2567</v>
      </c>
      <c r="L241" s="276"/>
    </row>
    <row r="242" spans="1:12" ht="16" hidden="1">
      <c r="A242" s="141" t="str">
        <f t="shared" si="3"/>
        <v>093103</v>
      </c>
      <c r="B242" s="158">
        <v>1091</v>
      </c>
      <c r="C242" s="192">
        <v>44078</v>
      </c>
      <c r="D242" s="152" t="s">
        <v>137</v>
      </c>
      <c r="E242" s="186" t="s">
        <v>1395</v>
      </c>
      <c r="F242" s="152" t="s">
        <v>1396</v>
      </c>
      <c r="G242" s="152" t="s">
        <v>59</v>
      </c>
      <c r="H242" s="152" t="s">
        <v>2568</v>
      </c>
      <c r="I242" s="152" t="s">
        <v>2569</v>
      </c>
      <c r="J242" s="152" t="s">
        <v>159</v>
      </c>
      <c r="K242" s="187" t="s">
        <v>2568</v>
      </c>
      <c r="L242" s="153"/>
    </row>
    <row r="243" spans="1:12" ht="16" hidden="1">
      <c r="A243" s="141" t="str">
        <f t="shared" si="3"/>
        <v>083233</v>
      </c>
      <c r="B243" s="158">
        <v>1091</v>
      </c>
      <c r="C243" s="192">
        <v>44082</v>
      </c>
      <c r="D243" s="152" t="s">
        <v>2571</v>
      </c>
      <c r="E243" s="186" t="s">
        <v>2572</v>
      </c>
      <c r="F243" s="152" t="s">
        <v>1207</v>
      </c>
      <c r="G243" s="152" t="s">
        <v>59</v>
      </c>
      <c r="H243" s="152" t="s">
        <v>675</v>
      </c>
      <c r="I243" s="152" t="s">
        <v>2573</v>
      </c>
      <c r="J243" s="152" t="s">
        <v>159</v>
      </c>
      <c r="K243" s="187" t="s">
        <v>2574</v>
      </c>
      <c r="L243" s="276"/>
    </row>
    <row r="244" spans="1:12" ht="16" hidden="1">
      <c r="A244" s="141" t="str">
        <f t="shared" si="3"/>
        <v>081209</v>
      </c>
      <c r="B244" s="158">
        <v>1091</v>
      </c>
      <c r="C244" s="192">
        <v>44090</v>
      </c>
      <c r="D244" s="152" t="s">
        <v>2575</v>
      </c>
      <c r="E244" s="186" t="s">
        <v>953</v>
      </c>
      <c r="F244" s="152" t="s">
        <v>954</v>
      </c>
      <c r="G244" s="152" t="s">
        <v>59</v>
      </c>
      <c r="H244" s="152" t="s">
        <v>675</v>
      </c>
      <c r="I244" s="152" t="s">
        <v>1279</v>
      </c>
      <c r="J244" s="152" t="s">
        <v>159</v>
      </c>
      <c r="K244" s="187" t="s">
        <v>2576</v>
      </c>
      <c r="L244" s="276"/>
    </row>
    <row r="245" spans="1:12" ht="16" hidden="1">
      <c r="A245" s="141" t="str">
        <f t="shared" si="3"/>
        <v>091128</v>
      </c>
      <c r="B245" s="158">
        <v>1091</v>
      </c>
      <c r="C245" s="192">
        <v>44091</v>
      </c>
      <c r="D245" s="152" t="s">
        <v>2577</v>
      </c>
      <c r="E245" s="186" t="s">
        <v>2260</v>
      </c>
      <c r="F245" s="152" t="s">
        <v>2261</v>
      </c>
      <c r="G245" s="152" t="s">
        <v>59</v>
      </c>
      <c r="H245" s="152" t="s">
        <v>131</v>
      </c>
      <c r="I245" s="152" t="s">
        <v>2579</v>
      </c>
      <c r="J245" s="152" t="s">
        <v>159</v>
      </c>
      <c r="K245" s="187" t="s">
        <v>2578</v>
      </c>
      <c r="L245" s="276"/>
    </row>
    <row r="246" spans="1:12" ht="16" hidden="1">
      <c r="A246" s="141" t="str">
        <f t="shared" si="3"/>
        <v>074201</v>
      </c>
      <c r="B246" s="158">
        <v>1091</v>
      </c>
      <c r="C246" s="192">
        <v>44090</v>
      </c>
      <c r="D246" s="152" t="s">
        <v>2580</v>
      </c>
      <c r="E246" s="186" t="s">
        <v>2581</v>
      </c>
      <c r="F246" s="152" t="s">
        <v>2582</v>
      </c>
      <c r="G246" s="152" t="s">
        <v>2583</v>
      </c>
      <c r="H246" s="152" t="s">
        <v>2584</v>
      </c>
      <c r="I246" s="152" t="s">
        <v>2585</v>
      </c>
      <c r="J246" s="152" t="s">
        <v>159</v>
      </c>
      <c r="K246" s="187" t="s">
        <v>2586</v>
      </c>
      <c r="L246" s="276"/>
    </row>
    <row r="247" spans="1:12" ht="16" hidden="1">
      <c r="A247" s="141" t="str">
        <f t="shared" si="3"/>
        <v>092323</v>
      </c>
      <c r="B247" s="158">
        <v>1091</v>
      </c>
      <c r="C247" s="192">
        <v>44096</v>
      </c>
      <c r="D247" s="152" t="s">
        <v>140</v>
      </c>
      <c r="E247" s="186" t="s">
        <v>2104</v>
      </c>
      <c r="F247" s="152" t="s">
        <v>2105</v>
      </c>
      <c r="G247" s="152" t="s">
        <v>59</v>
      </c>
      <c r="H247" s="152" t="s">
        <v>1115</v>
      </c>
      <c r="I247" s="152" t="s">
        <v>2547</v>
      </c>
      <c r="J247" s="152" t="s">
        <v>159</v>
      </c>
      <c r="K247" s="187" t="s">
        <v>1115</v>
      </c>
      <c r="L247" s="276"/>
    </row>
    <row r="248" spans="1:12" ht="16" hidden="1">
      <c r="A248" s="141" t="str">
        <f t="shared" si="3"/>
        <v>085103</v>
      </c>
      <c r="B248" s="158">
        <v>1091</v>
      </c>
      <c r="C248" s="192">
        <v>44096</v>
      </c>
      <c r="D248" s="152" t="s">
        <v>135</v>
      </c>
      <c r="E248" s="186" t="s">
        <v>928</v>
      </c>
      <c r="F248" s="188" t="s">
        <v>1286</v>
      </c>
      <c r="G248" s="152" t="s">
        <v>60</v>
      </c>
      <c r="H248" s="152" t="s">
        <v>2587</v>
      </c>
      <c r="I248" s="152" t="s">
        <v>2547</v>
      </c>
      <c r="J248" s="152" t="s">
        <v>159</v>
      </c>
      <c r="K248" s="187" t="s">
        <v>2588</v>
      </c>
      <c r="L248" s="276"/>
    </row>
    <row r="249" spans="1:12" ht="16" hidden="1">
      <c r="A249" s="141" t="str">
        <f t="shared" si="3"/>
        <v>082321</v>
      </c>
      <c r="B249" s="158">
        <v>1091</v>
      </c>
      <c r="C249" s="192">
        <v>44102</v>
      </c>
      <c r="D249" s="152" t="s">
        <v>2590</v>
      </c>
      <c r="E249" s="186" t="s">
        <v>2592</v>
      </c>
      <c r="F249" s="188" t="s">
        <v>998</v>
      </c>
      <c r="G249" s="152" t="s">
        <v>2593</v>
      </c>
      <c r="H249" s="152" t="s">
        <v>134</v>
      </c>
      <c r="I249" s="152" t="s">
        <v>2594</v>
      </c>
      <c r="J249" s="152" t="s">
        <v>159</v>
      </c>
      <c r="K249" s="187" t="s">
        <v>2595</v>
      </c>
      <c r="L249" s="276"/>
    </row>
    <row r="250" spans="1:12" ht="16" hidden="1">
      <c r="A250" s="141" t="str">
        <f t="shared" si="3"/>
        <v>082105</v>
      </c>
      <c r="B250" s="158">
        <v>1091</v>
      </c>
      <c r="C250" s="192">
        <v>44116</v>
      </c>
      <c r="D250" s="152" t="s">
        <v>2599</v>
      </c>
      <c r="E250" s="186" t="s">
        <v>2598</v>
      </c>
      <c r="F250" s="188" t="s">
        <v>933</v>
      </c>
      <c r="G250" s="152" t="s">
        <v>2600</v>
      </c>
      <c r="H250" s="152" t="s">
        <v>134</v>
      </c>
      <c r="I250" s="152" t="s">
        <v>2601</v>
      </c>
      <c r="J250" s="152" t="s">
        <v>2603</v>
      </c>
      <c r="K250" s="187" t="s">
        <v>2602</v>
      </c>
      <c r="L250" s="276"/>
    </row>
    <row r="251" spans="1:12" ht="16" hidden="1">
      <c r="A251" s="141" t="str">
        <f t="shared" si="3"/>
        <v>091401</v>
      </c>
      <c r="B251" s="158">
        <v>1091</v>
      </c>
      <c r="C251" s="192">
        <v>44130</v>
      </c>
      <c r="D251" s="152" t="s">
        <v>2604</v>
      </c>
      <c r="E251" s="186" t="s">
        <v>1311</v>
      </c>
      <c r="F251" s="152" t="s">
        <v>1312</v>
      </c>
      <c r="G251" s="152" t="s">
        <v>59</v>
      </c>
      <c r="H251" s="152" t="s">
        <v>2605</v>
      </c>
      <c r="I251" s="152" t="s">
        <v>2606</v>
      </c>
      <c r="J251" s="152" t="s">
        <v>2607</v>
      </c>
      <c r="K251" s="187" t="s">
        <v>410</v>
      </c>
      <c r="L251" s="276"/>
    </row>
    <row r="252" spans="1:12" ht="16" hidden="1">
      <c r="A252" s="141" t="str">
        <f t="shared" si="3"/>
        <v>073331</v>
      </c>
      <c r="B252" s="158">
        <v>1091</v>
      </c>
      <c r="C252" s="192">
        <v>44137</v>
      </c>
      <c r="D252" s="152" t="s">
        <v>2608</v>
      </c>
      <c r="E252" s="186" t="s">
        <v>625</v>
      </c>
      <c r="F252" s="152" t="s">
        <v>626</v>
      </c>
      <c r="G252" s="152" t="s">
        <v>59</v>
      </c>
      <c r="H252" s="152" t="s">
        <v>163</v>
      </c>
      <c r="I252" s="152" t="s">
        <v>2569</v>
      </c>
      <c r="J252" s="152" t="s">
        <v>164</v>
      </c>
      <c r="K252" s="187" t="s">
        <v>777</v>
      </c>
      <c r="L252" s="276"/>
    </row>
    <row r="253" spans="1:12" ht="16" hidden="1">
      <c r="A253" s="141" t="str">
        <f t="shared" si="3"/>
        <v>092406</v>
      </c>
      <c r="B253" s="158">
        <v>1091</v>
      </c>
      <c r="C253" s="192">
        <v>44140</v>
      </c>
      <c r="D253" s="152" t="s">
        <v>2609</v>
      </c>
      <c r="E253" s="186" t="s">
        <v>1503</v>
      </c>
      <c r="F253" s="152" t="s">
        <v>1504</v>
      </c>
      <c r="G253" s="152" t="s">
        <v>59</v>
      </c>
      <c r="H253" s="152" t="s">
        <v>163</v>
      </c>
      <c r="I253" s="152" t="s">
        <v>2569</v>
      </c>
      <c r="J253" s="152" t="s">
        <v>164</v>
      </c>
      <c r="K253" s="187" t="s">
        <v>777</v>
      </c>
      <c r="L253" s="276"/>
    </row>
    <row r="254" spans="1:12" ht="16" hidden="1">
      <c r="A254" s="141" t="str">
        <f t="shared" si="3"/>
        <v>083304</v>
      </c>
      <c r="B254" s="158">
        <v>1091</v>
      </c>
      <c r="C254" s="192">
        <v>44140</v>
      </c>
      <c r="D254" s="152" t="s">
        <v>2610</v>
      </c>
      <c r="E254" s="186" t="s">
        <v>931</v>
      </c>
      <c r="F254" s="152" t="s">
        <v>1068</v>
      </c>
      <c r="G254" s="152" t="s">
        <v>59</v>
      </c>
      <c r="H254" s="152" t="s">
        <v>163</v>
      </c>
      <c r="I254" s="152" t="s">
        <v>2569</v>
      </c>
      <c r="J254" s="152" t="s">
        <v>164</v>
      </c>
      <c r="K254" s="187" t="s">
        <v>777</v>
      </c>
      <c r="L254" s="276"/>
    </row>
    <row r="255" spans="1:12" ht="16" hidden="1">
      <c r="A255" s="141" t="str">
        <f t="shared" si="3"/>
        <v>082316</v>
      </c>
      <c r="B255" s="158">
        <v>1091</v>
      </c>
      <c r="C255" s="192">
        <v>44144</v>
      </c>
      <c r="D255" s="152" t="s">
        <v>2611</v>
      </c>
      <c r="E255" s="186" t="s">
        <v>983</v>
      </c>
      <c r="F255" s="152" t="s">
        <v>988</v>
      </c>
      <c r="G255" s="152" t="s">
        <v>59</v>
      </c>
      <c r="H255" s="152" t="s">
        <v>163</v>
      </c>
      <c r="I255" s="152" t="s">
        <v>2569</v>
      </c>
      <c r="J255" s="152" t="s">
        <v>164</v>
      </c>
      <c r="K255" s="187" t="s">
        <v>777</v>
      </c>
      <c r="L255" s="276"/>
    </row>
    <row r="256" spans="1:12" ht="16" hidden="1">
      <c r="A256" s="141" t="str">
        <f t="shared" si="3"/>
        <v>082433</v>
      </c>
      <c r="B256" s="158">
        <v>1091</v>
      </c>
      <c r="C256" s="192">
        <v>44147</v>
      </c>
      <c r="D256" s="152" t="s">
        <v>2612</v>
      </c>
      <c r="E256" s="186" t="s">
        <v>1041</v>
      </c>
      <c r="F256" s="152" t="s">
        <v>1042</v>
      </c>
      <c r="G256" s="152" t="s">
        <v>59</v>
      </c>
      <c r="H256" s="152" t="s">
        <v>163</v>
      </c>
      <c r="I256" s="152" t="s">
        <v>2569</v>
      </c>
      <c r="J256" s="152" t="s">
        <v>164</v>
      </c>
      <c r="K256" s="187" t="s">
        <v>777</v>
      </c>
      <c r="L256" s="276"/>
    </row>
    <row r="257" spans="1:12" ht="16" hidden="1">
      <c r="A257" s="141" t="str">
        <f t="shared" si="3"/>
        <v>073209</v>
      </c>
      <c r="B257" s="158">
        <v>1091</v>
      </c>
      <c r="C257" s="192">
        <v>44147</v>
      </c>
      <c r="D257" s="152" t="s">
        <v>2613</v>
      </c>
      <c r="E257" s="186" t="s">
        <v>568</v>
      </c>
      <c r="F257" s="152" t="s">
        <v>569</v>
      </c>
      <c r="G257" s="152" t="s">
        <v>59</v>
      </c>
      <c r="H257" s="152" t="s">
        <v>163</v>
      </c>
      <c r="I257" s="152" t="s">
        <v>2569</v>
      </c>
      <c r="J257" s="152" t="s">
        <v>164</v>
      </c>
      <c r="K257" s="187" t="s">
        <v>2614</v>
      </c>
      <c r="L257" s="276"/>
    </row>
    <row r="258" spans="1:12" ht="16" hidden="1">
      <c r="A258" s="141" t="str">
        <f t="shared" si="3"/>
        <v>074221</v>
      </c>
      <c r="B258" s="158">
        <v>1091</v>
      </c>
      <c r="C258" s="192">
        <v>44155</v>
      </c>
      <c r="D258" s="152" t="s">
        <v>2615</v>
      </c>
      <c r="E258" s="186" t="s">
        <v>605</v>
      </c>
      <c r="F258" s="152" t="s">
        <v>606</v>
      </c>
      <c r="G258" s="152" t="s">
        <v>59</v>
      </c>
      <c r="H258" s="152" t="s">
        <v>163</v>
      </c>
      <c r="I258" s="152" t="s">
        <v>2569</v>
      </c>
      <c r="J258" s="152" t="s">
        <v>164</v>
      </c>
      <c r="K258" s="187" t="s">
        <v>2616</v>
      </c>
      <c r="L258" s="276"/>
    </row>
    <row r="259" spans="1:12" ht="16" hidden="1">
      <c r="A259" s="141" t="str">
        <f t="shared" si="3"/>
        <v>081125</v>
      </c>
      <c r="B259" s="158">
        <v>1091</v>
      </c>
      <c r="C259" s="192">
        <v>44160</v>
      </c>
      <c r="D259" s="152" t="s">
        <v>2619</v>
      </c>
      <c r="E259" s="186" t="s">
        <v>921</v>
      </c>
      <c r="F259" s="152" t="s">
        <v>920</v>
      </c>
      <c r="G259" s="152" t="s">
        <v>60</v>
      </c>
      <c r="H259" s="152" t="s">
        <v>163</v>
      </c>
      <c r="I259" s="152" t="s">
        <v>2569</v>
      </c>
      <c r="J259" s="152" t="s">
        <v>164</v>
      </c>
      <c r="K259" s="187" t="s">
        <v>777</v>
      </c>
      <c r="L259" s="276"/>
    </row>
    <row r="260" spans="1:12" ht="16" hidden="1">
      <c r="A260" s="141" t="str">
        <f t="shared" ref="A260:A323" si="4">TRIM(E260)</f>
        <v>073126</v>
      </c>
      <c r="B260" s="158">
        <v>1091</v>
      </c>
      <c r="C260" s="192">
        <v>44162</v>
      </c>
      <c r="D260" s="152" t="s">
        <v>2620</v>
      </c>
      <c r="E260" s="186" t="s">
        <v>615</v>
      </c>
      <c r="F260" s="152" t="s">
        <v>613</v>
      </c>
      <c r="G260" s="152" t="s">
        <v>59</v>
      </c>
      <c r="H260" s="152" t="s">
        <v>163</v>
      </c>
      <c r="I260" s="152" t="s">
        <v>2569</v>
      </c>
      <c r="J260" s="152" t="s">
        <v>164</v>
      </c>
      <c r="K260" s="187" t="s">
        <v>777</v>
      </c>
      <c r="L260" s="276"/>
    </row>
    <row r="261" spans="1:12" ht="16" hidden="1">
      <c r="A261" s="141" t="str">
        <f t="shared" si="4"/>
        <v>098219</v>
      </c>
      <c r="B261" s="158">
        <v>1091</v>
      </c>
      <c r="C261" s="192">
        <v>44187</v>
      </c>
      <c r="D261" s="152" t="s">
        <v>2621</v>
      </c>
      <c r="E261" s="186" t="s">
        <v>1992</v>
      </c>
      <c r="F261" s="152" t="s">
        <v>1993</v>
      </c>
      <c r="G261" s="152" t="s">
        <v>59</v>
      </c>
      <c r="H261" s="152" t="s">
        <v>163</v>
      </c>
      <c r="I261" s="152" t="s">
        <v>2569</v>
      </c>
      <c r="J261" s="152" t="s">
        <v>164</v>
      </c>
      <c r="K261" s="187" t="s">
        <v>777</v>
      </c>
      <c r="L261" s="276"/>
    </row>
    <row r="262" spans="1:12" ht="16" hidden="1">
      <c r="A262" s="141" t="str">
        <f t="shared" si="4"/>
        <v>092332</v>
      </c>
      <c r="B262" s="158">
        <v>1091</v>
      </c>
      <c r="C262" s="192">
        <v>44195</v>
      </c>
      <c r="D262" s="152" t="s">
        <v>2622</v>
      </c>
      <c r="E262" s="186" t="s">
        <v>2406</v>
      </c>
      <c r="F262" s="152" t="s">
        <v>1026</v>
      </c>
      <c r="G262" s="152" t="s">
        <v>59</v>
      </c>
      <c r="H262" s="152" t="s">
        <v>131</v>
      </c>
      <c r="I262" s="152" t="s">
        <v>2569</v>
      </c>
      <c r="J262" s="152" t="s">
        <v>164</v>
      </c>
      <c r="K262" s="187" t="s">
        <v>2623</v>
      </c>
      <c r="L262" s="276"/>
    </row>
    <row r="263" spans="1:12" ht="16" hidden="1">
      <c r="A263" s="141" t="str">
        <f t="shared" si="4"/>
        <v>061319</v>
      </c>
      <c r="B263" s="158">
        <v>1091</v>
      </c>
      <c r="C263" s="192">
        <v>44540</v>
      </c>
      <c r="D263" s="152" t="s">
        <v>2625</v>
      </c>
      <c r="E263" s="186" t="s">
        <v>192</v>
      </c>
      <c r="F263" s="152" t="s">
        <v>193</v>
      </c>
      <c r="G263" s="152" t="s">
        <v>59</v>
      </c>
      <c r="H263" s="152" t="s">
        <v>134</v>
      </c>
      <c r="I263" s="152" t="s">
        <v>2626</v>
      </c>
      <c r="J263" s="152" t="s">
        <v>164</v>
      </c>
      <c r="K263" s="187" t="s">
        <v>2627</v>
      </c>
      <c r="L263" s="276"/>
    </row>
    <row r="264" spans="1:12" ht="16" hidden="1">
      <c r="A264" s="141" t="str">
        <f t="shared" si="4"/>
        <v>065228</v>
      </c>
      <c r="B264" s="158">
        <v>1091</v>
      </c>
      <c r="C264" s="192">
        <v>44210</v>
      </c>
      <c r="D264" s="152" t="s">
        <v>2628</v>
      </c>
      <c r="E264" s="186" t="s">
        <v>2629</v>
      </c>
      <c r="F264" s="152" t="s">
        <v>2630</v>
      </c>
      <c r="G264" s="152" t="s">
        <v>7</v>
      </c>
      <c r="H264" s="152" t="s">
        <v>2631</v>
      </c>
      <c r="I264" s="152" t="s">
        <v>2632</v>
      </c>
      <c r="J264" s="152" t="s">
        <v>2633</v>
      </c>
      <c r="K264" s="187" t="s">
        <v>2634</v>
      </c>
      <c r="L264" s="276"/>
    </row>
    <row r="265" spans="1:12" ht="16" hidden="1">
      <c r="A265" s="141" t="str">
        <f t="shared" si="4"/>
        <v>095220</v>
      </c>
      <c r="B265" s="158">
        <v>1091</v>
      </c>
      <c r="C265" s="192">
        <v>44215</v>
      </c>
      <c r="D265" s="152" t="s">
        <v>2635</v>
      </c>
      <c r="E265" s="186" t="s">
        <v>2021</v>
      </c>
      <c r="F265" s="152" t="s">
        <v>2022</v>
      </c>
      <c r="G265" s="152" t="s">
        <v>59</v>
      </c>
      <c r="H265" s="152" t="s">
        <v>131</v>
      </c>
      <c r="I265" s="152" t="s">
        <v>2636</v>
      </c>
      <c r="J265" s="152" t="s">
        <v>2637</v>
      </c>
      <c r="K265" s="187" t="s">
        <v>777</v>
      </c>
      <c r="L265" s="276"/>
    </row>
    <row r="266" spans="1:12" ht="16" hidden="1">
      <c r="A266" s="141" t="str">
        <f t="shared" si="4"/>
        <v>083222</v>
      </c>
      <c r="B266" s="158">
        <v>1091</v>
      </c>
      <c r="C266" s="192">
        <v>44215</v>
      </c>
      <c r="D266" s="152" t="s">
        <v>136</v>
      </c>
      <c r="E266" s="186" t="s">
        <v>999</v>
      </c>
      <c r="F266" s="152" t="s">
        <v>1000</v>
      </c>
      <c r="G266" s="152" t="s">
        <v>60</v>
      </c>
      <c r="H266" s="152" t="s">
        <v>2638</v>
      </c>
      <c r="I266" s="152" t="s">
        <v>2639</v>
      </c>
      <c r="J266" s="152" t="s">
        <v>159</v>
      </c>
      <c r="K266" s="187" t="s">
        <v>2640</v>
      </c>
      <c r="L266" s="276"/>
    </row>
    <row r="267" spans="1:12" ht="16" hidden="1">
      <c r="A267" s="141" t="str">
        <f t="shared" si="4"/>
        <v>085234</v>
      </c>
      <c r="B267" s="158">
        <v>1091</v>
      </c>
      <c r="C267" s="192">
        <v>44216</v>
      </c>
      <c r="D267" s="152" t="s">
        <v>2641</v>
      </c>
      <c r="E267" s="186" t="s">
        <v>1046</v>
      </c>
      <c r="F267" s="152" t="s">
        <v>1047</v>
      </c>
      <c r="G267" s="152" t="s">
        <v>59</v>
      </c>
      <c r="H267" s="152" t="s">
        <v>2642</v>
      </c>
      <c r="I267" s="152" t="s">
        <v>2569</v>
      </c>
      <c r="J267" s="152" t="s">
        <v>164</v>
      </c>
      <c r="K267" s="187" t="s">
        <v>777</v>
      </c>
      <c r="L267" s="276"/>
    </row>
    <row r="268" spans="1:12" ht="16" hidden="1">
      <c r="A268" s="141" t="str">
        <f t="shared" si="4"/>
        <v>085224</v>
      </c>
      <c r="B268" s="158">
        <v>1091</v>
      </c>
      <c r="C268" s="192">
        <v>44216</v>
      </c>
      <c r="D268" s="152" t="s">
        <v>2643</v>
      </c>
      <c r="E268" s="186" t="s">
        <v>2644</v>
      </c>
      <c r="F268" s="152" t="s">
        <v>2645</v>
      </c>
      <c r="G268" s="152" t="s">
        <v>2646</v>
      </c>
      <c r="H268" s="152" t="s">
        <v>2642</v>
      </c>
      <c r="I268" s="152" t="s">
        <v>2569</v>
      </c>
      <c r="J268" s="152" t="s">
        <v>164</v>
      </c>
      <c r="K268" s="187" t="s">
        <v>777</v>
      </c>
      <c r="L268" s="276"/>
    </row>
    <row r="269" spans="1:12" ht="16" hidden="1">
      <c r="A269" s="141" t="str">
        <f t="shared" si="4"/>
        <v>081206</v>
      </c>
      <c r="B269" s="158">
        <v>1091</v>
      </c>
      <c r="C269" s="192">
        <v>44216</v>
      </c>
      <c r="D269" s="152" t="s">
        <v>2647</v>
      </c>
      <c r="E269" s="186" t="s">
        <v>936</v>
      </c>
      <c r="F269" s="152" t="s">
        <v>1069</v>
      </c>
      <c r="G269" s="152" t="s">
        <v>59</v>
      </c>
      <c r="H269" s="152" t="s">
        <v>2642</v>
      </c>
      <c r="I269" s="152" t="s">
        <v>2569</v>
      </c>
      <c r="J269" s="152" t="s">
        <v>164</v>
      </c>
      <c r="K269" s="187" t="s">
        <v>2648</v>
      </c>
      <c r="L269" s="276"/>
    </row>
    <row r="270" spans="1:12" ht="16" hidden="1">
      <c r="A270" s="141" t="str">
        <f t="shared" si="4"/>
        <v>094219</v>
      </c>
      <c r="B270" s="158">
        <v>1091</v>
      </c>
      <c r="C270" s="192">
        <v>44223</v>
      </c>
      <c r="D270" s="152" t="s">
        <v>2649</v>
      </c>
      <c r="E270" s="186" t="s">
        <v>1984</v>
      </c>
      <c r="F270" s="152" t="s">
        <v>1985</v>
      </c>
      <c r="G270" s="152" t="s">
        <v>60</v>
      </c>
      <c r="H270" s="152" t="s">
        <v>134</v>
      </c>
      <c r="I270" s="152" t="s">
        <v>2547</v>
      </c>
      <c r="J270" s="152" t="s">
        <v>164</v>
      </c>
      <c r="K270" s="187" t="s">
        <v>2650</v>
      </c>
      <c r="L270" s="276"/>
    </row>
    <row r="271" spans="1:12" ht="16" hidden="1">
      <c r="A271" s="141" t="str">
        <f t="shared" si="4"/>
        <v>092403</v>
      </c>
      <c r="B271" s="158">
        <v>1091</v>
      </c>
      <c r="C271" s="192">
        <v>44224</v>
      </c>
      <c r="D271" s="152" t="s">
        <v>2651</v>
      </c>
      <c r="E271" s="186" t="s">
        <v>1393</v>
      </c>
      <c r="F271" s="152" t="s">
        <v>1357</v>
      </c>
      <c r="G271" s="152" t="s">
        <v>59</v>
      </c>
      <c r="H271" s="152" t="s">
        <v>134</v>
      </c>
      <c r="I271" s="152" t="s">
        <v>2547</v>
      </c>
      <c r="J271" s="152" t="s">
        <v>164</v>
      </c>
      <c r="K271" s="187" t="s">
        <v>2652</v>
      </c>
      <c r="L271" s="276"/>
    </row>
    <row r="272" spans="1:12" ht="16" hidden="1">
      <c r="A272" s="141" t="str">
        <f t="shared" si="4"/>
        <v>095118</v>
      </c>
      <c r="B272" s="158">
        <v>1091</v>
      </c>
      <c r="C272" s="192">
        <v>44224</v>
      </c>
      <c r="D272" s="152" t="s">
        <v>2653</v>
      </c>
      <c r="E272" s="186" t="s">
        <v>1952</v>
      </c>
      <c r="F272" s="152" t="s">
        <v>1953</v>
      </c>
      <c r="G272" s="152" t="s">
        <v>59</v>
      </c>
      <c r="H272" s="152" t="s">
        <v>134</v>
      </c>
      <c r="I272" s="152" t="s">
        <v>2547</v>
      </c>
      <c r="J272" s="152" t="s">
        <v>164</v>
      </c>
      <c r="K272" s="187" t="s">
        <v>2652</v>
      </c>
      <c r="L272" s="276"/>
    </row>
    <row r="273" spans="1:12" ht="16" hidden="1">
      <c r="A273" s="141" t="str">
        <f t="shared" si="4"/>
        <v>088226</v>
      </c>
      <c r="B273" s="158">
        <v>1091</v>
      </c>
      <c r="C273" s="192">
        <v>44225</v>
      </c>
      <c r="D273" s="152" t="s">
        <v>2654</v>
      </c>
      <c r="E273" s="186" t="s">
        <v>1020</v>
      </c>
      <c r="F273" s="152" t="s">
        <v>1021</v>
      </c>
      <c r="G273" s="152" t="s">
        <v>60</v>
      </c>
      <c r="H273" s="152" t="s">
        <v>134</v>
      </c>
      <c r="I273" s="152" t="s">
        <v>2547</v>
      </c>
      <c r="J273" s="152" t="s">
        <v>164</v>
      </c>
      <c r="K273" s="187" t="s">
        <v>2650</v>
      </c>
      <c r="L273" s="276"/>
    </row>
    <row r="274" spans="1:12" ht="16" hidden="1">
      <c r="A274" s="141" t="str">
        <f t="shared" si="4"/>
        <v>088127</v>
      </c>
      <c r="B274" s="158">
        <v>1091</v>
      </c>
      <c r="C274" s="192">
        <v>44225</v>
      </c>
      <c r="D274" s="152" t="s">
        <v>2655</v>
      </c>
      <c r="E274" s="186" t="s">
        <v>1024</v>
      </c>
      <c r="F274" s="152" t="s">
        <v>1025</v>
      </c>
      <c r="G274" s="152" t="s">
        <v>60</v>
      </c>
      <c r="H274" s="152" t="s">
        <v>134</v>
      </c>
      <c r="I274" s="152" t="s">
        <v>2547</v>
      </c>
      <c r="J274" s="152" t="s">
        <v>164</v>
      </c>
      <c r="K274" s="187" t="s">
        <v>2656</v>
      </c>
      <c r="L274" s="276"/>
    </row>
    <row r="275" spans="1:12" ht="16" hidden="1">
      <c r="A275" s="141" t="str">
        <f t="shared" si="4"/>
        <v>085214</v>
      </c>
      <c r="B275" s="158">
        <v>1091</v>
      </c>
      <c r="C275" s="192">
        <v>44224</v>
      </c>
      <c r="D275" s="152" t="s">
        <v>2657</v>
      </c>
      <c r="E275" s="186" t="s">
        <v>976</v>
      </c>
      <c r="F275" s="152" t="s">
        <v>977</v>
      </c>
      <c r="G275" s="152" t="s">
        <v>59</v>
      </c>
      <c r="H275" s="152" t="s">
        <v>134</v>
      </c>
      <c r="I275" s="152" t="s">
        <v>2547</v>
      </c>
      <c r="J275" s="152" t="s">
        <v>164</v>
      </c>
      <c r="K275" s="187" t="s">
        <v>2658</v>
      </c>
      <c r="L275" s="276"/>
    </row>
    <row r="276" spans="1:12" ht="16" hidden="1">
      <c r="A276" s="141" t="str">
        <f t="shared" si="4"/>
        <v>094106</v>
      </c>
      <c r="B276" s="158">
        <v>1091</v>
      </c>
      <c r="C276" s="192">
        <v>44228</v>
      </c>
      <c r="D276" s="152" t="s">
        <v>133</v>
      </c>
      <c r="E276" s="186" t="s">
        <v>1511</v>
      </c>
      <c r="F276" s="152" t="s">
        <v>1512</v>
      </c>
      <c r="G276" s="152" t="s">
        <v>60</v>
      </c>
      <c r="H276" s="152" t="s">
        <v>134</v>
      </c>
      <c r="I276" s="152" t="s">
        <v>2547</v>
      </c>
      <c r="J276" s="152" t="s">
        <v>164</v>
      </c>
      <c r="K276" s="187" t="s">
        <v>2659</v>
      </c>
      <c r="L276" s="276"/>
    </row>
    <row r="277" spans="1:12" ht="16" hidden="1">
      <c r="A277" s="141" t="str">
        <f t="shared" si="4"/>
        <v>085229</v>
      </c>
      <c r="B277" s="158">
        <v>1091</v>
      </c>
      <c r="C277" s="192">
        <v>44228</v>
      </c>
      <c r="D277" s="152" t="s">
        <v>139</v>
      </c>
      <c r="E277" s="186" t="s">
        <v>1029</v>
      </c>
      <c r="F277" s="152" t="s">
        <v>1019</v>
      </c>
      <c r="G277" s="152" t="s">
        <v>59</v>
      </c>
      <c r="H277" s="152" t="s">
        <v>134</v>
      </c>
      <c r="I277" s="152" t="s">
        <v>2547</v>
      </c>
      <c r="J277" s="152" t="s">
        <v>164</v>
      </c>
      <c r="K277" s="187" t="s">
        <v>2660</v>
      </c>
      <c r="L277" s="276"/>
    </row>
    <row r="278" spans="1:12" ht="16" hidden="1">
      <c r="A278" s="141" t="str">
        <f t="shared" si="4"/>
        <v>093304</v>
      </c>
      <c r="B278" s="158">
        <v>1091</v>
      </c>
      <c r="C278" s="192">
        <v>44229</v>
      </c>
      <c r="D278" s="152" t="s">
        <v>2661</v>
      </c>
      <c r="E278" s="186" t="s">
        <v>1436</v>
      </c>
      <c r="F278" s="152" t="s">
        <v>1437</v>
      </c>
      <c r="G278" s="152" t="s">
        <v>59</v>
      </c>
      <c r="H278" s="152" t="s">
        <v>134</v>
      </c>
      <c r="I278" s="152" t="s">
        <v>2547</v>
      </c>
      <c r="J278" s="152" t="s">
        <v>164</v>
      </c>
      <c r="K278" s="187" t="s">
        <v>2662</v>
      </c>
      <c r="L278" s="276"/>
    </row>
    <row r="279" spans="1:12" ht="16" hidden="1">
      <c r="A279" s="141" t="str">
        <f t="shared" si="4"/>
        <v>097119</v>
      </c>
      <c r="B279" s="158">
        <v>1091</v>
      </c>
      <c r="C279" s="192">
        <v>44231</v>
      </c>
      <c r="D279" s="152" t="s">
        <v>2663</v>
      </c>
      <c r="E279" s="186" t="s">
        <v>1994</v>
      </c>
      <c r="F279" s="152" t="s">
        <v>1995</v>
      </c>
      <c r="G279" s="152" t="s">
        <v>59</v>
      </c>
      <c r="H279" s="152" t="s">
        <v>134</v>
      </c>
      <c r="I279" s="152" t="s">
        <v>2547</v>
      </c>
      <c r="J279" s="152" t="s">
        <v>164</v>
      </c>
      <c r="K279" s="187" t="s">
        <v>2664</v>
      </c>
      <c r="L279" s="276"/>
    </row>
    <row r="280" spans="1:12" ht="16" hidden="1">
      <c r="A280" s="141" t="str">
        <f t="shared" si="4"/>
        <v>095108</v>
      </c>
      <c r="B280" s="158">
        <v>1091</v>
      </c>
      <c r="C280" s="192">
        <v>44236</v>
      </c>
      <c r="D280" s="152" t="s">
        <v>2675</v>
      </c>
      <c r="E280" s="186" t="s">
        <v>1589</v>
      </c>
      <c r="F280" s="152" t="s">
        <v>1590</v>
      </c>
      <c r="G280" s="152" t="s">
        <v>59</v>
      </c>
      <c r="H280" s="152" t="s">
        <v>134</v>
      </c>
      <c r="I280" s="152" t="s">
        <v>2547</v>
      </c>
      <c r="J280" s="152" t="s">
        <v>164</v>
      </c>
      <c r="K280" s="187" t="s">
        <v>2676</v>
      </c>
      <c r="L280" s="276" t="s">
        <v>2682</v>
      </c>
    </row>
    <row r="281" spans="1:12" ht="16" hidden="1">
      <c r="A281" s="141" t="str">
        <f t="shared" si="4"/>
        <v>085238</v>
      </c>
      <c r="B281" s="158">
        <v>1092</v>
      </c>
      <c r="C281" s="192">
        <v>44249</v>
      </c>
      <c r="D281" s="152" t="s">
        <v>2677</v>
      </c>
      <c r="E281" s="186" t="s">
        <v>1056</v>
      </c>
      <c r="F281" s="152" t="s">
        <v>1057</v>
      </c>
      <c r="G281" s="152" t="s">
        <v>59</v>
      </c>
      <c r="H281" s="152" t="s">
        <v>131</v>
      </c>
      <c r="I281" s="152" t="s">
        <v>2678</v>
      </c>
      <c r="J281" s="152" t="s">
        <v>2695</v>
      </c>
      <c r="K281" s="187" t="s">
        <v>2679</v>
      </c>
      <c r="L281" s="276"/>
    </row>
    <row r="282" spans="1:12" ht="16" hidden="1">
      <c r="A282" s="141" t="str">
        <f t="shared" si="4"/>
        <v>098206</v>
      </c>
      <c r="B282" s="158">
        <v>1092</v>
      </c>
      <c r="C282" s="192">
        <v>44249</v>
      </c>
      <c r="D282" s="152" t="s">
        <v>2680</v>
      </c>
      <c r="E282" s="186" t="s">
        <v>1521</v>
      </c>
      <c r="F282" s="152" t="s">
        <v>1522</v>
      </c>
      <c r="G282" s="152" t="s">
        <v>59</v>
      </c>
      <c r="H282" s="152" t="s">
        <v>131</v>
      </c>
      <c r="I282" s="152" t="s">
        <v>2681</v>
      </c>
      <c r="J282" s="152" t="s">
        <v>2696</v>
      </c>
      <c r="K282" s="187" t="s">
        <v>777</v>
      </c>
      <c r="L282" s="276"/>
    </row>
    <row r="283" spans="1:12" ht="16" hidden="1">
      <c r="A283" s="141" t="str">
        <f t="shared" si="4"/>
        <v>095217</v>
      </c>
      <c r="B283" s="158">
        <v>1092</v>
      </c>
      <c r="C283" s="192">
        <v>44250</v>
      </c>
      <c r="D283" s="152" t="s">
        <v>2683</v>
      </c>
      <c r="E283" s="186" t="s">
        <v>1919</v>
      </c>
      <c r="F283" s="152" t="s">
        <v>1920</v>
      </c>
      <c r="G283" s="152" t="s">
        <v>59</v>
      </c>
      <c r="H283" s="152" t="s">
        <v>2684</v>
      </c>
      <c r="I283" s="152" t="s">
        <v>2685</v>
      </c>
      <c r="J283" s="152" t="s">
        <v>2697</v>
      </c>
      <c r="K283" s="187" t="s">
        <v>2686</v>
      </c>
      <c r="L283" s="276"/>
    </row>
    <row r="284" spans="1:12" ht="16" hidden="1">
      <c r="A284" s="141" t="str">
        <f t="shared" si="4"/>
        <v>095204</v>
      </c>
      <c r="B284" s="158">
        <v>1092</v>
      </c>
      <c r="C284" s="192">
        <v>44258</v>
      </c>
      <c r="D284" s="152" t="s">
        <v>2687</v>
      </c>
      <c r="E284" s="186" t="s">
        <v>1443</v>
      </c>
      <c r="F284" s="152" t="s">
        <v>1444</v>
      </c>
      <c r="G284" s="152" t="s">
        <v>59</v>
      </c>
      <c r="H284" s="152" t="s">
        <v>131</v>
      </c>
      <c r="I284" s="152" t="s">
        <v>2678</v>
      </c>
      <c r="J284" s="152" t="s">
        <v>2696</v>
      </c>
      <c r="K284" s="187" t="s">
        <v>777</v>
      </c>
      <c r="L284" s="276"/>
    </row>
    <row r="285" spans="1:12" ht="16" hidden="1">
      <c r="A285" s="141" t="str">
        <f t="shared" si="4"/>
        <v>094206</v>
      </c>
      <c r="B285" s="158">
        <v>1092</v>
      </c>
      <c r="C285" s="192">
        <v>44260</v>
      </c>
      <c r="D285" s="152" t="s">
        <v>2689</v>
      </c>
      <c r="E285" s="186" t="s">
        <v>1513</v>
      </c>
      <c r="F285" s="152" t="s">
        <v>1514</v>
      </c>
      <c r="G285" s="152" t="s">
        <v>59</v>
      </c>
      <c r="H285" s="152" t="s">
        <v>131</v>
      </c>
      <c r="I285" s="152" t="s">
        <v>2678</v>
      </c>
      <c r="J285" s="152" t="s">
        <v>159</v>
      </c>
      <c r="K285" s="187" t="s">
        <v>777</v>
      </c>
      <c r="L285" s="276"/>
    </row>
    <row r="286" spans="1:12" ht="16" hidden="1">
      <c r="A286" s="141" t="str">
        <f t="shared" si="4"/>
        <v>093211</v>
      </c>
      <c r="B286" s="158">
        <v>1092</v>
      </c>
      <c r="C286" s="192">
        <v>44280</v>
      </c>
      <c r="D286" s="152" t="s">
        <v>2690</v>
      </c>
      <c r="E286" s="186" t="s">
        <v>1695</v>
      </c>
      <c r="F286" s="152" t="s">
        <v>1696</v>
      </c>
      <c r="G286" s="152" t="s">
        <v>59</v>
      </c>
      <c r="H286" s="152" t="s">
        <v>131</v>
      </c>
      <c r="I286" s="152" t="s">
        <v>2678</v>
      </c>
      <c r="J286" s="152" t="s">
        <v>159</v>
      </c>
      <c r="K286" s="187" t="s">
        <v>777</v>
      </c>
      <c r="L286" s="276"/>
    </row>
    <row r="287" spans="1:12" ht="16" hidden="1">
      <c r="A287" s="141" t="str">
        <f t="shared" si="4"/>
        <v>097120</v>
      </c>
      <c r="B287" s="158">
        <v>1092</v>
      </c>
      <c r="C287" s="192">
        <v>44281</v>
      </c>
      <c r="D287" s="152" t="s">
        <v>2691</v>
      </c>
      <c r="E287" s="186" t="s">
        <v>2670</v>
      </c>
      <c r="F287" s="152" t="s">
        <v>2665</v>
      </c>
      <c r="G287" s="152" t="s">
        <v>59</v>
      </c>
      <c r="H287" s="152" t="s">
        <v>2692</v>
      </c>
      <c r="I287" s="152" t="s">
        <v>2678</v>
      </c>
      <c r="J287" s="152" t="s">
        <v>159</v>
      </c>
      <c r="K287" s="187" t="s">
        <v>2693</v>
      </c>
      <c r="L287" s="276"/>
    </row>
    <row r="288" spans="1:12" ht="16" hidden="1">
      <c r="A288" s="141" t="str">
        <f t="shared" si="4"/>
        <v>095230</v>
      </c>
      <c r="B288" s="158">
        <v>1092</v>
      </c>
      <c r="C288" s="192">
        <v>44298</v>
      </c>
      <c r="D288" s="152" t="s">
        <v>135</v>
      </c>
      <c r="E288" s="186" t="s">
        <v>2354</v>
      </c>
      <c r="F288" s="152" t="s">
        <v>2355</v>
      </c>
      <c r="G288" s="152" t="s">
        <v>59</v>
      </c>
      <c r="H288" s="152" t="s">
        <v>131</v>
      </c>
      <c r="I288" s="152" t="s">
        <v>2678</v>
      </c>
      <c r="J288" s="152" t="s">
        <v>159</v>
      </c>
      <c r="K288" s="187" t="s">
        <v>777</v>
      </c>
      <c r="L288" s="276"/>
    </row>
    <row r="289" spans="1:12" ht="16" hidden="1">
      <c r="A289" s="141" t="str">
        <f t="shared" si="4"/>
        <v>091425</v>
      </c>
      <c r="B289" s="158">
        <v>1092</v>
      </c>
      <c r="C289" s="192">
        <v>44327</v>
      </c>
      <c r="D289" s="152" t="s">
        <v>2698</v>
      </c>
      <c r="E289" s="186" t="s">
        <v>2165</v>
      </c>
      <c r="F289" s="152" t="s">
        <v>2166</v>
      </c>
      <c r="G289" s="152" t="s">
        <v>59</v>
      </c>
      <c r="H289" s="152" t="s">
        <v>2699</v>
      </c>
      <c r="I289" s="152" t="s">
        <v>2700</v>
      </c>
      <c r="J289" s="152" t="s">
        <v>159</v>
      </c>
      <c r="K289" s="187" t="s">
        <v>2701</v>
      </c>
      <c r="L289" s="276"/>
    </row>
    <row r="290" spans="1:12" ht="16" hidden="1">
      <c r="A290" s="141" t="str">
        <f t="shared" si="4"/>
        <v>083116</v>
      </c>
      <c r="B290" s="158">
        <v>1092</v>
      </c>
      <c r="C290" s="192">
        <v>44349</v>
      </c>
      <c r="D290" s="152" t="s">
        <v>2702</v>
      </c>
      <c r="E290" s="186" t="s">
        <v>984</v>
      </c>
      <c r="F290" s="152" t="s">
        <v>989</v>
      </c>
      <c r="G290" s="152" t="s">
        <v>60</v>
      </c>
      <c r="H290" s="152" t="s">
        <v>131</v>
      </c>
      <c r="I290" s="152" t="s">
        <v>2703</v>
      </c>
      <c r="J290" s="152" t="s">
        <v>159</v>
      </c>
      <c r="K290" s="187" t="s">
        <v>2704</v>
      </c>
      <c r="L290" s="276"/>
    </row>
    <row r="291" spans="1:12" ht="16" hidden="1">
      <c r="A291" s="141" t="str">
        <f t="shared" si="4"/>
        <v>081125</v>
      </c>
      <c r="B291" s="158">
        <v>1092</v>
      </c>
      <c r="C291" s="192">
        <v>44391</v>
      </c>
      <c r="D291" s="152" t="s">
        <v>2705</v>
      </c>
      <c r="E291" s="186" t="s">
        <v>3528</v>
      </c>
      <c r="F291" s="152" t="s">
        <v>3527</v>
      </c>
      <c r="G291" s="152" t="s">
        <v>2706</v>
      </c>
      <c r="H291" s="152" t="s">
        <v>134</v>
      </c>
      <c r="I291" s="152" t="s">
        <v>2707</v>
      </c>
      <c r="J291" s="152" t="s">
        <v>2708</v>
      </c>
      <c r="K291" s="187" t="s">
        <v>2709</v>
      </c>
      <c r="L291" s="276"/>
    </row>
    <row r="292" spans="1:12" ht="16" hidden="1">
      <c r="A292" s="141" t="str">
        <f t="shared" si="4"/>
        <v>098206</v>
      </c>
      <c r="B292" s="158">
        <v>1092</v>
      </c>
      <c r="C292" s="192">
        <v>44392</v>
      </c>
      <c r="D292" s="152" t="s">
        <v>1085</v>
      </c>
      <c r="E292" s="186" t="s">
        <v>1521</v>
      </c>
      <c r="F292" s="152" t="s">
        <v>1522</v>
      </c>
      <c r="G292" s="152" t="s">
        <v>59</v>
      </c>
      <c r="H292" s="152" t="s">
        <v>2710</v>
      </c>
      <c r="I292" s="152" t="s">
        <v>2711</v>
      </c>
      <c r="J292" s="152" t="s">
        <v>2713</v>
      </c>
      <c r="K292" s="187" t="s">
        <v>2712</v>
      </c>
      <c r="L292" s="276"/>
    </row>
    <row r="293" spans="1:12" ht="16" hidden="1">
      <c r="A293" s="141" t="str">
        <f t="shared" si="4"/>
        <v>091401</v>
      </c>
      <c r="B293" s="158">
        <v>1092</v>
      </c>
      <c r="C293" s="192">
        <v>44393</v>
      </c>
      <c r="D293" s="152" t="s">
        <v>2714</v>
      </c>
      <c r="E293" s="186" t="s">
        <v>2715</v>
      </c>
      <c r="F293" s="152" t="s">
        <v>2716</v>
      </c>
      <c r="G293" s="152" t="s">
        <v>2717</v>
      </c>
      <c r="H293" s="152" t="s">
        <v>2718</v>
      </c>
      <c r="I293" s="152" t="s">
        <v>2707</v>
      </c>
      <c r="J293" s="152" t="s">
        <v>2708</v>
      </c>
      <c r="K293" s="187" t="s">
        <v>2719</v>
      </c>
      <c r="L293" s="276"/>
    </row>
    <row r="294" spans="1:12" ht="16" hidden="1">
      <c r="A294" s="141" t="str">
        <f t="shared" si="4"/>
        <v>091128</v>
      </c>
      <c r="B294" s="158">
        <v>1092</v>
      </c>
      <c r="C294" s="192">
        <v>44396</v>
      </c>
      <c r="D294" s="152" t="s">
        <v>2720</v>
      </c>
      <c r="E294" s="186" t="s">
        <v>2260</v>
      </c>
      <c r="F294" s="152" t="s">
        <v>2261</v>
      </c>
      <c r="G294" s="152" t="s">
        <v>59</v>
      </c>
      <c r="H294" s="152" t="s">
        <v>134</v>
      </c>
      <c r="I294" s="152" t="s">
        <v>2721</v>
      </c>
      <c r="J294" s="152" t="s">
        <v>159</v>
      </c>
      <c r="K294" s="187" t="s">
        <v>2722</v>
      </c>
      <c r="L294" s="276"/>
    </row>
    <row r="295" spans="1:12" ht="16" hidden="1">
      <c r="A295" s="141" t="str">
        <f t="shared" si="4"/>
        <v>091226</v>
      </c>
      <c r="B295" s="158">
        <v>1092</v>
      </c>
      <c r="C295" s="192">
        <v>44390</v>
      </c>
      <c r="D295" s="152" t="s">
        <v>2723</v>
      </c>
      <c r="E295" s="186" t="s">
        <v>2195</v>
      </c>
      <c r="F295" s="152" t="s">
        <v>2196</v>
      </c>
      <c r="G295" s="152" t="s">
        <v>60</v>
      </c>
      <c r="H295" s="152" t="s">
        <v>131</v>
      </c>
      <c r="I295" s="152" t="s">
        <v>2678</v>
      </c>
      <c r="J295" s="152" t="s">
        <v>2724</v>
      </c>
      <c r="K295" s="187" t="s">
        <v>2725</v>
      </c>
      <c r="L295" s="276"/>
    </row>
    <row r="296" spans="1:12" ht="16" hidden="1">
      <c r="A296" s="141" t="str">
        <f t="shared" si="4"/>
        <v>096105</v>
      </c>
      <c r="B296" s="158">
        <v>1092</v>
      </c>
      <c r="C296" s="192">
        <v>44405</v>
      </c>
      <c r="D296" s="152" t="s">
        <v>2726</v>
      </c>
      <c r="E296" s="186" t="s">
        <v>1486</v>
      </c>
      <c r="F296" s="152" t="s">
        <v>1487</v>
      </c>
      <c r="G296" s="152" t="s">
        <v>59</v>
      </c>
      <c r="H296" s="152" t="s">
        <v>2727</v>
      </c>
      <c r="I296" s="152" t="s">
        <v>2728</v>
      </c>
      <c r="J296" s="152" t="s">
        <v>159</v>
      </c>
      <c r="K296" s="187" t="s">
        <v>2729</v>
      </c>
      <c r="L296" s="276"/>
    </row>
    <row r="297" spans="1:12" ht="16" hidden="1">
      <c r="A297" s="141" t="str">
        <f t="shared" si="4"/>
        <v>083116</v>
      </c>
      <c r="B297" s="158">
        <v>1092</v>
      </c>
      <c r="C297" s="192">
        <v>44404</v>
      </c>
      <c r="D297" s="152" t="s">
        <v>137</v>
      </c>
      <c r="E297" s="186" t="s">
        <v>984</v>
      </c>
      <c r="F297" s="152" t="s">
        <v>989</v>
      </c>
      <c r="G297" s="152" t="s">
        <v>60</v>
      </c>
      <c r="H297" s="152" t="s">
        <v>2730</v>
      </c>
      <c r="I297" s="152" t="s">
        <v>2731</v>
      </c>
      <c r="J297" s="152" t="s">
        <v>2732</v>
      </c>
      <c r="K297" s="187" t="s">
        <v>2733</v>
      </c>
      <c r="L297" s="276"/>
    </row>
    <row r="298" spans="1:12" ht="16" hidden="1">
      <c r="A298" s="141" t="str">
        <f t="shared" si="4"/>
        <v>095112</v>
      </c>
      <c r="B298" s="158">
        <v>1092</v>
      </c>
      <c r="C298" s="192">
        <v>44411</v>
      </c>
      <c r="D298" s="152" t="s">
        <v>2734</v>
      </c>
      <c r="E298" s="186" t="s">
        <v>1740</v>
      </c>
      <c r="F298" s="152" t="s">
        <v>1741</v>
      </c>
      <c r="G298" s="152" t="s">
        <v>59</v>
      </c>
      <c r="H298" s="152" t="s">
        <v>2735</v>
      </c>
      <c r="I298" s="152" t="s">
        <v>2678</v>
      </c>
      <c r="J298" s="152" t="s">
        <v>159</v>
      </c>
      <c r="K298" s="187" t="s">
        <v>2736</v>
      </c>
      <c r="L298" s="276"/>
    </row>
    <row r="299" spans="1:12" ht="16" hidden="1">
      <c r="A299" s="141" t="str">
        <f t="shared" si="4"/>
        <v>092406</v>
      </c>
      <c r="B299" s="158">
        <v>1092</v>
      </c>
      <c r="C299" s="192">
        <v>44414</v>
      </c>
      <c r="D299" s="152" t="s">
        <v>3376</v>
      </c>
      <c r="E299" s="186" t="s">
        <v>1503</v>
      </c>
      <c r="F299" s="152" t="s">
        <v>1504</v>
      </c>
      <c r="G299" s="152" t="s">
        <v>59</v>
      </c>
      <c r="H299" s="152" t="s">
        <v>3377</v>
      </c>
      <c r="I299" s="152" t="s">
        <v>3378</v>
      </c>
      <c r="J299" s="152" t="s">
        <v>3379</v>
      </c>
      <c r="K299" s="187" t="s">
        <v>3380</v>
      </c>
      <c r="L299" s="276"/>
    </row>
    <row r="300" spans="1:12" ht="16" hidden="1">
      <c r="A300" s="141" t="str">
        <f t="shared" si="4"/>
        <v>091222</v>
      </c>
      <c r="B300" s="158">
        <v>1092</v>
      </c>
      <c r="C300" s="192">
        <v>44419</v>
      </c>
      <c r="D300" s="152" t="s">
        <v>3394</v>
      </c>
      <c r="E300" s="186" t="s">
        <v>2061</v>
      </c>
      <c r="F300" s="152" t="s">
        <v>2062</v>
      </c>
      <c r="G300" s="152" t="s">
        <v>59</v>
      </c>
      <c r="H300" s="152" t="s">
        <v>3395</v>
      </c>
      <c r="I300" s="152" t="s">
        <v>3396</v>
      </c>
      <c r="J300" s="152" t="s">
        <v>3397</v>
      </c>
      <c r="K300" s="187" t="s">
        <v>3398</v>
      </c>
      <c r="L300" s="276" t="s">
        <v>3451</v>
      </c>
    </row>
    <row r="301" spans="1:12" ht="16" hidden="1">
      <c r="A301" s="141" t="str">
        <f t="shared" si="4"/>
        <v>084113</v>
      </c>
      <c r="B301" s="158">
        <v>1092</v>
      </c>
      <c r="C301" s="192">
        <v>44326</v>
      </c>
      <c r="D301" s="152" t="s">
        <v>3402</v>
      </c>
      <c r="E301" s="186" t="s">
        <v>973</v>
      </c>
      <c r="F301" s="152" t="s">
        <v>974</v>
      </c>
      <c r="G301" s="152" t="s">
        <v>59</v>
      </c>
      <c r="H301" s="152" t="s">
        <v>3399</v>
      </c>
      <c r="I301" s="152" t="s">
        <v>3400</v>
      </c>
      <c r="J301" s="152" t="s">
        <v>3401</v>
      </c>
      <c r="K301" s="187" t="s">
        <v>3403</v>
      </c>
      <c r="L301" s="276"/>
    </row>
    <row r="302" spans="1:12" ht="16" hidden="1">
      <c r="A302" s="141" t="str">
        <f t="shared" si="4"/>
        <v>095120</v>
      </c>
      <c r="B302" s="158">
        <v>1092</v>
      </c>
      <c r="C302" s="192">
        <v>44307</v>
      </c>
      <c r="D302" s="152" t="s">
        <v>3408</v>
      </c>
      <c r="E302" s="186" t="s">
        <v>2019</v>
      </c>
      <c r="F302" s="152" t="s">
        <v>2020</v>
      </c>
      <c r="G302" s="152" t="s">
        <v>59</v>
      </c>
      <c r="H302" s="152" t="s">
        <v>3409</v>
      </c>
      <c r="I302" s="152" t="s">
        <v>2678</v>
      </c>
      <c r="J302" s="152" t="s">
        <v>3411</v>
      </c>
      <c r="K302" s="187" t="s">
        <v>3410</v>
      </c>
      <c r="L302" s="276"/>
    </row>
    <row r="303" spans="1:12" ht="16" hidden="1">
      <c r="A303" s="141" t="str">
        <f t="shared" si="4"/>
        <v>092422</v>
      </c>
      <c r="B303" s="158">
        <v>1101</v>
      </c>
      <c r="C303" s="192">
        <v>44421</v>
      </c>
      <c r="D303" s="152" t="s">
        <v>3404</v>
      </c>
      <c r="E303" s="186" t="s">
        <v>2073</v>
      </c>
      <c r="F303" s="152" t="s">
        <v>2041</v>
      </c>
      <c r="G303" s="152" t="s">
        <v>59</v>
      </c>
      <c r="H303" s="152" t="s">
        <v>3405</v>
      </c>
      <c r="I303" s="152" t="s">
        <v>3406</v>
      </c>
      <c r="J303" s="152" t="s">
        <v>3534</v>
      </c>
      <c r="K303" s="187" t="s">
        <v>3407</v>
      </c>
      <c r="L303" s="276" t="s">
        <v>3452</v>
      </c>
    </row>
    <row r="304" spans="1:12" ht="16" hidden="1">
      <c r="A304" s="141" t="str">
        <f t="shared" si="4"/>
        <v>091211</v>
      </c>
      <c r="B304" s="158">
        <v>1101</v>
      </c>
      <c r="C304" s="192">
        <v>44421</v>
      </c>
      <c r="D304" s="152" t="s">
        <v>3412</v>
      </c>
      <c r="E304" s="186" t="s">
        <v>1679</v>
      </c>
      <c r="F304" s="152" t="s">
        <v>1680</v>
      </c>
      <c r="G304" s="152" t="s">
        <v>59</v>
      </c>
      <c r="H304" s="152" t="s">
        <v>3409</v>
      </c>
      <c r="I304" s="152" t="s">
        <v>3413</v>
      </c>
      <c r="J304" s="152" t="s">
        <v>3535</v>
      </c>
      <c r="K304" s="187" t="s">
        <v>3414</v>
      </c>
      <c r="L304" s="276" t="s">
        <v>3453</v>
      </c>
    </row>
    <row r="305" spans="1:12" ht="16" hidden="1">
      <c r="A305" s="141" t="str">
        <f t="shared" si="4"/>
        <v>095220</v>
      </c>
      <c r="B305" s="158">
        <v>1101</v>
      </c>
      <c r="C305" s="192">
        <v>44421</v>
      </c>
      <c r="D305" s="152" t="s">
        <v>3433</v>
      </c>
      <c r="E305" s="186" t="s">
        <v>2021</v>
      </c>
      <c r="F305" s="152" t="s">
        <v>2022</v>
      </c>
      <c r="G305" s="152" t="s">
        <v>59</v>
      </c>
      <c r="H305" s="152" t="s">
        <v>3436</v>
      </c>
      <c r="I305" s="152" t="s">
        <v>3434</v>
      </c>
      <c r="J305" s="152" t="s">
        <v>3534</v>
      </c>
      <c r="K305" s="187" t="s">
        <v>3435</v>
      </c>
      <c r="L305" s="276"/>
    </row>
    <row r="306" spans="1:12" ht="16" hidden="1">
      <c r="A306" s="141" t="str">
        <f t="shared" si="4"/>
        <v>083205</v>
      </c>
      <c r="B306" s="158">
        <v>1101</v>
      </c>
      <c r="C306" s="192">
        <v>44425</v>
      </c>
      <c r="D306" s="152" t="s">
        <v>3437</v>
      </c>
      <c r="E306" s="186" t="s">
        <v>934</v>
      </c>
      <c r="F306" s="152" t="s">
        <v>935</v>
      </c>
      <c r="G306" s="152" t="s">
        <v>59</v>
      </c>
      <c r="H306" s="152" t="s">
        <v>134</v>
      </c>
      <c r="I306" s="152" t="s">
        <v>3406</v>
      </c>
      <c r="J306" s="152" t="s">
        <v>3536</v>
      </c>
      <c r="K306" s="187" t="s">
        <v>3438</v>
      </c>
      <c r="L306" s="276"/>
    </row>
    <row r="307" spans="1:12" ht="16" hidden="1">
      <c r="A307" s="141" t="str">
        <f t="shared" si="4"/>
        <v>094206</v>
      </c>
      <c r="B307" s="158">
        <v>1101</v>
      </c>
      <c r="C307" s="192">
        <v>44425</v>
      </c>
      <c r="D307" s="152" t="s">
        <v>3439</v>
      </c>
      <c r="E307" s="186" t="s">
        <v>1513</v>
      </c>
      <c r="F307" s="152" t="s">
        <v>1514</v>
      </c>
      <c r="G307" s="152" t="s">
        <v>59</v>
      </c>
      <c r="H307" s="152" t="s">
        <v>3440</v>
      </c>
      <c r="I307" s="152" t="s">
        <v>3441</v>
      </c>
      <c r="J307" s="152" t="s">
        <v>3534</v>
      </c>
      <c r="K307" s="187" t="s">
        <v>3442</v>
      </c>
      <c r="L307" s="276"/>
    </row>
    <row r="308" spans="1:12" ht="16" hidden="1">
      <c r="A308" s="141" t="str">
        <f t="shared" si="4"/>
        <v>092133</v>
      </c>
      <c r="B308" s="158">
        <v>1101</v>
      </c>
      <c r="C308" s="192">
        <v>44425</v>
      </c>
      <c r="D308" s="152" t="s">
        <v>3443</v>
      </c>
      <c r="E308" s="186" t="s">
        <v>2434</v>
      </c>
      <c r="F308" s="152" t="s">
        <v>2435</v>
      </c>
      <c r="G308" s="152" t="s">
        <v>59</v>
      </c>
      <c r="H308" s="152" t="s">
        <v>134</v>
      </c>
      <c r="I308" s="152" t="s">
        <v>3406</v>
      </c>
      <c r="J308" s="152" t="s">
        <v>3537</v>
      </c>
      <c r="K308" s="187" t="s">
        <v>3444</v>
      </c>
      <c r="L308" s="276"/>
    </row>
    <row r="309" spans="1:12" hidden="1">
      <c r="A309" s="141" t="str">
        <f t="shared" si="4"/>
        <v>102111</v>
      </c>
      <c r="B309" s="158">
        <v>1101</v>
      </c>
      <c r="C309" s="192">
        <v>44428</v>
      </c>
      <c r="D309" s="152" t="s">
        <v>3455</v>
      </c>
      <c r="E309" s="186">
        <v>102111</v>
      </c>
      <c r="F309" s="152" t="s">
        <v>2950</v>
      </c>
      <c r="G309" s="152" t="s">
        <v>59</v>
      </c>
      <c r="H309" s="152" t="s">
        <v>3456</v>
      </c>
      <c r="I309" s="152" t="s">
        <v>3457</v>
      </c>
      <c r="J309" s="152" t="s">
        <v>3534</v>
      </c>
      <c r="K309" s="152" t="s">
        <v>3456</v>
      </c>
      <c r="L309" s="276"/>
    </row>
    <row r="310" spans="1:12" hidden="1">
      <c r="A310" s="141" t="str">
        <f t="shared" si="4"/>
        <v>104228</v>
      </c>
      <c r="B310" s="158">
        <v>1101</v>
      </c>
      <c r="C310" s="192">
        <v>44428</v>
      </c>
      <c r="D310" s="152" t="s">
        <v>3458</v>
      </c>
      <c r="E310" s="186">
        <v>104228</v>
      </c>
      <c r="F310" s="152" t="s">
        <v>3249</v>
      </c>
      <c r="G310" s="152" t="s">
        <v>59</v>
      </c>
      <c r="H310" s="152" t="s">
        <v>3456</v>
      </c>
      <c r="I310" s="152" t="s">
        <v>3457</v>
      </c>
      <c r="J310" s="152" t="s">
        <v>3536</v>
      </c>
      <c r="K310" s="152" t="s">
        <v>3456</v>
      </c>
      <c r="L310" s="334">
        <v>1853</v>
      </c>
    </row>
    <row r="311" spans="1:12" ht="16" hidden="1">
      <c r="A311" s="141" t="str">
        <f t="shared" si="4"/>
        <v>098221</v>
      </c>
      <c r="B311" s="158">
        <v>1101</v>
      </c>
      <c r="C311" s="192">
        <v>44431</v>
      </c>
      <c r="D311" s="152" t="s">
        <v>3459</v>
      </c>
      <c r="E311" s="186" t="s">
        <v>2057</v>
      </c>
      <c r="F311" s="152" t="s">
        <v>2058</v>
      </c>
      <c r="G311" s="152" t="s">
        <v>60</v>
      </c>
      <c r="H311" s="152" t="s">
        <v>3460</v>
      </c>
      <c r="I311" s="152" t="s">
        <v>3406</v>
      </c>
      <c r="J311" s="152" t="s">
        <v>3538</v>
      </c>
      <c r="K311" s="187" t="s">
        <v>3461</v>
      </c>
      <c r="L311" s="334">
        <v>1852</v>
      </c>
    </row>
    <row r="312" spans="1:12" ht="16" hidden="1">
      <c r="A312" s="141" t="str">
        <f t="shared" si="4"/>
        <v>083304</v>
      </c>
      <c r="B312" s="158">
        <v>1101</v>
      </c>
      <c r="C312" s="192">
        <v>44431</v>
      </c>
      <c r="D312" s="152" t="s">
        <v>3462</v>
      </c>
      <c r="E312" s="186" t="s">
        <v>3463</v>
      </c>
      <c r="F312" s="152" t="s">
        <v>3464</v>
      </c>
      <c r="G312" s="152" t="s">
        <v>3465</v>
      </c>
      <c r="H312" s="152" t="s">
        <v>3466</v>
      </c>
      <c r="I312" s="152" t="s">
        <v>2707</v>
      </c>
      <c r="J312" s="152" t="s">
        <v>3539</v>
      </c>
      <c r="K312" s="187" t="s">
        <v>3467</v>
      </c>
      <c r="L312" s="334">
        <v>1852</v>
      </c>
    </row>
    <row r="313" spans="1:12" ht="16" hidden="1">
      <c r="A313" s="141" t="str">
        <f t="shared" si="4"/>
        <v>094208</v>
      </c>
      <c r="B313" s="158">
        <v>1101</v>
      </c>
      <c r="C313" s="192">
        <v>44433</v>
      </c>
      <c r="D313" s="152" t="s">
        <v>3468</v>
      </c>
      <c r="E313" s="186" t="s">
        <v>1587</v>
      </c>
      <c r="F313" s="152" t="s">
        <v>1588</v>
      </c>
      <c r="G313" s="152" t="s">
        <v>59</v>
      </c>
      <c r="H313" s="152" t="s">
        <v>3469</v>
      </c>
      <c r="I313" s="152" t="s">
        <v>3406</v>
      </c>
      <c r="J313" s="152" t="s">
        <v>3540</v>
      </c>
      <c r="K313" s="187" t="s">
        <v>3470</v>
      </c>
      <c r="L313" s="334">
        <v>1851</v>
      </c>
    </row>
    <row r="314" spans="1:12" ht="16" hidden="1">
      <c r="A314" s="141" t="str">
        <f t="shared" si="4"/>
        <v>083229</v>
      </c>
      <c r="B314" s="158">
        <v>1101</v>
      </c>
      <c r="C314" s="192">
        <v>44433</v>
      </c>
      <c r="D314" s="152" t="s">
        <v>3471</v>
      </c>
      <c r="E314" s="186" t="s">
        <v>1027</v>
      </c>
      <c r="F314" s="152" t="s">
        <v>1028</v>
      </c>
      <c r="G314" s="152" t="s">
        <v>59</v>
      </c>
      <c r="H314" s="152" t="s">
        <v>3469</v>
      </c>
      <c r="I314" s="152" t="s">
        <v>3406</v>
      </c>
      <c r="J314" s="152" t="s">
        <v>3540</v>
      </c>
      <c r="K314" s="187" t="s">
        <v>3470</v>
      </c>
      <c r="L314" s="334">
        <v>1850</v>
      </c>
    </row>
    <row r="315" spans="1:12" ht="16" hidden="1">
      <c r="A315" s="141" t="str">
        <f t="shared" si="4"/>
        <v>085224</v>
      </c>
      <c r="B315" s="158">
        <v>1101</v>
      </c>
      <c r="C315" s="192">
        <v>44434</v>
      </c>
      <c r="D315" s="152" t="s">
        <v>79</v>
      </c>
      <c r="E315" s="186" t="s">
        <v>3472</v>
      </c>
      <c r="F315" s="152" t="s">
        <v>3473</v>
      </c>
      <c r="G315" s="152" t="s">
        <v>59</v>
      </c>
      <c r="H315" s="152" t="s">
        <v>3474</v>
      </c>
      <c r="I315" s="152" t="s">
        <v>2711</v>
      </c>
      <c r="J315" s="152" t="s">
        <v>3538</v>
      </c>
      <c r="K315" s="187" t="s">
        <v>3475</v>
      </c>
      <c r="L315" s="334">
        <v>1850</v>
      </c>
    </row>
    <row r="316" spans="1:12" ht="16" hidden="1">
      <c r="A316" s="141" t="str">
        <f t="shared" si="4"/>
        <v>083223</v>
      </c>
      <c r="B316" s="158">
        <v>1101</v>
      </c>
      <c r="C316" s="192">
        <v>44435</v>
      </c>
      <c r="D316" s="152" t="s">
        <v>3481</v>
      </c>
      <c r="E316" s="186" t="s">
        <v>1003</v>
      </c>
      <c r="F316" s="152" t="s">
        <v>1004</v>
      </c>
      <c r="G316" s="152" t="s">
        <v>59</v>
      </c>
      <c r="H316" s="152" t="s">
        <v>3482</v>
      </c>
      <c r="I316" s="152" t="s">
        <v>3406</v>
      </c>
      <c r="J316" s="152" t="s">
        <v>3541</v>
      </c>
      <c r="K316" s="187" t="s">
        <v>3483</v>
      </c>
      <c r="L316" s="334">
        <v>1849</v>
      </c>
    </row>
    <row r="317" spans="1:12" ht="16" hidden="1">
      <c r="A317" s="141" t="str">
        <f t="shared" si="4"/>
        <v>073202</v>
      </c>
      <c r="B317" s="158">
        <v>1101</v>
      </c>
      <c r="C317" s="192">
        <v>44435</v>
      </c>
      <c r="D317" s="152" t="s">
        <v>3481</v>
      </c>
      <c r="E317" s="186" t="s">
        <v>549</v>
      </c>
      <c r="F317" s="152" t="s">
        <v>550</v>
      </c>
      <c r="G317" s="152" t="s">
        <v>59</v>
      </c>
      <c r="H317" s="152" t="s">
        <v>3482</v>
      </c>
      <c r="I317" s="152" t="s">
        <v>3406</v>
      </c>
      <c r="J317" s="152" t="s">
        <v>3542</v>
      </c>
      <c r="K317" s="187" t="s">
        <v>3483</v>
      </c>
      <c r="L317" s="334">
        <v>1848</v>
      </c>
    </row>
    <row r="318" spans="1:12" hidden="1">
      <c r="A318" s="141" t="str">
        <f t="shared" si="4"/>
        <v>105118</v>
      </c>
      <c r="B318" s="158">
        <v>1101</v>
      </c>
      <c r="C318" s="192">
        <v>44439</v>
      </c>
      <c r="D318" s="152" t="s">
        <v>3485</v>
      </c>
      <c r="E318" s="186">
        <v>105118</v>
      </c>
      <c r="F318" s="152" t="s">
        <v>3085</v>
      </c>
      <c r="G318" s="152" t="s">
        <v>59</v>
      </c>
      <c r="H318" s="152" t="s">
        <v>2568</v>
      </c>
      <c r="I318" s="152" t="s">
        <v>3406</v>
      </c>
      <c r="J318" s="152" t="s">
        <v>3543</v>
      </c>
      <c r="K318" s="152" t="s">
        <v>3486</v>
      </c>
      <c r="L318" s="334">
        <v>1847</v>
      </c>
    </row>
    <row r="319" spans="1:12" hidden="1">
      <c r="A319" s="141" t="str">
        <f t="shared" si="4"/>
        <v>102216</v>
      </c>
      <c r="B319" s="158">
        <v>1101</v>
      </c>
      <c r="C319" s="192">
        <v>44439</v>
      </c>
      <c r="D319" s="152" t="s">
        <v>3489</v>
      </c>
      <c r="E319" s="186">
        <v>102216</v>
      </c>
      <c r="F319" s="152" t="s">
        <v>3042</v>
      </c>
      <c r="G319" s="152" t="s">
        <v>59</v>
      </c>
      <c r="H319" s="152" t="s">
        <v>3487</v>
      </c>
      <c r="I319" s="152" t="s">
        <v>3406</v>
      </c>
      <c r="J319" s="152" t="s">
        <v>3535</v>
      </c>
      <c r="K319" s="152" t="s">
        <v>3488</v>
      </c>
      <c r="L319" s="334">
        <v>1846</v>
      </c>
    </row>
    <row r="320" spans="1:12" ht="16" hidden="1">
      <c r="A320" s="141" t="str">
        <f t="shared" si="4"/>
        <v>106104</v>
      </c>
      <c r="B320" s="158">
        <v>1101</v>
      </c>
      <c r="C320" s="192">
        <v>44440</v>
      </c>
      <c r="D320" s="152" t="s">
        <v>3490</v>
      </c>
      <c r="E320" s="186">
        <v>106104</v>
      </c>
      <c r="F320" s="152" t="s">
        <v>2829</v>
      </c>
      <c r="G320" s="152" t="s">
        <v>59</v>
      </c>
      <c r="H320" s="152" t="s">
        <v>3491</v>
      </c>
      <c r="I320" s="152" t="s">
        <v>3406</v>
      </c>
      <c r="J320" s="152" t="s">
        <v>3534</v>
      </c>
      <c r="K320" s="187" t="s">
        <v>3492</v>
      </c>
      <c r="L320" s="334">
        <v>1845</v>
      </c>
    </row>
    <row r="321" spans="1:12" ht="16" hidden="1">
      <c r="A321" s="141" t="str">
        <f t="shared" si="4"/>
        <v>102236</v>
      </c>
      <c r="B321" s="158">
        <v>1101</v>
      </c>
      <c r="C321" s="192">
        <v>44440</v>
      </c>
      <c r="D321" s="152" t="s">
        <v>3493</v>
      </c>
      <c r="E321" s="186">
        <v>102236</v>
      </c>
      <c r="F321" s="152" t="s">
        <v>3357</v>
      </c>
      <c r="G321" s="152" t="s">
        <v>59</v>
      </c>
      <c r="H321" s="152" t="s">
        <v>3491</v>
      </c>
      <c r="I321" s="152" t="s">
        <v>3406</v>
      </c>
      <c r="J321" s="152" t="s">
        <v>3544</v>
      </c>
      <c r="K321" s="187" t="s">
        <v>3494</v>
      </c>
      <c r="L321" s="334">
        <v>1844</v>
      </c>
    </row>
    <row r="322" spans="1:12" hidden="1">
      <c r="A322" s="141" t="str">
        <f t="shared" si="4"/>
        <v>109113</v>
      </c>
      <c r="B322" s="158">
        <v>1101</v>
      </c>
      <c r="C322" s="192">
        <v>44442</v>
      </c>
      <c r="D322" s="152" t="s">
        <v>3495</v>
      </c>
      <c r="E322" s="186">
        <v>109113</v>
      </c>
      <c r="F322" s="152" t="s">
        <v>2999</v>
      </c>
      <c r="G322" s="152" t="s">
        <v>59</v>
      </c>
      <c r="H322" s="152" t="s">
        <v>3496</v>
      </c>
      <c r="I322" s="152" t="s">
        <v>3406</v>
      </c>
      <c r="J322" s="152" t="s">
        <v>3541</v>
      </c>
      <c r="K322" s="152" t="s">
        <v>3497</v>
      </c>
      <c r="L322" s="334">
        <v>1843</v>
      </c>
    </row>
    <row r="323" spans="1:12" hidden="1">
      <c r="A323" s="141" t="str">
        <f t="shared" si="4"/>
        <v>104203</v>
      </c>
      <c r="B323" s="158">
        <v>1101</v>
      </c>
      <c r="C323" s="192">
        <v>44445</v>
      </c>
      <c r="D323" s="152" t="s">
        <v>3498</v>
      </c>
      <c r="E323" s="186">
        <v>104203</v>
      </c>
      <c r="F323" s="152" t="s">
        <v>2804</v>
      </c>
      <c r="G323" s="152" t="s">
        <v>60</v>
      </c>
      <c r="H323" s="152" t="s">
        <v>2568</v>
      </c>
      <c r="I323" s="152" t="s">
        <v>3406</v>
      </c>
      <c r="J323" s="152" t="s">
        <v>3538</v>
      </c>
      <c r="K323" s="152" t="s">
        <v>3497</v>
      </c>
      <c r="L323" s="334">
        <v>1842</v>
      </c>
    </row>
    <row r="324" spans="1:12" hidden="1">
      <c r="A324" s="141" t="str">
        <f t="shared" ref="A324:A392" si="5">TRIM(E324)</f>
        <v>082316</v>
      </c>
      <c r="B324" s="158">
        <v>1101</v>
      </c>
      <c r="C324" s="192">
        <v>44445</v>
      </c>
      <c r="D324" s="152" t="s">
        <v>3499</v>
      </c>
      <c r="E324" s="186" t="s">
        <v>983</v>
      </c>
      <c r="F324" s="152" t="s">
        <v>988</v>
      </c>
      <c r="G324" s="152" t="s">
        <v>59</v>
      </c>
      <c r="H324" s="152" t="s">
        <v>3500</v>
      </c>
      <c r="I324" s="152" t="s">
        <v>2707</v>
      </c>
      <c r="J324" s="152" t="s">
        <v>3534</v>
      </c>
      <c r="K324" s="152" t="s">
        <v>3501</v>
      </c>
      <c r="L324" s="334">
        <v>1842</v>
      </c>
    </row>
    <row r="325" spans="1:12" hidden="1">
      <c r="A325" s="141" t="str">
        <f t="shared" si="5"/>
        <v>075220</v>
      </c>
      <c r="B325" s="158">
        <v>1101</v>
      </c>
      <c r="C325" s="192">
        <v>44445</v>
      </c>
      <c r="D325" s="152" t="s">
        <v>3502</v>
      </c>
      <c r="E325" s="186" t="s">
        <v>600</v>
      </c>
      <c r="F325" s="152" t="s">
        <v>601</v>
      </c>
      <c r="G325" s="152" t="s">
        <v>59</v>
      </c>
      <c r="H325" s="152" t="s">
        <v>3503</v>
      </c>
      <c r="I325" s="152" t="s">
        <v>3504</v>
      </c>
      <c r="J325" s="152" t="s">
        <v>3539</v>
      </c>
      <c r="K325" s="152" t="s">
        <v>3503</v>
      </c>
      <c r="L325" s="334">
        <v>1841</v>
      </c>
    </row>
    <row r="326" spans="1:12" hidden="1">
      <c r="A326" s="141" t="str">
        <f t="shared" si="5"/>
        <v>094214</v>
      </c>
      <c r="B326" s="158">
        <v>1101</v>
      </c>
      <c r="C326" s="192">
        <v>44441</v>
      </c>
      <c r="D326" s="152" t="s">
        <v>3505</v>
      </c>
      <c r="E326" s="186" t="s">
        <v>1811</v>
      </c>
      <c r="F326" s="152" t="s">
        <v>1812</v>
      </c>
      <c r="G326" s="152" t="s">
        <v>59</v>
      </c>
      <c r="H326" s="152" t="s">
        <v>3506</v>
      </c>
      <c r="I326" s="152" t="s">
        <v>3507</v>
      </c>
      <c r="J326" s="152" t="s">
        <v>3545</v>
      </c>
      <c r="K326" s="152" t="s">
        <v>3508</v>
      </c>
      <c r="L326" s="334">
        <v>1840</v>
      </c>
    </row>
    <row r="327" spans="1:12" hidden="1">
      <c r="A327" s="141" t="str">
        <f t="shared" si="5"/>
        <v>082201</v>
      </c>
      <c r="B327" s="158">
        <v>1101</v>
      </c>
      <c r="C327" s="192">
        <v>44445</v>
      </c>
      <c r="D327" s="152" t="s">
        <v>3511</v>
      </c>
      <c r="E327" s="186" t="s">
        <v>923</v>
      </c>
      <c r="F327" s="152" t="s">
        <v>924</v>
      </c>
      <c r="G327" s="152" t="s">
        <v>59</v>
      </c>
      <c r="H327" s="152" t="s">
        <v>3509</v>
      </c>
      <c r="I327" s="152" t="s">
        <v>3507</v>
      </c>
      <c r="J327" s="152" t="s">
        <v>3540</v>
      </c>
      <c r="K327" s="152" t="s">
        <v>3510</v>
      </c>
      <c r="L327" s="334">
        <v>1839</v>
      </c>
    </row>
    <row r="328" spans="1:12" hidden="1">
      <c r="A328" s="141" t="str">
        <f t="shared" si="5"/>
        <v>104129</v>
      </c>
      <c r="B328" s="158">
        <v>1101</v>
      </c>
      <c r="C328" s="192">
        <v>44445</v>
      </c>
      <c r="D328" s="152" t="s">
        <v>3513</v>
      </c>
      <c r="E328" s="186">
        <v>104129</v>
      </c>
      <c r="F328" s="152" t="s">
        <v>3265</v>
      </c>
      <c r="G328" s="152" t="s">
        <v>59</v>
      </c>
      <c r="H328" s="152" t="s">
        <v>3514</v>
      </c>
      <c r="I328" s="152" t="s">
        <v>3406</v>
      </c>
      <c r="J328" s="152" t="s">
        <v>3534</v>
      </c>
      <c r="K328" s="152" t="s">
        <v>1115</v>
      </c>
      <c r="L328" s="334">
        <v>1838</v>
      </c>
    </row>
    <row r="329" spans="1:12" hidden="1">
      <c r="A329" s="141" t="str">
        <f t="shared" si="5"/>
        <v>085235</v>
      </c>
      <c r="B329" s="158">
        <v>1101</v>
      </c>
      <c r="C329" s="192">
        <v>44447</v>
      </c>
      <c r="D329" s="152" t="s">
        <v>3515</v>
      </c>
      <c r="E329" s="186" t="s">
        <v>1048</v>
      </c>
      <c r="F329" s="152" t="s">
        <v>1049</v>
      </c>
      <c r="G329" s="152" t="s">
        <v>59</v>
      </c>
      <c r="H329" s="152" t="s">
        <v>157</v>
      </c>
      <c r="I329" s="152" t="s">
        <v>3406</v>
      </c>
      <c r="J329" s="152" t="s">
        <v>3538</v>
      </c>
      <c r="K329" s="152" t="s">
        <v>3508</v>
      </c>
      <c r="L329" s="334">
        <v>1837</v>
      </c>
    </row>
    <row r="330" spans="1:12" hidden="1">
      <c r="A330" s="141" t="str">
        <f t="shared" si="5"/>
        <v>085125</v>
      </c>
      <c r="B330" s="158">
        <v>1101</v>
      </c>
      <c r="C330" s="192">
        <v>44450</v>
      </c>
      <c r="D330" s="152" t="s">
        <v>3523</v>
      </c>
      <c r="E330" s="186" t="s">
        <v>1012</v>
      </c>
      <c r="F330" s="152" t="s">
        <v>1013</v>
      </c>
      <c r="G330" s="152" t="s">
        <v>59</v>
      </c>
      <c r="H330" s="152" t="s">
        <v>134</v>
      </c>
      <c r="I330" s="152" t="s">
        <v>3524</v>
      </c>
      <c r="J330" s="152" t="s">
        <v>3546</v>
      </c>
      <c r="K330" s="152" t="s">
        <v>3525</v>
      </c>
      <c r="L330" s="334">
        <v>1837</v>
      </c>
    </row>
    <row r="331" spans="1:12" hidden="1">
      <c r="A331" s="141" t="str">
        <f t="shared" si="5"/>
        <v>091230</v>
      </c>
      <c r="B331" s="158">
        <v>1101</v>
      </c>
      <c r="C331" s="192">
        <v>44452</v>
      </c>
      <c r="D331" s="152" t="s">
        <v>3526</v>
      </c>
      <c r="E331" s="186" t="s">
        <v>2328</v>
      </c>
      <c r="F331" s="152" t="s">
        <v>2329</v>
      </c>
      <c r="G331" s="152" t="s">
        <v>60</v>
      </c>
      <c r="H331" s="152" t="s">
        <v>157</v>
      </c>
      <c r="I331" s="152" t="s">
        <v>3406</v>
      </c>
      <c r="J331" s="152" t="s">
        <v>3534</v>
      </c>
      <c r="K331" s="152" t="s">
        <v>3508</v>
      </c>
      <c r="L331" s="334">
        <v>1836</v>
      </c>
    </row>
    <row r="332" spans="1:12" hidden="1">
      <c r="A332" s="141" t="str">
        <f t="shared" si="5"/>
        <v>091212</v>
      </c>
      <c r="B332" s="158">
        <v>1101</v>
      </c>
      <c r="C332" s="192">
        <v>44466</v>
      </c>
      <c r="D332" s="152" t="s">
        <v>3530</v>
      </c>
      <c r="E332" s="186" t="s">
        <v>1717</v>
      </c>
      <c r="F332" s="152" t="s">
        <v>1718</v>
      </c>
      <c r="G332" s="152" t="s">
        <v>59</v>
      </c>
      <c r="H332" s="152" t="s">
        <v>131</v>
      </c>
      <c r="I332" s="152" t="s">
        <v>3406</v>
      </c>
      <c r="J332" s="152" t="s">
        <v>3546</v>
      </c>
      <c r="K332" s="152" t="s">
        <v>3531</v>
      </c>
      <c r="L332" s="334">
        <v>1835</v>
      </c>
    </row>
    <row r="333" spans="1:12" hidden="1">
      <c r="A333" s="141" t="str">
        <f t="shared" si="5"/>
        <v>092326</v>
      </c>
      <c r="B333" s="158">
        <v>1101</v>
      </c>
      <c r="C333" s="192">
        <v>44466</v>
      </c>
      <c r="D333" s="152" t="s">
        <v>3532</v>
      </c>
      <c r="E333" s="186" t="s">
        <v>2205</v>
      </c>
      <c r="F333" s="152" t="s">
        <v>2206</v>
      </c>
      <c r="G333" s="152" t="s">
        <v>59</v>
      </c>
      <c r="H333" s="152" t="s">
        <v>3533</v>
      </c>
      <c r="I333" s="152" t="s">
        <v>3406</v>
      </c>
      <c r="J333" s="152" t="s">
        <v>3538</v>
      </c>
      <c r="K333" s="152" t="s">
        <v>3531</v>
      </c>
      <c r="L333" s="334">
        <v>1834</v>
      </c>
    </row>
    <row r="334" spans="1:12" hidden="1">
      <c r="A334" s="141" t="str">
        <f t="shared" si="5"/>
        <v>098214</v>
      </c>
      <c r="B334" s="158">
        <v>1101</v>
      </c>
      <c r="C334" s="192">
        <v>44482</v>
      </c>
      <c r="D334" s="152" t="s">
        <v>3547</v>
      </c>
      <c r="E334" s="186" t="s">
        <v>1819</v>
      </c>
      <c r="F334" s="152" t="s">
        <v>1820</v>
      </c>
      <c r="G334" s="152" t="s">
        <v>59</v>
      </c>
      <c r="H334" s="152" t="s">
        <v>3548</v>
      </c>
      <c r="I334" s="152" t="s">
        <v>3549</v>
      </c>
      <c r="J334" s="152" t="s">
        <v>3550</v>
      </c>
      <c r="K334" s="152" t="s">
        <v>3551</v>
      </c>
      <c r="L334" s="334">
        <v>1833</v>
      </c>
    </row>
    <row r="335" spans="1:12" hidden="1">
      <c r="A335" s="141" t="str">
        <f t="shared" si="5"/>
        <v>104218</v>
      </c>
      <c r="B335" s="158">
        <v>1101</v>
      </c>
      <c r="C335" s="192">
        <v>44487</v>
      </c>
      <c r="D335" s="152" t="s">
        <v>3552</v>
      </c>
      <c r="E335" s="186">
        <v>104218</v>
      </c>
      <c r="F335" s="152" t="s">
        <v>3084</v>
      </c>
      <c r="G335" s="152" t="s">
        <v>59</v>
      </c>
      <c r="H335" s="152" t="s">
        <v>3553</v>
      </c>
      <c r="I335" s="152" t="s">
        <v>3554</v>
      </c>
      <c r="J335" s="152" t="s">
        <v>3555</v>
      </c>
      <c r="K335" s="152" t="s">
        <v>3508</v>
      </c>
      <c r="L335" s="334">
        <v>1832</v>
      </c>
    </row>
    <row r="336" spans="1:12" hidden="1">
      <c r="A336" s="141" t="str">
        <f t="shared" si="5"/>
        <v>094112</v>
      </c>
      <c r="B336" s="158">
        <v>1101</v>
      </c>
      <c r="C336" s="192">
        <v>44505</v>
      </c>
      <c r="D336" s="152" t="s">
        <v>3556</v>
      </c>
      <c r="E336" s="186" t="s">
        <v>1736</v>
      </c>
      <c r="F336" s="152" t="s">
        <v>1737</v>
      </c>
      <c r="G336" s="152" t="s">
        <v>59</v>
      </c>
      <c r="H336" s="152" t="s">
        <v>1115</v>
      </c>
      <c r="I336" s="152" t="s">
        <v>3557</v>
      </c>
      <c r="J336" s="152" t="s">
        <v>3558</v>
      </c>
      <c r="K336" s="152" t="s">
        <v>1115</v>
      </c>
      <c r="L336" s="334">
        <v>1831</v>
      </c>
    </row>
    <row r="337" spans="1:12" hidden="1">
      <c r="A337" s="141" t="str">
        <f t="shared" si="5"/>
        <v>101425</v>
      </c>
      <c r="B337" s="158">
        <v>1101</v>
      </c>
      <c r="C337" s="192">
        <v>44512</v>
      </c>
      <c r="D337" s="152" t="s">
        <v>3559</v>
      </c>
      <c r="E337" s="186">
        <v>101425</v>
      </c>
      <c r="F337" s="152" t="s">
        <v>3192</v>
      </c>
      <c r="G337" s="152" t="s">
        <v>59</v>
      </c>
      <c r="H337" s="152" t="s">
        <v>1115</v>
      </c>
      <c r="I337" s="152" t="s">
        <v>3413</v>
      </c>
      <c r="J337" s="152" t="s">
        <v>159</v>
      </c>
      <c r="K337" s="152" t="s">
        <v>1115</v>
      </c>
      <c r="L337" s="334">
        <v>1830</v>
      </c>
    </row>
    <row r="338" spans="1:12" hidden="1">
      <c r="A338" s="141" t="str">
        <f t="shared" si="5"/>
        <v>105232</v>
      </c>
      <c r="B338" s="158">
        <v>1101</v>
      </c>
      <c r="C338" s="192">
        <v>44517</v>
      </c>
      <c r="D338" s="152" t="s">
        <v>3560</v>
      </c>
      <c r="E338" s="186">
        <v>105232</v>
      </c>
      <c r="F338" s="152" t="s">
        <v>3318</v>
      </c>
      <c r="G338" s="152" t="s">
        <v>59</v>
      </c>
      <c r="H338" s="152"/>
      <c r="I338" s="152" t="s">
        <v>3406</v>
      </c>
      <c r="J338" s="152" t="s">
        <v>159</v>
      </c>
      <c r="K338" s="152" t="s">
        <v>3508</v>
      </c>
      <c r="L338" s="334">
        <v>1829</v>
      </c>
    </row>
    <row r="339" spans="1:12" hidden="1">
      <c r="A339" s="141" t="str">
        <f t="shared" si="5"/>
        <v>101419</v>
      </c>
      <c r="B339" s="158">
        <v>1101</v>
      </c>
      <c r="C339" s="192">
        <v>44544</v>
      </c>
      <c r="D339" s="152" t="s">
        <v>3561</v>
      </c>
      <c r="E339" s="186">
        <v>101419</v>
      </c>
      <c r="F339" s="152" t="s">
        <v>3093</v>
      </c>
      <c r="G339" s="152" t="s">
        <v>59</v>
      </c>
      <c r="H339" s="152" t="s">
        <v>163</v>
      </c>
      <c r="I339" s="152" t="s">
        <v>3562</v>
      </c>
      <c r="J339" s="152" t="s">
        <v>164</v>
      </c>
      <c r="K339" s="152" t="s">
        <v>3563</v>
      </c>
      <c r="L339" s="334">
        <v>1828</v>
      </c>
    </row>
    <row r="340" spans="1:12" hidden="1">
      <c r="A340" s="141" t="str">
        <f t="shared" si="5"/>
        <v>091433</v>
      </c>
      <c r="B340" s="158">
        <v>1101</v>
      </c>
      <c r="C340" s="192">
        <v>44545</v>
      </c>
      <c r="D340" s="152" t="s">
        <v>3564</v>
      </c>
      <c r="E340" s="186" t="s">
        <v>2432</v>
      </c>
      <c r="F340" s="152" t="s">
        <v>2433</v>
      </c>
      <c r="G340" s="152" t="s">
        <v>59</v>
      </c>
      <c r="H340" s="152"/>
      <c r="I340" s="152" t="s">
        <v>3562</v>
      </c>
      <c r="J340" s="152" t="s">
        <v>164</v>
      </c>
      <c r="K340" s="152" t="s">
        <v>3565</v>
      </c>
      <c r="L340" s="334">
        <v>1827</v>
      </c>
    </row>
    <row r="341" spans="1:12" hidden="1">
      <c r="A341" s="141" t="str">
        <f t="shared" si="5"/>
        <v>105205</v>
      </c>
      <c r="B341" s="158">
        <v>1101</v>
      </c>
      <c r="C341" s="192">
        <v>44553</v>
      </c>
      <c r="D341" s="152" t="s">
        <v>3566</v>
      </c>
      <c r="E341" s="186">
        <v>105205</v>
      </c>
      <c r="F341" s="152" t="s">
        <v>2844</v>
      </c>
      <c r="G341" s="152" t="s">
        <v>59</v>
      </c>
      <c r="H341" s="152" t="s">
        <v>1115</v>
      </c>
      <c r="I341" s="152" t="s">
        <v>3406</v>
      </c>
      <c r="J341" s="152" t="s">
        <v>159</v>
      </c>
      <c r="K341" s="152" t="s">
        <v>1115</v>
      </c>
      <c r="L341" s="334">
        <v>1826</v>
      </c>
    </row>
    <row r="342" spans="1:12" hidden="1">
      <c r="A342" s="141" t="str">
        <f t="shared" si="5"/>
        <v>102334</v>
      </c>
      <c r="B342" s="158">
        <v>1101</v>
      </c>
      <c r="C342" s="192">
        <v>44571</v>
      </c>
      <c r="D342" s="152" t="s">
        <v>3570</v>
      </c>
      <c r="E342" s="186">
        <v>102334</v>
      </c>
      <c r="F342" s="152" t="s">
        <v>3338</v>
      </c>
      <c r="G342" s="152" t="s">
        <v>59</v>
      </c>
      <c r="H342" s="152"/>
      <c r="I342" s="152" t="s">
        <v>3406</v>
      </c>
      <c r="J342" s="152" t="s">
        <v>159</v>
      </c>
      <c r="K342" s="152" t="s">
        <v>3508</v>
      </c>
      <c r="L342" s="334">
        <v>1826</v>
      </c>
    </row>
    <row r="343" spans="1:12" hidden="1">
      <c r="A343" s="141" t="str">
        <f t="shared" si="5"/>
        <v>098132</v>
      </c>
      <c r="B343" s="340">
        <v>1101</v>
      </c>
      <c r="C343" s="192">
        <v>44581</v>
      </c>
      <c r="D343" s="152" t="s">
        <v>3573</v>
      </c>
      <c r="E343" s="186" t="s">
        <v>2423</v>
      </c>
      <c r="F343" s="152" t="s">
        <v>3575</v>
      </c>
      <c r="G343" s="152" t="s">
        <v>59</v>
      </c>
      <c r="H343" s="152" t="s">
        <v>3592</v>
      </c>
      <c r="I343" s="152" t="s">
        <v>3406</v>
      </c>
      <c r="J343" s="152" t="s">
        <v>159</v>
      </c>
      <c r="K343" s="152" t="s">
        <v>3574</v>
      </c>
      <c r="L343" s="334"/>
    </row>
    <row r="344" spans="1:12" hidden="1">
      <c r="A344" s="141" t="str">
        <f t="shared" si="5"/>
        <v>105125</v>
      </c>
      <c r="B344" s="158">
        <v>1102</v>
      </c>
      <c r="C344" s="192">
        <v>44581</v>
      </c>
      <c r="D344" s="152" t="s">
        <v>3576</v>
      </c>
      <c r="E344" s="186">
        <v>105125</v>
      </c>
      <c r="F344" s="152" t="s">
        <v>2339</v>
      </c>
      <c r="G344" s="152" t="s">
        <v>59</v>
      </c>
      <c r="H344" s="152" t="s">
        <v>3593</v>
      </c>
      <c r="I344" s="152" t="s">
        <v>3406</v>
      </c>
      <c r="J344" s="152" t="s">
        <v>159</v>
      </c>
      <c r="K344" s="152" t="s">
        <v>3508</v>
      </c>
      <c r="L344" s="334"/>
    </row>
    <row r="345" spans="1:12" hidden="1">
      <c r="A345" s="141" t="str">
        <f t="shared" si="5"/>
        <v>108219</v>
      </c>
      <c r="B345" s="158">
        <v>1102</v>
      </c>
      <c r="C345" s="192">
        <v>44589</v>
      </c>
      <c r="D345" s="152" t="s">
        <v>3577</v>
      </c>
      <c r="E345" s="186">
        <v>108219</v>
      </c>
      <c r="F345" s="152" t="s">
        <v>3103</v>
      </c>
      <c r="G345" s="152" t="s">
        <v>60</v>
      </c>
      <c r="H345" s="152" t="s">
        <v>3591</v>
      </c>
      <c r="I345" s="152" t="s">
        <v>3406</v>
      </c>
      <c r="J345" s="152" t="s">
        <v>159</v>
      </c>
      <c r="K345" s="152" t="s">
        <v>650</v>
      </c>
      <c r="L345" s="334"/>
    </row>
    <row r="346" spans="1:12" hidden="1">
      <c r="A346" s="141" t="str">
        <f t="shared" si="5"/>
        <v>101304</v>
      </c>
      <c r="B346" s="158">
        <v>1102</v>
      </c>
      <c r="C346" s="192">
        <v>44601</v>
      </c>
      <c r="D346" s="152" t="s">
        <v>3583</v>
      </c>
      <c r="E346" s="186">
        <v>101304</v>
      </c>
      <c r="F346" s="152" t="s">
        <v>2814</v>
      </c>
      <c r="G346" s="152" t="s">
        <v>60</v>
      </c>
      <c r="H346" s="152" t="s">
        <v>3591</v>
      </c>
      <c r="I346" s="152" t="s">
        <v>3584</v>
      </c>
      <c r="J346" s="152" t="s">
        <v>159</v>
      </c>
      <c r="K346" s="152" t="s">
        <v>3607</v>
      </c>
      <c r="L346" s="334"/>
    </row>
    <row r="347" spans="1:12" hidden="1">
      <c r="A347" s="141" t="str">
        <f t="shared" si="5"/>
        <v>105125</v>
      </c>
      <c r="B347" s="158">
        <v>1102</v>
      </c>
      <c r="C347" s="192">
        <v>44601</v>
      </c>
      <c r="D347" s="152" t="s">
        <v>3585</v>
      </c>
      <c r="E347" s="186" t="s">
        <v>3586</v>
      </c>
      <c r="F347" s="152" t="s">
        <v>2339</v>
      </c>
      <c r="G347" s="152" t="s">
        <v>59</v>
      </c>
      <c r="H347" s="152" t="s">
        <v>3590</v>
      </c>
      <c r="I347" s="152" t="s">
        <v>3587</v>
      </c>
      <c r="J347" s="152" t="s">
        <v>159</v>
      </c>
      <c r="K347" s="152" t="s">
        <v>3588</v>
      </c>
      <c r="L347" s="334"/>
    </row>
    <row r="348" spans="1:12" hidden="1">
      <c r="A348" s="141" t="str">
        <f t="shared" si="5"/>
        <v>102120</v>
      </c>
      <c r="B348" s="158">
        <v>1102</v>
      </c>
      <c r="C348" s="192">
        <v>44601</v>
      </c>
      <c r="D348" s="152" t="s">
        <v>3589</v>
      </c>
      <c r="E348" s="186">
        <v>102120</v>
      </c>
      <c r="F348" s="152" t="s">
        <v>3125</v>
      </c>
      <c r="G348" s="152" t="s">
        <v>59</v>
      </c>
      <c r="H348" s="152" t="s">
        <v>3591</v>
      </c>
      <c r="I348" s="152" t="s">
        <v>3584</v>
      </c>
      <c r="J348" s="152" t="s">
        <v>159</v>
      </c>
      <c r="K348" s="152" t="s">
        <v>3594</v>
      </c>
      <c r="L348" s="334"/>
    </row>
    <row r="349" spans="1:12" hidden="1">
      <c r="A349" s="141" t="str">
        <f t="shared" si="5"/>
        <v>102230</v>
      </c>
      <c r="B349" s="158">
        <v>1102</v>
      </c>
      <c r="C349" s="192">
        <v>44602</v>
      </c>
      <c r="D349" s="152" t="s">
        <v>3595</v>
      </c>
      <c r="E349" s="186">
        <v>102230</v>
      </c>
      <c r="F349" s="152" t="s">
        <v>3276</v>
      </c>
      <c r="G349" s="152" t="s">
        <v>59</v>
      </c>
      <c r="H349" s="152" t="s">
        <v>3597</v>
      </c>
      <c r="I349" s="152" t="s">
        <v>3584</v>
      </c>
      <c r="J349" s="152" t="s">
        <v>159</v>
      </c>
      <c r="K349" s="152" t="s">
        <v>3598</v>
      </c>
      <c r="L349" s="334"/>
    </row>
    <row r="350" spans="1:12" hidden="1">
      <c r="A350" s="141" t="str">
        <f t="shared" si="5"/>
        <v>104103</v>
      </c>
      <c r="B350" s="158">
        <v>1102</v>
      </c>
      <c r="C350" s="192">
        <v>44602</v>
      </c>
      <c r="D350" s="152" t="s">
        <v>3599</v>
      </c>
      <c r="E350" s="186">
        <v>104103</v>
      </c>
      <c r="F350" s="152" t="s">
        <v>555</v>
      </c>
      <c r="G350" s="152" t="s">
        <v>59</v>
      </c>
      <c r="H350" s="152" t="s">
        <v>3596</v>
      </c>
      <c r="I350" s="152" t="s">
        <v>3584</v>
      </c>
      <c r="J350" s="152" t="s">
        <v>159</v>
      </c>
      <c r="K350" s="152" t="s">
        <v>3600</v>
      </c>
      <c r="L350" s="334"/>
    </row>
    <row r="351" spans="1:12" hidden="1">
      <c r="A351" s="141" t="str">
        <f t="shared" si="5"/>
        <v>102213</v>
      </c>
      <c r="B351" s="158">
        <v>1102</v>
      </c>
      <c r="C351" s="192">
        <v>44603</v>
      </c>
      <c r="D351" s="152" t="s">
        <v>3601</v>
      </c>
      <c r="E351" s="186">
        <v>102213</v>
      </c>
      <c r="F351" s="152" t="s">
        <v>2987</v>
      </c>
      <c r="G351" s="152" t="s">
        <v>59</v>
      </c>
      <c r="H351" s="152" t="s">
        <v>675</v>
      </c>
      <c r="I351" s="152" t="s">
        <v>3584</v>
      </c>
      <c r="J351" s="152" t="s">
        <v>159</v>
      </c>
      <c r="K351" s="152" t="s">
        <v>3602</v>
      </c>
      <c r="L351" s="334"/>
    </row>
    <row r="352" spans="1:12" hidden="1">
      <c r="A352" s="141" t="str">
        <f t="shared" si="5"/>
        <v>102319</v>
      </c>
      <c r="B352" s="158">
        <v>1102</v>
      </c>
      <c r="C352" s="192">
        <v>44603</v>
      </c>
      <c r="D352" s="152" t="s">
        <v>3603</v>
      </c>
      <c r="E352" s="186">
        <v>102319</v>
      </c>
      <c r="F352" s="152" t="s">
        <v>3096</v>
      </c>
      <c r="G352" s="152" t="s">
        <v>59</v>
      </c>
      <c r="H352" s="152" t="s">
        <v>675</v>
      </c>
      <c r="I352" s="152" t="s">
        <v>3584</v>
      </c>
      <c r="J352" s="152" t="s">
        <v>159</v>
      </c>
      <c r="K352" s="152" t="s">
        <v>3604</v>
      </c>
      <c r="L352" s="334"/>
    </row>
    <row r="353" spans="1:12" hidden="1">
      <c r="A353" s="141" t="str">
        <f t="shared" si="5"/>
        <v>094128</v>
      </c>
      <c r="B353" s="158">
        <v>1102</v>
      </c>
      <c r="C353" s="192">
        <v>44606</v>
      </c>
      <c r="D353" s="152" t="s">
        <v>3605</v>
      </c>
      <c r="E353" s="186" t="s">
        <v>2282</v>
      </c>
      <c r="F353" s="152" t="s">
        <v>2283</v>
      </c>
      <c r="G353" s="152" t="s">
        <v>59</v>
      </c>
      <c r="H353" s="152" t="s">
        <v>3606</v>
      </c>
      <c r="I353" s="152" t="s">
        <v>3608</v>
      </c>
      <c r="J353" s="152" t="s">
        <v>159</v>
      </c>
      <c r="K353" s="152" t="s">
        <v>3508</v>
      </c>
      <c r="L353" s="334"/>
    </row>
    <row r="354" spans="1:12" hidden="1">
      <c r="A354" s="141" t="str">
        <f t="shared" si="5"/>
        <v>106109</v>
      </c>
      <c r="B354" s="158">
        <v>1102</v>
      </c>
      <c r="C354" s="192">
        <v>44603</v>
      </c>
      <c r="D354" s="152" t="s">
        <v>3609</v>
      </c>
      <c r="E354" s="186">
        <v>106109</v>
      </c>
      <c r="F354" s="152" t="s">
        <v>2924</v>
      </c>
      <c r="G354" s="152" t="s">
        <v>59</v>
      </c>
      <c r="H354" s="152" t="s">
        <v>675</v>
      </c>
      <c r="I354" s="152" t="s">
        <v>3584</v>
      </c>
      <c r="J354" s="152" t="s">
        <v>159</v>
      </c>
      <c r="K354" s="152" t="s">
        <v>3610</v>
      </c>
      <c r="L354" s="334"/>
    </row>
    <row r="355" spans="1:12" hidden="1">
      <c r="A355" s="141" t="str">
        <f t="shared" si="5"/>
        <v>103214</v>
      </c>
      <c r="B355" s="158">
        <v>1102</v>
      </c>
      <c r="C355" s="192">
        <v>44609</v>
      </c>
      <c r="D355" s="152" t="s">
        <v>3611</v>
      </c>
      <c r="E355" s="186">
        <v>103214</v>
      </c>
      <c r="F355" s="152" t="s">
        <v>3010</v>
      </c>
      <c r="G355" s="152" t="s">
        <v>59</v>
      </c>
      <c r="H355" s="152" t="s">
        <v>3612</v>
      </c>
      <c r="I355" s="152" t="s">
        <v>3584</v>
      </c>
      <c r="J355" s="152" t="s">
        <v>159</v>
      </c>
      <c r="K355" s="152" t="s">
        <v>3508</v>
      </c>
      <c r="L355" s="334"/>
    </row>
    <row r="356" spans="1:12" hidden="1">
      <c r="A356" s="141" t="str">
        <f t="shared" si="5"/>
        <v>102229</v>
      </c>
      <c r="B356" s="158">
        <v>1102</v>
      </c>
      <c r="C356" s="192">
        <v>44609</v>
      </c>
      <c r="D356" s="152" t="s">
        <v>3613</v>
      </c>
      <c r="E356" s="186">
        <v>102229</v>
      </c>
      <c r="F356" s="152" t="s">
        <v>3259</v>
      </c>
      <c r="G356" s="152" t="s">
        <v>59</v>
      </c>
      <c r="H356" s="152" t="s">
        <v>3614</v>
      </c>
      <c r="I356" s="152" t="s">
        <v>3584</v>
      </c>
      <c r="J356" s="152" t="s">
        <v>159</v>
      </c>
      <c r="K356" s="152" t="s">
        <v>3615</v>
      </c>
      <c r="L356" s="334"/>
    </row>
    <row r="357" spans="1:12" hidden="1">
      <c r="A357" s="141" t="str">
        <f t="shared" si="5"/>
        <v>102133</v>
      </c>
      <c r="B357" s="158">
        <v>1102</v>
      </c>
      <c r="C357" s="192">
        <v>44615</v>
      </c>
      <c r="D357" s="152" t="s">
        <v>3616</v>
      </c>
      <c r="E357" s="186">
        <v>102133</v>
      </c>
      <c r="F357" s="152" t="s">
        <v>3336</v>
      </c>
      <c r="G357" s="152" t="s">
        <v>59</v>
      </c>
      <c r="H357" s="152" t="s">
        <v>3621</v>
      </c>
      <c r="I357" s="152" t="s">
        <v>3584</v>
      </c>
      <c r="J357" s="152" t="s">
        <v>159</v>
      </c>
      <c r="K357" s="152" t="s">
        <v>3508</v>
      </c>
      <c r="L357" s="334"/>
    </row>
    <row r="358" spans="1:12" hidden="1">
      <c r="A358" s="141" t="str">
        <f t="shared" si="5"/>
        <v>102435</v>
      </c>
      <c r="B358" s="158">
        <v>1102</v>
      </c>
      <c r="C358" s="192">
        <v>44615</v>
      </c>
      <c r="D358" s="152" t="s">
        <v>3617</v>
      </c>
      <c r="E358" s="186">
        <v>102435</v>
      </c>
      <c r="F358" s="152" t="s">
        <v>3349</v>
      </c>
      <c r="G358" s="152" t="s">
        <v>59</v>
      </c>
      <c r="H358" s="152" t="s">
        <v>3620</v>
      </c>
      <c r="I358" s="152" t="s">
        <v>3584</v>
      </c>
      <c r="J358" s="152" t="s">
        <v>159</v>
      </c>
      <c r="K358" s="152" t="s">
        <v>3618</v>
      </c>
      <c r="L358" s="334"/>
    </row>
    <row r="359" spans="1:12" hidden="1">
      <c r="A359" s="141" t="str">
        <f t="shared" si="5"/>
        <v>084113</v>
      </c>
      <c r="B359" s="158">
        <v>1102</v>
      </c>
      <c r="C359" s="192">
        <v>44616</v>
      </c>
      <c r="D359" s="152" t="s">
        <v>3619</v>
      </c>
      <c r="E359" s="186" t="s">
        <v>973</v>
      </c>
      <c r="F359" s="152" t="s">
        <v>974</v>
      </c>
      <c r="G359" s="152" t="s">
        <v>59</v>
      </c>
      <c r="H359" s="152" t="s">
        <v>3622</v>
      </c>
      <c r="I359" s="152" t="s">
        <v>3584</v>
      </c>
      <c r="J359" s="152" t="s">
        <v>159</v>
      </c>
      <c r="K359" s="152" t="s">
        <v>3508</v>
      </c>
      <c r="L359" s="334"/>
    </row>
    <row r="360" spans="1:12" hidden="1">
      <c r="A360" s="141" t="str">
        <f t="shared" si="5"/>
        <v>103230</v>
      </c>
      <c r="B360" s="158">
        <v>1102</v>
      </c>
      <c r="C360" s="192">
        <v>44616</v>
      </c>
      <c r="D360" s="152" t="s">
        <v>3623</v>
      </c>
      <c r="E360" s="186">
        <v>103230</v>
      </c>
      <c r="F360" s="152" t="s">
        <v>3280</v>
      </c>
      <c r="G360" s="152" t="s">
        <v>59</v>
      </c>
      <c r="H360" s="152" t="s">
        <v>163</v>
      </c>
      <c r="I360" s="152" t="s">
        <v>3584</v>
      </c>
      <c r="J360" s="152" t="s">
        <v>159</v>
      </c>
      <c r="K360" s="152" t="s">
        <v>3508</v>
      </c>
      <c r="L360" s="334"/>
    </row>
    <row r="361" spans="1:12" hidden="1">
      <c r="A361" s="141" t="str">
        <f t="shared" si="5"/>
        <v>104204</v>
      </c>
      <c r="B361" s="158">
        <v>1102</v>
      </c>
      <c r="C361" s="192">
        <v>44610</v>
      </c>
      <c r="D361" s="152" t="s">
        <v>3624</v>
      </c>
      <c r="E361" s="186">
        <v>104204</v>
      </c>
      <c r="F361" s="152" t="s">
        <v>2824</v>
      </c>
      <c r="G361" s="152" t="s">
        <v>59</v>
      </c>
      <c r="H361" s="152" t="s">
        <v>3625</v>
      </c>
      <c r="I361" s="152" t="s">
        <v>3584</v>
      </c>
      <c r="J361" s="152" t="s">
        <v>159</v>
      </c>
      <c r="K361" s="152" t="s">
        <v>3626</v>
      </c>
      <c r="L361" s="334"/>
    </row>
    <row r="362" spans="1:12" hidden="1">
      <c r="A362" s="141" t="str">
        <f t="shared" si="5"/>
        <v>101412</v>
      </c>
      <c r="B362" s="158">
        <v>1102</v>
      </c>
      <c r="C362" s="192">
        <v>44636</v>
      </c>
      <c r="D362" s="152" t="s">
        <v>3627</v>
      </c>
      <c r="E362" s="186">
        <v>101412</v>
      </c>
      <c r="F362" s="152" t="s">
        <v>2967</v>
      </c>
      <c r="G362" s="152" t="s">
        <v>59</v>
      </c>
      <c r="H362" s="152" t="s">
        <v>163</v>
      </c>
      <c r="I362" s="152" t="s">
        <v>3584</v>
      </c>
      <c r="J362" s="152" t="s">
        <v>159</v>
      </c>
      <c r="K362" s="152" t="s">
        <v>3628</v>
      </c>
      <c r="L362" s="334"/>
    </row>
    <row r="363" spans="1:12" hidden="1">
      <c r="A363" s="141" t="str">
        <f t="shared" si="5"/>
        <v>091220</v>
      </c>
      <c r="B363" s="158">
        <v>1102</v>
      </c>
      <c r="C363" s="192">
        <v>44642</v>
      </c>
      <c r="D363" s="152" t="s">
        <v>3629</v>
      </c>
      <c r="E363" s="186" t="s">
        <v>1997</v>
      </c>
      <c r="F363" s="152" t="s">
        <v>1998</v>
      </c>
      <c r="G363" s="152" t="s">
        <v>59</v>
      </c>
      <c r="H363" s="152" t="s">
        <v>163</v>
      </c>
      <c r="I363" s="152" t="s">
        <v>3584</v>
      </c>
      <c r="J363" s="152" t="s">
        <v>159</v>
      </c>
      <c r="K363" s="152" t="s">
        <v>3630</v>
      </c>
      <c r="L363" s="334"/>
    </row>
    <row r="364" spans="1:12" hidden="1">
      <c r="A364" s="141" t="str">
        <f t="shared" si="5"/>
        <v>104208</v>
      </c>
      <c r="B364" s="158">
        <v>1102</v>
      </c>
      <c r="C364" s="192">
        <v>44645</v>
      </c>
      <c r="D364" s="152" t="s">
        <v>3631</v>
      </c>
      <c r="E364" s="186">
        <v>104208</v>
      </c>
      <c r="F364" s="152" t="s">
        <v>2901</v>
      </c>
      <c r="G364" s="152" t="s">
        <v>59</v>
      </c>
      <c r="H364" s="152" t="s">
        <v>163</v>
      </c>
      <c r="I364" s="152" t="s">
        <v>3584</v>
      </c>
      <c r="J364" s="152" t="s">
        <v>159</v>
      </c>
      <c r="K364" s="152" t="s">
        <v>3630</v>
      </c>
      <c r="L364" s="334"/>
    </row>
    <row r="365" spans="1:12" hidden="1">
      <c r="A365" s="141" t="str">
        <f t="shared" si="5"/>
        <v>082307</v>
      </c>
      <c r="B365" s="158">
        <v>1102</v>
      </c>
      <c r="C365" s="192">
        <v>44645</v>
      </c>
      <c r="D365" s="152" t="s">
        <v>3632</v>
      </c>
      <c r="E365" s="186" t="s">
        <v>943</v>
      </c>
      <c r="F365" s="152" t="s">
        <v>949</v>
      </c>
      <c r="G365" s="152" t="s">
        <v>59</v>
      </c>
      <c r="H365" s="152" t="s">
        <v>163</v>
      </c>
      <c r="I365" s="152" t="s">
        <v>3584</v>
      </c>
      <c r="J365" s="152" t="s">
        <v>159</v>
      </c>
      <c r="K365" s="152" t="s">
        <v>3633</v>
      </c>
      <c r="L365" s="334"/>
    </row>
    <row r="366" spans="1:12" hidden="1">
      <c r="A366" s="141" t="str">
        <f t="shared" si="5"/>
        <v>102109</v>
      </c>
      <c r="B366" s="158">
        <v>1102</v>
      </c>
      <c r="C366" s="192">
        <v>44651</v>
      </c>
      <c r="D366" s="152" t="s">
        <v>3634</v>
      </c>
      <c r="E366" s="186">
        <v>102109</v>
      </c>
      <c r="F366" s="152" t="s">
        <v>2912</v>
      </c>
      <c r="G366" s="152" t="s">
        <v>59</v>
      </c>
      <c r="H366" s="152" t="s">
        <v>163</v>
      </c>
      <c r="I366" s="152" t="s">
        <v>3584</v>
      </c>
      <c r="J366" s="152" t="s">
        <v>159</v>
      </c>
      <c r="K366" s="152" t="s">
        <v>3508</v>
      </c>
      <c r="L366" s="334"/>
    </row>
    <row r="367" spans="1:12" hidden="1">
      <c r="A367" s="141" t="str">
        <f t="shared" si="5"/>
        <v>108211</v>
      </c>
      <c r="B367" s="158">
        <v>1102</v>
      </c>
      <c r="C367" s="192">
        <v>44652</v>
      </c>
      <c r="D367" s="152" t="s">
        <v>3635</v>
      </c>
      <c r="E367" s="186">
        <v>108211</v>
      </c>
      <c r="F367" s="152" t="s">
        <v>2960</v>
      </c>
      <c r="G367" s="152" t="s">
        <v>60</v>
      </c>
      <c r="H367" s="152" t="s">
        <v>163</v>
      </c>
      <c r="I367" s="152" t="s">
        <v>3584</v>
      </c>
      <c r="J367" s="152" t="s">
        <v>159</v>
      </c>
      <c r="K367" s="152" t="s">
        <v>3633</v>
      </c>
      <c r="L367" s="334"/>
    </row>
    <row r="368" spans="1:12" hidden="1">
      <c r="B368" s="264">
        <v>1102</v>
      </c>
      <c r="C368" s="265">
        <v>44659</v>
      </c>
      <c r="D368" s="276" t="s">
        <v>4392</v>
      </c>
      <c r="E368" s="266" t="s">
        <v>2002</v>
      </c>
      <c r="F368" s="276" t="s">
        <v>2035</v>
      </c>
      <c r="G368" s="276" t="s">
        <v>59</v>
      </c>
      <c r="H368" s="276" t="s">
        <v>163</v>
      </c>
      <c r="I368" s="276" t="s">
        <v>3584</v>
      </c>
      <c r="J368" s="276" t="s">
        <v>159</v>
      </c>
      <c r="K368" s="276" t="s">
        <v>4393</v>
      </c>
      <c r="L368" s="334"/>
    </row>
    <row r="369" spans="1:13" hidden="1">
      <c r="A369" s="141" t="str">
        <f t="shared" si="5"/>
        <v>103313</v>
      </c>
      <c r="B369" s="158">
        <v>1102</v>
      </c>
      <c r="C369" s="192">
        <v>44722</v>
      </c>
      <c r="D369" s="152" t="s">
        <v>3636</v>
      </c>
      <c r="E369" s="186">
        <v>103313</v>
      </c>
      <c r="F369" s="152" t="s">
        <v>2992</v>
      </c>
      <c r="G369" s="152" t="s">
        <v>59</v>
      </c>
      <c r="H369" s="152" t="s">
        <v>163</v>
      </c>
      <c r="I369" s="152" t="s">
        <v>3584</v>
      </c>
      <c r="J369" s="152" t="s">
        <v>159</v>
      </c>
      <c r="K369" s="152" t="s">
        <v>3630</v>
      </c>
      <c r="L369" s="334"/>
      <c r="M369" s="193" t="s">
        <v>3638</v>
      </c>
    </row>
    <row r="370" spans="1:13" hidden="1">
      <c r="A370" s="141" t="str">
        <f t="shared" si="5"/>
        <v>093320</v>
      </c>
      <c r="B370" s="158">
        <v>1102</v>
      </c>
      <c r="C370" s="192">
        <v>44728</v>
      </c>
      <c r="D370" s="152" t="s">
        <v>3639</v>
      </c>
      <c r="E370" s="186" t="s">
        <v>2013</v>
      </c>
      <c r="F370" s="152" t="s">
        <v>2014</v>
      </c>
      <c r="G370" s="152" t="s">
        <v>60</v>
      </c>
      <c r="H370" s="152" t="s">
        <v>163</v>
      </c>
      <c r="I370" s="152" t="s">
        <v>3640</v>
      </c>
      <c r="J370" s="152" t="s">
        <v>164</v>
      </c>
      <c r="K370" s="152" t="s">
        <v>3641</v>
      </c>
      <c r="L370" s="334"/>
      <c r="M370" s="193" t="s">
        <v>3638</v>
      </c>
    </row>
    <row r="371" spans="1:13" hidden="1">
      <c r="A371" s="141" t="str">
        <f t="shared" si="5"/>
        <v>103230</v>
      </c>
      <c r="B371" s="158">
        <v>1102</v>
      </c>
      <c r="C371" s="192">
        <v>44735</v>
      </c>
      <c r="D371" s="152" t="s">
        <v>830</v>
      </c>
      <c r="E371" s="186">
        <v>103230</v>
      </c>
      <c r="F371" s="152" t="s">
        <v>3280</v>
      </c>
      <c r="G371" s="152" t="s">
        <v>59</v>
      </c>
      <c r="H371" s="152" t="s">
        <v>3644</v>
      </c>
      <c r="I371" s="152" t="s">
        <v>3642</v>
      </c>
      <c r="J371" s="152" t="s">
        <v>164</v>
      </c>
      <c r="K371" s="152" t="s">
        <v>3643</v>
      </c>
      <c r="L371" s="334"/>
    </row>
    <row r="372" spans="1:13" hidden="1">
      <c r="A372" s="141" t="str">
        <f t="shared" si="5"/>
        <v>092309</v>
      </c>
      <c r="B372" s="158">
        <v>1102</v>
      </c>
      <c r="C372" s="192">
        <v>44748</v>
      </c>
      <c r="D372" s="152" t="s">
        <v>3645</v>
      </c>
      <c r="E372" s="186" t="s">
        <v>1613</v>
      </c>
      <c r="F372" s="152" t="s">
        <v>1614</v>
      </c>
      <c r="G372" s="152" t="s">
        <v>59</v>
      </c>
      <c r="H372" s="152" t="s">
        <v>163</v>
      </c>
      <c r="I372" s="152" t="s">
        <v>3640</v>
      </c>
      <c r="J372" s="152" t="s">
        <v>164</v>
      </c>
      <c r="K372" s="152" t="s">
        <v>3641</v>
      </c>
      <c r="L372" s="334"/>
    </row>
    <row r="373" spans="1:13" hidden="1">
      <c r="A373" s="141" t="str">
        <f t="shared" si="5"/>
        <v>092302</v>
      </c>
      <c r="B373" s="158">
        <v>1102</v>
      </c>
      <c r="C373" s="192">
        <v>44754</v>
      </c>
      <c r="D373" s="152" t="s">
        <v>3645</v>
      </c>
      <c r="E373" s="186" t="s">
        <v>1354</v>
      </c>
      <c r="F373" s="152" t="s">
        <v>1355</v>
      </c>
      <c r="G373" s="152" t="s">
        <v>59</v>
      </c>
      <c r="H373" s="152" t="s">
        <v>3646</v>
      </c>
      <c r="I373" s="152" t="s">
        <v>3640</v>
      </c>
      <c r="J373" s="152" t="s">
        <v>164</v>
      </c>
      <c r="K373" s="152" t="s">
        <v>3647</v>
      </c>
      <c r="L373" s="334"/>
    </row>
    <row r="374" spans="1:13" hidden="1">
      <c r="A374" s="141" t="str">
        <f t="shared" si="5"/>
        <v>103335</v>
      </c>
      <c r="B374" s="158">
        <v>1102</v>
      </c>
      <c r="C374" s="192">
        <v>44756</v>
      </c>
      <c r="D374" s="152" t="s">
        <v>3648</v>
      </c>
      <c r="E374" s="186">
        <v>103335</v>
      </c>
      <c r="F374" s="152" t="s">
        <v>3352</v>
      </c>
      <c r="G374" s="152" t="s">
        <v>59</v>
      </c>
      <c r="H374" s="152" t="s">
        <v>3646</v>
      </c>
      <c r="I374" s="152" t="s">
        <v>3640</v>
      </c>
      <c r="J374" s="152" t="s">
        <v>164</v>
      </c>
      <c r="K374" s="152" t="s">
        <v>3649</v>
      </c>
      <c r="L374" s="334"/>
    </row>
    <row r="375" spans="1:13" hidden="1">
      <c r="A375" s="141" t="str">
        <f t="shared" si="5"/>
        <v>103111</v>
      </c>
      <c r="B375" s="158">
        <v>1102</v>
      </c>
      <c r="C375" s="192">
        <v>44761</v>
      </c>
      <c r="D375" s="152" t="s">
        <v>3650</v>
      </c>
      <c r="E375" s="186">
        <v>103111</v>
      </c>
      <c r="F375" s="152" t="s">
        <v>2971</v>
      </c>
      <c r="G375" s="152" t="s">
        <v>59</v>
      </c>
      <c r="H375" s="152" t="s">
        <v>163</v>
      </c>
      <c r="I375" s="152" t="s">
        <v>3640</v>
      </c>
      <c r="J375" s="152" t="s">
        <v>164</v>
      </c>
      <c r="K375" s="152" t="s">
        <v>3651</v>
      </c>
      <c r="L375" s="334"/>
    </row>
    <row r="376" spans="1:13" hidden="1">
      <c r="A376" s="141" t="str">
        <f t="shared" si="5"/>
        <v>095230</v>
      </c>
      <c r="B376" s="158">
        <v>1102</v>
      </c>
      <c r="C376" s="192">
        <v>44762</v>
      </c>
      <c r="D376" s="152" t="s">
        <v>3652</v>
      </c>
      <c r="E376" s="186" t="s">
        <v>2354</v>
      </c>
      <c r="F376" s="152" t="s">
        <v>2355</v>
      </c>
      <c r="G376" s="152" t="s">
        <v>59</v>
      </c>
      <c r="H376" s="152" t="s">
        <v>3656</v>
      </c>
      <c r="I376" s="152" t="s">
        <v>3653</v>
      </c>
      <c r="J376" s="152" t="s">
        <v>164</v>
      </c>
      <c r="K376" s="152" t="s">
        <v>3654</v>
      </c>
      <c r="L376" s="334"/>
    </row>
    <row r="377" spans="1:13" hidden="1">
      <c r="A377" s="141" t="str">
        <f t="shared" si="5"/>
        <v>101203</v>
      </c>
      <c r="B377" s="158">
        <v>1102</v>
      </c>
      <c r="C377" s="192">
        <v>44763</v>
      </c>
      <c r="D377" s="152" t="s">
        <v>3655</v>
      </c>
      <c r="E377" s="186">
        <v>101203</v>
      </c>
      <c r="F377" s="152" t="s">
        <v>2795</v>
      </c>
      <c r="G377" s="152" t="s">
        <v>60</v>
      </c>
      <c r="H377" s="152" t="s">
        <v>675</v>
      </c>
      <c r="I377" s="152" t="s">
        <v>3640</v>
      </c>
      <c r="J377" s="152" t="s">
        <v>164</v>
      </c>
      <c r="K377" s="152" t="s">
        <v>3657</v>
      </c>
      <c r="L377" s="334"/>
    </row>
    <row r="378" spans="1:13" hidden="1">
      <c r="A378" s="141" t="str">
        <f t="shared" si="5"/>
        <v>102109</v>
      </c>
      <c r="B378" s="158">
        <v>1102</v>
      </c>
      <c r="C378" s="192">
        <v>44763</v>
      </c>
      <c r="D378" s="152" t="s">
        <v>3658</v>
      </c>
      <c r="E378" s="186">
        <v>102109</v>
      </c>
      <c r="F378" s="152" t="s">
        <v>2912</v>
      </c>
      <c r="G378" s="152" t="s">
        <v>59</v>
      </c>
      <c r="H378" s="152" t="s">
        <v>3659</v>
      </c>
      <c r="I378" s="152" t="s">
        <v>3642</v>
      </c>
      <c r="J378" s="152" t="s">
        <v>164</v>
      </c>
      <c r="K378" s="152" t="s">
        <v>3660</v>
      </c>
      <c r="L378" s="334"/>
    </row>
    <row r="379" spans="1:13" hidden="1">
      <c r="A379" s="141" t="str">
        <f t="shared" si="5"/>
        <v>103134</v>
      </c>
      <c r="B379" s="158">
        <v>1102</v>
      </c>
      <c r="C379" s="192">
        <v>44771</v>
      </c>
      <c r="D379" s="152" t="s">
        <v>3661</v>
      </c>
      <c r="E379" s="186">
        <v>103134</v>
      </c>
      <c r="F379" s="152" t="s">
        <v>3350</v>
      </c>
      <c r="G379" s="152" t="s">
        <v>59</v>
      </c>
      <c r="H379" s="152" t="s">
        <v>4332</v>
      </c>
      <c r="I379" s="152" t="s">
        <v>3640</v>
      </c>
      <c r="J379" s="152" t="s">
        <v>164</v>
      </c>
      <c r="K379" s="152" t="s">
        <v>4329</v>
      </c>
      <c r="L379" s="334"/>
    </row>
    <row r="380" spans="1:13" hidden="1">
      <c r="A380" s="141" t="str">
        <f t="shared" si="5"/>
        <v>091105</v>
      </c>
      <c r="B380" s="158">
        <v>1102</v>
      </c>
      <c r="C380" s="192">
        <v>44771</v>
      </c>
      <c r="D380" s="188" t="s">
        <v>3662</v>
      </c>
      <c r="E380" s="360" t="s">
        <v>1453</v>
      </c>
      <c r="F380" s="188" t="s">
        <v>1454</v>
      </c>
      <c r="G380" s="188" t="s">
        <v>59</v>
      </c>
      <c r="H380" s="188" t="s">
        <v>675</v>
      </c>
      <c r="I380" s="152" t="s">
        <v>3640</v>
      </c>
      <c r="J380" s="152" t="s">
        <v>164</v>
      </c>
      <c r="K380" s="152" t="s">
        <v>3663</v>
      </c>
      <c r="L380" s="334"/>
    </row>
    <row r="381" spans="1:13" hidden="1">
      <c r="A381" s="141" t="str">
        <f t="shared" si="5"/>
        <v>102133</v>
      </c>
      <c r="B381" s="158">
        <v>1102</v>
      </c>
      <c r="C381" s="192">
        <v>44771</v>
      </c>
      <c r="D381" s="152" t="s">
        <v>3664</v>
      </c>
      <c r="E381" s="186">
        <v>102133</v>
      </c>
      <c r="F381" s="152" t="s">
        <v>3336</v>
      </c>
      <c r="G381" s="152" t="s">
        <v>59</v>
      </c>
      <c r="H381" s="152" t="s">
        <v>3659</v>
      </c>
      <c r="I381" s="152" t="s">
        <v>3587</v>
      </c>
      <c r="J381" s="152" t="s">
        <v>164</v>
      </c>
      <c r="K381" s="152" t="s">
        <v>3660</v>
      </c>
      <c r="L381" s="334"/>
    </row>
    <row r="382" spans="1:13" hidden="1">
      <c r="A382" s="141" t="str">
        <f t="shared" si="5"/>
        <v>102435</v>
      </c>
      <c r="B382" s="158">
        <v>1102</v>
      </c>
      <c r="C382" s="192">
        <v>44771</v>
      </c>
      <c r="D382" s="152" t="s">
        <v>3617</v>
      </c>
      <c r="E382" s="186">
        <v>102435</v>
      </c>
      <c r="F382" s="152" t="s">
        <v>3349</v>
      </c>
      <c r="G382" s="152" t="s">
        <v>59</v>
      </c>
      <c r="H382" s="152" t="s">
        <v>3659</v>
      </c>
      <c r="I382" s="152" t="s">
        <v>3587</v>
      </c>
      <c r="J382" s="152" t="s">
        <v>164</v>
      </c>
      <c r="K382" s="152" t="s">
        <v>4421</v>
      </c>
      <c r="L382" s="334"/>
    </row>
    <row r="383" spans="1:13">
      <c r="A383" s="141" t="str">
        <f t="shared" si="5"/>
        <v>101223</v>
      </c>
      <c r="B383" s="158">
        <v>1111</v>
      </c>
      <c r="C383" s="192">
        <v>44774</v>
      </c>
      <c r="D383" s="152" t="s">
        <v>4330</v>
      </c>
      <c r="E383" s="186">
        <v>101223</v>
      </c>
      <c r="F383" s="152" t="s">
        <v>3158</v>
      </c>
      <c r="G383" s="152" t="s">
        <v>59</v>
      </c>
      <c r="H383" s="152" t="s">
        <v>232</v>
      </c>
      <c r="I383" s="152" t="s">
        <v>4331</v>
      </c>
      <c r="J383" s="152" t="s">
        <v>164</v>
      </c>
      <c r="K383" s="276" t="s">
        <v>4401</v>
      </c>
      <c r="L383" s="334"/>
    </row>
    <row r="384" spans="1:13">
      <c r="A384" s="141" t="str">
        <f t="shared" si="5"/>
        <v>101231</v>
      </c>
      <c r="B384" s="158">
        <v>1111</v>
      </c>
      <c r="C384" s="192">
        <v>44778</v>
      </c>
      <c r="D384" s="152" t="s">
        <v>4330</v>
      </c>
      <c r="E384" s="186">
        <v>101231</v>
      </c>
      <c r="F384" s="152" t="s">
        <v>3289</v>
      </c>
      <c r="G384" s="152" t="s">
        <v>59</v>
      </c>
      <c r="H384" s="152" t="s">
        <v>4368</v>
      </c>
      <c r="I384" s="152" t="s">
        <v>4369</v>
      </c>
      <c r="J384" s="152" t="s">
        <v>164</v>
      </c>
      <c r="K384" s="152" t="s">
        <v>4370</v>
      </c>
      <c r="L384" s="334"/>
    </row>
    <row r="385" spans="1:12">
      <c r="A385" s="141" t="str">
        <f t="shared" si="5"/>
        <v>101129</v>
      </c>
      <c r="B385" s="158">
        <v>1111</v>
      </c>
      <c r="C385" s="192">
        <v>44782</v>
      </c>
      <c r="D385" s="152" t="s">
        <v>4385</v>
      </c>
      <c r="E385" s="186">
        <v>101129</v>
      </c>
      <c r="F385" s="152" t="s">
        <v>3254</v>
      </c>
      <c r="G385" s="152" t="s">
        <v>59</v>
      </c>
      <c r="H385" s="152" t="s">
        <v>232</v>
      </c>
      <c r="I385" s="152" t="s">
        <v>4369</v>
      </c>
      <c r="J385" s="152" t="s">
        <v>164</v>
      </c>
      <c r="K385" s="152" t="s">
        <v>4386</v>
      </c>
      <c r="L385" s="334"/>
    </row>
    <row r="386" spans="1:12">
      <c r="A386" s="141" t="str">
        <f t="shared" si="5"/>
        <v>103217</v>
      </c>
      <c r="B386" s="158">
        <v>1111</v>
      </c>
      <c r="C386" s="192">
        <v>44782</v>
      </c>
      <c r="D386" s="152" t="s">
        <v>4387</v>
      </c>
      <c r="E386" s="186">
        <v>103217</v>
      </c>
      <c r="F386" s="152" t="s">
        <v>3063</v>
      </c>
      <c r="G386" s="152" t="s">
        <v>59</v>
      </c>
      <c r="H386" s="152" t="s">
        <v>232</v>
      </c>
      <c r="I386" s="152" t="s">
        <v>4369</v>
      </c>
      <c r="J386" s="152" t="s">
        <v>164</v>
      </c>
      <c r="K386" s="152" t="s">
        <v>4386</v>
      </c>
      <c r="L386" s="334"/>
    </row>
    <row r="387" spans="1:12">
      <c r="A387" s="141" t="str">
        <f t="shared" si="5"/>
        <v>117108</v>
      </c>
      <c r="B387" s="158">
        <v>1111</v>
      </c>
      <c r="C387" s="192">
        <v>44784</v>
      </c>
      <c r="D387" s="152" t="s">
        <v>4390</v>
      </c>
      <c r="E387" s="186">
        <v>117108</v>
      </c>
      <c r="F387" s="152" t="s">
        <v>3843</v>
      </c>
      <c r="G387" s="152" t="s">
        <v>59</v>
      </c>
      <c r="H387" s="152" t="s">
        <v>1115</v>
      </c>
      <c r="I387" s="358" t="s">
        <v>4391</v>
      </c>
      <c r="J387" s="188"/>
      <c r="K387" s="188" t="s">
        <v>4405</v>
      </c>
      <c r="L387" s="334"/>
    </row>
    <row r="388" spans="1:12">
      <c r="A388" s="141" t="str">
        <f t="shared" si="5"/>
        <v>105130</v>
      </c>
      <c r="B388" s="158">
        <v>1111</v>
      </c>
      <c r="C388" s="192">
        <v>44785</v>
      </c>
      <c r="D388" s="152" t="s">
        <v>4396</v>
      </c>
      <c r="E388" s="186">
        <v>105130</v>
      </c>
      <c r="F388" s="152" t="s">
        <v>3284</v>
      </c>
      <c r="G388" s="152" t="s">
        <v>59</v>
      </c>
      <c r="H388" s="152" t="s">
        <v>4411</v>
      </c>
      <c r="I388" s="152" t="s">
        <v>3640</v>
      </c>
      <c r="J388" s="152" t="s">
        <v>4399</v>
      </c>
      <c r="K388" s="152" t="s">
        <v>4409</v>
      </c>
      <c r="L388" s="334"/>
    </row>
    <row r="389" spans="1:12">
      <c r="A389" s="141" t="str">
        <f t="shared" si="5"/>
        <v>114107</v>
      </c>
      <c r="B389" s="158">
        <v>1111</v>
      </c>
      <c r="C389" s="192">
        <v>44789</v>
      </c>
      <c r="D389" s="152" t="s">
        <v>4404</v>
      </c>
      <c r="E389" s="186">
        <v>114107</v>
      </c>
      <c r="F389" s="152" t="s">
        <v>3803</v>
      </c>
      <c r="G389" s="152" t="s">
        <v>59</v>
      </c>
      <c r="H389" s="152" t="s">
        <v>1115</v>
      </c>
      <c r="I389" s="358" t="s">
        <v>4391</v>
      </c>
      <c r="J389" s="188"/>
      <c r="K389" s="188" t="s">
        <v>4405</v>
      </c>
      <c r="L389" s="334"/>
    </row>
    <row r="390" spans="1:12">
      <c r="A390" s="141" t="str">
        <f t="shared" si="5"/>
        <v>101205</v>
      </c>
      <c r="B390" s="158">
        <v>1111</v>
      </c>
      <c r="C390" s="192">
        <v>44789</v>
      </c>
      <c r="D390" s="152" t="s">
        <v>4406</v>
      </c>
      <c r="E390" s="186">
        <v>101205</v>
      </c>
      <c r="F390" s="152" t="s">
        <v>1401</v>
      </c>
      <c r="G390" s="152" t="s">
        <v>59</v>
      </c>
      <c r="H390" s="152" t="s">
        <v>4407</v>
      </c>
      <c r="I390" s="152" t="s">
        <v>4408</v>
      </c>
      <c r="J390" s="152" t="s">
        <v>4410</v>
      </c>
      <c r="K390" s="152" t="s">
        <v>4422</v>
      </c>
      <c r="L390" s="334"/>
    </row>
    <row r="391" spans="1:12" hidden="1">
      <c r="A391" s="141" t="str">
        <f t="shared" si="5"/>
        <v/>
      </c>
      <c r="E391" s="141"/>
      <c r="K391" s="189"/>
    </row>
    <row r="392" spans="1:12">
      <c r="A392" s="141" t="str">
        <f t="shared" si="5"/>
        <v>112138</v>
      </c>
      <c r="B392" s="142">
        <v>1111</v>
      </c>
      <c r="C392" s="359">
        <v>44789</v>
      </c>
      <c r="D392" s="152" t="s">
        <v>4416</v>
      </c>
      <c r="E392" s="143">
        <v>112138</v>
      </c>
      <c r="F392" s="141" t="s">
        <v>4320</v>
      </c>
      <c r="G392" s="141" t="s">
        <v>59</v>
      </c>
      <c r="H392" s="157" t="s">
        <v>2568</v>
      </c>
      <c r="I392" s="358" t="s">
        <v>4391</v>
      </c>
      <c r="J392" s="188"/>
      <c r="K392" s="188" t="s">
        <v>4405</v>
      </c>
    </row>
    <row r="393" spans="1:12">
      <c r="B393" s="142">
        <v>1111</v>
      </c>
      <c r="C393" s="359">
        <v>44795</v>
      </c>
      <c r="D393" s="152" t="s">
        <v>4418</v>
      </c>
      <c r="E393" s="143" t="s">
        <v>1501</v>
      </c>
      <c r="F393" s="141" t="s">
        <v>1502</v>
      </c>
      <c r="G393" s="141" t="s">
        <v>59</v>
      </c>
      <c r="H393" s="152" t="s">
        <v>163</v>
      </c>
      <c r="I393" s="152" t="s">
        <v>3640</v>
      </c>
      <c r="J393" s="152" t="s">
        <v>164</v>
      </c>
      <c r="K393" s="152" t="s">
        <v>3641</v>
      </c>
      <c r="L393" s="334" t="s">
        <v>4425</v>
      </c>
    </row>
    <row r="394" spans="1:12">
      <c r="C394" s="359"/>
      <c r="D394" s="152"/>
      <c r="H394" s="152"/>
      <c r="I394" s="152"/>
      <c r="J394" s="152"/>
      <c r="K394" s="152"/>
      <c r="L394" s="334"/>
    </row>
    <row r="395" spans="1:12">
      <c r="C395" s="359"/>
      <c r="D395" s="152"/>
      <c r="H395" s="152"/>
      <c r="I395" s="152"/>
      <c r="J395" s="152"/>
      <c r="K395" s="152"/>
      <c r="L395" s="334"/>
    </row>
    <row r="565" spans="12:12">
      <c r="L565" s="141" t="s">
        <v>3512</v>
      </c>
    </row>
  </sheetData>
  <autoFilter ref="A1:R393" xr:uid="{00000000-0009-0000-0000-000003000000}">
    <filterColumn colId="1">
      <filters>
        <filter val="1111"/>
      </filters>
    </filterColumn>
  </autoFilter>
  <phoneticPr fontId="2" type="noConversion"/>
  <printOptions horizontalCentered="1"/>
  <pageMargins left="0.35433070866141736" right="0.35433070866141736" top="0.98425196850393704" bottom="0.98425196850393704" header="0.51181102362204722" footer="0.51181102362204722"/>
  <pageSetup paperSize="9" scale="62" orientation="portrait" r:id="rId1"/>
  <headerFooter alignWithMargins="0"/>
  <rowBreaks count="1" manualBreakCount="1">
    <brk id="177" min="1" max="11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>
    <pageSetUpPr fitToPage="1"/>
  </sheetPr>
  <dimension ref="A1:N14"/>
  <sheetViews>
    <sheetView zoomScale="130" zoomScaleNormal="130" workbookViewId="0">
      <selection activeCell="J17" sqref="J17"/>
    </sheetView>
  </sheetViews>
  <sheetFormatPr baseColWidth="10" defaultColWidth="9" defaultRowHeight="15"/>
  <cols>
    <col min="1" max="1" width="6.6640625" style="113" bestFit="1" customWidth="1"/>
    <col min="2" max="2" width="6.6640625" style="113" customWidth="1"/>
    <col min="3" max="3" width="8.1640625" style="113" customWidth="1"/>
    <col min="4" max="4" width="10.5" style="113" customWidth="1"/>
    <col min="5" max="5" width="20.1640625" style="113" customWidth="1"/>
    <col min="6" max="6" width="9.1640625" style="114" bestFit="1" customWidth="1"/>
    <col min="7" max="7" width="9.33203125" style="113" bestFit="1" customWidth="1"/>
    <col min="8" max="8" width="6.6640625" style="113" bestFit="1" customWidth="1"/>
    <col min="9" max="9" width="12.1640625" style="113" customWidth="1"/>
    <col min="10" max="10" width="11.83203125" style="113" customWidth="1"/>
    <col min="11" max="11" width="6.6640625" style="113" customWidth="1"/>
    <col min="12" max="12" width="11.83203125" style="113" bestFit="1" customWidth="1"/>
    <col min="13" max="13" width="12.1640625" style="113" customWidth="1"/>
    <col min="14" max="14" width="13.6640625" style="113" customWidth="1"/>
    <col min="15" max="15" width="11.83203125" style="113" customWidth="1"/>
    <col min="16" max="16384" width="9" style="113"/>
  </cols>
  <sheetData>
    <row r="1" spans="1:14" ht="36">
      <c r="A1" s="208" t="s">
        <v>124</v>
      </c>
      <c r="B1" s="208" t="s">
        <v>1058</v>
      </c>
      <c r="C1" s="208" t="s">
        <v>98</v>
      </c>
      <c r="D1" s="208" t="s">
        <v>99</v>
      </c>
      <c r="E1" s="208" t="s">
        <v>65</v>
      </c>
      <c r="F1" s="209" t="s">
        <v>100</v>
      </c>
      <c r="G1" s="208" t="s">
        <v>101</v>
      </c>
      <c r="H1" s="208" t="s">
        <v>66</v>
      </c>
      <c r="I1" s="208" t="s">
        <v>106</v>
      </c>
      <c r="J1" s="208" t="s">
        <v>126</v>
      </c>
      <c r="K1" s="210" t="s">
        <v>125</v>
      </c>
      <c r="L1" s="208" t="s">
        <v>1071</v>
      </c>
      <c r="M1" s="151" t="s">
        <v>67</v>
      </c>
      <c r="N1" s="151" t="s">
        <v>128</v>
      </c>
    </row>
    <row r="2" spans="1:14" ht="17">
      <c r="A2" s="208">
        <v>1</v>
      </c>
      <c r="B2" s="302" t="s">
        <v>2537</v>
      </c>
      <c r="C2" s="208">
        <v>11101</v>
      </c>
      <c r="D2" s="211">
        <v>44774</v>
      </c>
      <c r="E2" s="208" t="s">
        <v>48</v>
      </c>
      <c r="F2" s="209" t="s">
        <v>3665</v>
      </c>
      <c r="G2" s="212" t="s">
        <v>2967</v>
      </c>
      <c r="H2" s="212" t="s">
        <v>59</v>
      </c>
      <c r="I2" s="208" t="s">
        <v>129</v>
      </c>
      <c r="J2" s="208" t="s">
        <v>3669</v>
      </c>
      <c r="K2" s="341" t="s">
        <v>4361</v>
      </c>
      <c r="L2" s="208" t="str">
        <f>J2&amp;K2</f>
        <v>電子一忠</v>
      </c>
      <c r="M2" s="151" t="s">
        <v>3569</v>
      </c>
      <c r="N2" s="156" t="s">
        <v>4379</v>
      </c>
    </row>
    <row r="3" spans="1:14" ht="17">
      <c r="A3" s="208">
        <v>2</v>
      </c>
      <c r="B3" s="302" t="s">
        <v>2537</v>
      </c>
      <c r="C3" s="208">
        <v>11101</v>
      </c>
      <c r="D3" s="211">
        <v>44774</v>
      </c>
      <c r="E3" s="208" t="s">
        <v>48</v>
      </c>
      <c r="F3" s="209" t="s">
        <v>3666</v>
      </c>
      <c r="G3" s="212" t="s">
        <v>3093</v>
      </c>
      <c r="H3" s="212" t="s">
        <v>59</v>
      </c>
      <c r="I3" s="208" t="s">
        <v>129</v>
      </c>
      <c r="J3" s="208" t="s">
        <v>3669</v>
      </c>
      <c r="K3" s="341" t="s">
        <v>4362</v>
      </c>
      <c r="L3" s="208" t="str">
        <f>J3&amp;K3</f>
        <v>電子一孝</v>
      </c>
      <c r="M3" s="151" t="s">
        <v>3569</v>
      </c>
      <c r="N3" s="156" t="s">
        <v>4380</v>
      </c>
    </row>
    <row r="4" spans="1:14" ht="17">
      <c r="A4" s="208">
        <v>3</v>
      </c>
      <c r="B4" s="302" t="s">
        <v>2537</v>
      </c>
      <c r="C4" s="208">
        <v>11101</v>
      </c>
      <c r="D4" s="211">
        <v>44774</v>
      </c>
      <c r="E4" s="208" t="s">
        <v>48</v>
      </c>
      <c r="F4" s="209" t="s">
        <v>2165</v>
      </c>
      <c r="G4" s="212" t="s">
        <v>2166</v>
      </c>
      <c r="H4" s="212" t="s">
        <v>59</v>
      </c>
      <c r="I4" s="208" t="s">
        <v>129</v>
      </c>
      <c r="J4" s="208" t="s">
        <v>3669</v>
      </c>
      <c r="K4" s="341" t="s">
        <v>4363</v>
      </c>
      <c r="L4" s="208" t="str">
        <f t="shared" ref="L4:L8" si="0">J4&amp;K4</f>
        <v>電子一仁</v>
      </c>
      <c r="M4" s="151" t="s">
        <v>3569</v>
      </c>
      <c r="N4" s="156" t="s">
        <v>4381</v>
      </c>
    </row>
    <row r="5" spans="1:14" ht="17">
      <c r="A5" s="208">
        <v>4</v>
      </c>
      <c r="B5" s="302" t="s">
        <v>2537</v>
      </c>
      <c r="C5" s="208">
        <v>11101</v>
      </c>
      <c r="D5" s="211">
        <v>44774</v>
      </c>
      <c r="E5" s="208" t="s">
        <v>71</v>
      </c>
      <c r="F5" s="209" t="s">
        <v>2205</v>
      </c>
      <c r="G5" s="212" t="s">
        <v>2206</v>
      </c>
      <c r="H5" s="212" t="s">
        <v>59</v>
      </c>
      <c r="I5" s="351" t="s">
        <v>4412</v>
      </c>
      <c r="J5" s="208" t="s">
        <v>3670</v>
      </c>
      <c r="K5" s="341" t="s">
        <v>4362</v>
      </c>
      <c r="L5" s="208" t="str">
        <f t="shared" si="0"/>
        <v>電機一孝</v>
      </c>
      <c r="M5" s="151" t="s">
        <v>3569</v>
      </c>
      <c r="N5" s="156" t="s">
        <v>4379</v>
      </c>
    </row>
    <row r="6" spans="1:14" ht="17">
      <c r="A6" s="208">
        <v>5</v>
      </c>
      <c r="B6" s="302" t="s">
        <v>2537</v>
      </c>
      <c r="C6" s="208">
        <v>11101</v>
      </c>
      <c r="D6" s="211">
        <v>44774</v>
      </c>
      <c r="E6" s="208" t="s">
        <v>61</v>
      </c>
      <c r="F6" s="209" t="s">
        <v>3667</v>
      </c>
      <c r="G6" s="212" t="s">
        <v>2992</v>
      </c>
      <c r="H6" s="212" t="s">
        <v>59</v>
      </c>
      <c r="I6" s="208" t="s">
        <v>129</v>
      </c>
      <c r="J6" s="208" t="s">
        <v>3671</v>
      </c>
      <c r="K6" s="341" t="s">
        <v>4361</v>
      </c>
      <c r="L6" s="208" t="str">
        <f t="shared" si="0"/>
        <v>資訊一忠</v>
      </c>
      <c r="M6" s="151" t="s">
        <v>3569</v>
      </c>
      <c r="N6" s="156" t="s">
        <v>4380</v>
      </c>
    </row>
    <row r="7" spans="1:14" ht="17">
      <c r="A7" s="208">
        <v>6</v>
      </c>
      <c r="B7" s="302" t="s">
        <v>2537</v>
      </c>
      <c r="C7" s="208">
        <v>11101</v>
      </c>
      <c r="D7" s="211">
        <v>44774</v>
      </c>
      <c r="E7" s="208" t="s">
        <v>56</v>
      </c>
      <c r="F7" s="209" t="s">
        <v>3668</v>
      </c>
      <c r="G7" s="212" t="s">
        <v>3084</v>
      </c>
      <c r="H7" s="212" t="s">
        <v>59</v>
      </c>
      <c r="I7" s="208" t="s">
        <v>129</v>
      </c>
      <c r="J7" s="208" t="s">
        <v>3672</v>
      </c>
      <c r="K7" s="341" t="s">
        <v>4361</v>
      </c>
      <c r="L7" s="208" t="str">
        <f t="shared" si="0"/>
        <v>控制一忠</v>
      </c>
      <c r="M7" s="151" t="s">
        <v>3569</v>
      </c>
      <c r="N7" s="156" t="s">
        <v>4381</v>
      </c>
    </row>
    <row r="8" spans="1:14" ht="17">
      <c r="A8" s="208">
        <v>7</v>
      </c>
      <c r="B8" s="302" t="s">
        <v>2537</v>
      </c>
      <c r="C8" s="208">
        <v>11101</v>
      </c>
      <c r="D8" s="211">
        <v>44774</v>
      </c>
      <c r="E8" s="208" t="s">
        <v>58</v>
      </c>
      <c r="F8" s="209" t="s">
        <v>1443</v>
      </c>
      <c r="G8" s="212" t="s">
        <v>1444</v>
      </c>
      <c r="H8" s="212" t="s">
        <v>59</v>
      </c>
      <c r="I8" s="208" t="s">
        <v>129</v>
      </c>
      <c r="J8" s="208" t="s">
        <v>3673</v>
      </c>
      <c r="K8" s="341" t="s">
        <v>4361</v>
      </c>
      <c r="L8" s="208" t="str">
        <f t="shared" si="0"/>
        <v>冷凍一忠</v>
      </c>
      <c r="M8" s="151" t="s">
        <v>3569</v>
      </c>
      <c r="N8" s="156" t="s">
        <v>4379</v>
      </c>
    </row>
    <row r="9" spans="1:14" ht="17">
      <c r="A9" s="342">
        <v>8</v>
      </c>
      <c r="B9" s="342" t="s">
        <v>3679</v>
      </c>
      <c r="C9" s="342">
        <v>11101</v>
      </c>
      <c r="D9" s="343">
        <v>44774</v>
      </c>
      <c r="E9" s="342" t="s">
        <v>3674</v>
      </c>
      <c r="F9" s="344" t="s">
        <v>3675</v>
      </c>
      <c r="G9" s="345" t="s">
        <v>3676</v>
      </c>
      <c r="H9" s="345" t="s">
        <v>3677</v>
      </c>
      <c r="I9" s="342" t="s">
        <v>129</v>
      </c>
      <c r="J9" s="342" t="s">
        <v>3678</v>
      </c>
      <c r="K9" s="356" t="s">
        <v>4371</v>
      </c>
      <c r="L9" s="342" t="str">
        <f t="shared" ref="L9:L13" si="1">J9&amp;K9</f>
        <v>電子二愛</v>
      </c>
      <c r="M9" s="346" t="s">
        <v>3569</v>
      </c>
      <c r="N9" s="156" t="s">
        <v>4381</v>
      </c>
    </row>
    <row r="10" spans="1:14" ht="17">
      <c r="A10" s="342">
        <v>9</v>
      </c>
      <c r="B10" s="342" t="s">
        <v>3679</v>
      </c>
      <c r="C10" s="342">
        <v>11101</v>
      </c>
      <c r="D10" s="343">
        <v>44774</v>
      </c>
      <c r="E10" s="342" t="s">
        <v>3680</v>
      </c>
      <c r="F10" s="344" t="s">
        <v>3681</v>
      </c>
      <c r="G10" s="345" t="s">
        <v>3682</v>
      </c>
      <c r="H10" s="345" t="s">
        <v>3683</v>
      </c>
      <c r="I10" s="342" t="s">
        <v>129</v>
      </c>
      <c r="J10" s="342" t="s">
        <v>3684</v>
      </c>
      <c r="K10" s="356" t="s">
        <v>4372</v>
      </c>
      <c r="L10" s="342" t="str">
        <f t="shared" si="1"/>
        <v>電子二孝</v>
      </c>
      <c r="M10" s="346" t="s">
        <v>3569</v>
      </c>
      <c r="N10" s="156" t="s">
        <v>4379</v>
      </c>
    </row>
    <row r="11" spans="1:14" ht="17">
      <c r="A11" s="342">
        <v>10</v>
      </c>
      <c r="B11" s="342" t="s">
        <v>3679</v>
      </c>
      <c r="C11" s="342">
        <v>11101</v>
      </c>
      <c r="D11" s="343">
        <v>44774</v>
      </c>
      <c r="E11" s="342" t="s">
        <v>3685</v>
      </c>
      <c r="F11" s="344" t="s">
        <v>3686</v>
      </c>
      <c r="G11" s="345" t="s">
        <v>3687</v>
      </c>
      <c r="H11" s="345" t="s">
        <v>3683</v>
      </c>
      <c r="I11" s="342" t="s">
        <v>129</v>
      </c>
      <c r="J11" s="342" t="s">
        <v>3688</v>
      </c>
      <c r="K11" s="342" t="s">
        <v>4356</v>
      </c>
      <c r="L11" s="342" t="str">
        <f t="shared" si="1"/>
        <v>電機二忠</v>
      </c>
      <c r="M11" s="346" t="s">
        <v>3569</v>
      </c>
      <c r="N11" s="156" t="s">
        <v>4381</v>
      </c>
    </row>
    <row r="12" spans="1:14" ht="17">
      <c r="A12" s="342">
        <v>11</v>
      </c>
      <c r="B12" s="342" t="s">
        <v>3679</v>
      </c>
      <c r="C12" s="342">
        <v>11101</v>
      </c>
      <c r="D12" s="343">
        <v>44774</v>
      </c>
      <c r="E12" s="342" t="s">
        <v>3689</v>
      </c>
      <c r="F12" s="344" t="s">
        <v>3690</v>
      </c>
      <c r="G12" s="349" t="s">
        <v>4402</v>
      </c>
      <c r="H12" s="345" t="s">
        <v>3677</v>
      </c>
      <c r="I12" s="342" t="s">
        <v>129</v>
      </c>
      <c r="J12" s="342" t="s">
        <v>3691</v>
      </c>
      <c r="K12" s="342" t="s">
        <v>4357</v>
      </c>
      <c r="L12" s="342" t="str">
        <f t="shared" si="1"/>
        <v>冷凍二忠</v>
      </c>
      <c r="M12" s="346" t="s">
        <v>3569</v>
      </c>
      <c r="N12" s="156" t="s">
        <v>4379</v>
      </c>
    </row>
    <row r="13" spans="1:14" ht="17">
      <c r="A13" s="208">
        <v>12</v>
      </c>
      <c r="B13" s="355" t="s">
        <v>4365</v>
      </c>
      <c r="C13" s="351">
        <v>11101</v>
      </c>
      <c r="D13" s="352">
        <v>44774</v>
      </c>
      <c r="E13" s="351" t="s">
        <v>3693</v>
      </c>
      <c r="F13" s="357" t="s">
        <v>4375</v>
      </c>
      <c r="G13" s="353" t="s">
        <v>4366</v>
      </c>
      <c r="H13" s="353" t="s">
        <v>60</v>
      </c>
      <c r="I13" s="351" t="s">
        <v>3692</v>
      </c>
      <c r="J13" s="351" t="s">
        <v>4364</v>
      </c>
      <c r="K13" s="351" t="s">
        <v>4358</v>
      </c>
      <c r="L13" s="351" t="str">
        <f t="shared" si="1"/>
        <v>控制一孝</v>
      </c>
      <c r="M13" s="354" t="s">
        <v>3697</v>
      </c>
      <c r="N13" s="156" t="s">
        <v>4381</v>
      </c>
    </row>
    <row r="14" spans="1:14" ht="17">
      <c r="A14" s="342">
        <v>13</v>
      </c>
      <c r="B14" s="347" t="s">
        <v>3679</v>
      </c>
      <c r="C14" s="347">
        <v>11101</v>
      </c>
      <c r="D14" s="348">
        <v>44777</v>
      </c>
      <c r="E14" s="347" t="s">
        <v>3695</v>
      </c>
      <c r="F14" s="357" t="s">
        <v>4378</v>
      </c>
      <c r="G14" s="349" t="s">
        <v>3694</v>
      </c>
      <c r="H14" s="349" t="s">
        <v>59</v>
      </c>
      <c r="I14" s="347" t="s">
        <v>3692</v>
      </c>
      <c r="J14" s="347" t="s">
        <v>3696</v>
      </c>
      <c r="K14" s="347" t="s">
        <v>4367</v>
      </c>
      <c r="L14" s="347" t="str">
        <f t="shared" ref="L14" si="2">J14&amp;K14</f>
        <v>應英二孝</v>
      </c>
      <c r="M14" s="350" t="s">
        <v>3697</v>
      </c>
      <c r="N14" s="156" t="s">
        <v>4379</v>
      </c>
    </row>
  </sheetData>
  <phoneticPr fontId="2" type="noConversion"/>
  <pageMargins left="0.75" right="0.75" top="1" bottom="1" header="0.5" footer="0.5"/>
  <pageSetup paperSize="9" scale="52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16"/>
  <sheetViews>
    <sheetView view="pageBreakPreview" zoomScale="90" zoomScaleNormal="100" zoomScaleSheetLayoutView="90" workbookViewId="0">
      <selection activeCell="M9" sqref="M9"/>
    </sheetView>
  </sheetViews>
  <sheetFormatPr baseColWidth="10" defaultColWidth="8.83203125" defaultRowHeight="15"/>
  <cols>
    <col min="1" max="1" width="7.33203125" style="35" bestFit="1" customWidth="1"/>
    <col min="2" max="2" width="10" style="34" bestFit="1" customWidth="1"/>
    <col min="3" max="3" width="8.5" style="36" bestFit="1" customWidth="1"/>
    <col min="4" max="4" width="8.1640625" style="34" bestFit="1" customWidth="1"/>
    <col min="5" max="9" width="6" style="34" bestFit="1" customWidth="1"/>
    <col min="10" max="10" width="21.83203125" style="34" bestFit="1" customWidth="1"/>
    <col min="11" max="11" width="6" style="34" bestFit="1" customWidth="1"/>
    <col min="12" max="12" width="8.1640625" style="34" bestFit="1" customWidth="1"/>
    <col min="13" max="13" width="18.33203125" style="38" bestFit="1" customWidth="1"/>
    <col min="14" max="14" width="8.83203125" style="38"/>
    <col min="15" max="16384" width="8.83203125" style="34"/>
  </cols>
  <sheetData>
    <row r="1" spans="1:13">
      <c r="A1" s="144" t="s">
        <v>98</v>
      </c>
      <c r="B1" s="144" t="s">
        <v>99</v>
      </c>
      <c r="C1" s="149" t="s">
        <v>100</v>
      </c>
      <c r="D1" s="144" t="s">
        <v>101</v>
      </c>
      <c r="E1" s="144" t="s">
        <v>102</v>
      </c>
      <c r="F1" s="144" t="s">
        <v>103</v>
      </c>
      <c r="G1" s="144" t="s">
        <v>96</v>
      </c>
      <c r="H1" s="144" t="s">
        <v>104</v>
      </c>
      <c r="I1" s="144" t="s">
        <v>105</v>
      </c>
      <c r="J1" s="144" t="s">
        <v>106</v>
      </c>
      <c r="K1" s="144" t="s">
        <v>3</v>
      </c>
      <c r="L1" s="144" t="s">
        <v>2</v>
      </c>
      <c r="M1" s="144" t="s">
        <v>115</v>
      </c>
    </row>
    <row r="2" spans="1:13">
      <c r="A2" s="163"/>
      <c r="B2" s="267"/>
      <c r="C2" s="269"/>
      <c r="D2" s="268"/>
      <c r="E2" s="268"/>
      <c r="F2" s="163"/>
      <c r="G2" s="163"/>
      <c r="H2" s="163"/>
      <c r="I2" s="163"/>
      <c r="J2" s="163"/>
      <c r="K2" s="163"/>
      <c r="L2" s="270"/>
      <c r="M2" s="268"/>
    </row>
    <row r="3" spans="1:13">
      <c r="A3" s="163"/>
      <c r="B3" s="267"/>
      <c r="C3" s="165"/>
      <c r="D3" s="163"/>
      <c r="E3" s="268"/>
      <c r="F3" s="163"/>
      <c r="G3" s="163"/>
      <c r="H3" s="163"/>
      <c r="I3" s="163"/>
      <c r="J3" s="163"/>
      <c r="K3" s="163"/>
      <c r="L3" s="163"/>
      <c r="M3" s="163"/>
    </row>
    <row r="4" spans="1:13">
      <c r="A4" s="163"/>
      <c r="B4" s="267"/>
      <c r="C4" s="165"/>
      <c r="D4" s="163"/>
      <c r="E4" s="268"/>
      <c r="F4" s="163"/>
      <c r="G4" s="163"/>
      <c r="H4" s="163"/>
      <c r="I4" s="163"/>
      <c r="J4" s="163"/>
      <c r="K4" s="163"/>
      <c r="L4" s="163"/>
      <c r="M4" s="163"/>
    </row>
    <row r="5" spans="1:13">
      <c r="A5" s="164"/>
      <c r="B5" s="164"/>
      <c r="C5" s="166"/>
      <c r="D5" s="164"/>
      <c r="E5" s="167"/>
      <c r="F5" s="164"/>
      <c r="G5" s="164"/>
      <c r="H5" s="164"/>
      <c r="I5" s="164"/>
      <c r="J5" s="164"/>
      <c r="K5" s="164"/>
      <c r="L5" s="164"/>
      <c r="M5" s="164"/>
    </row>
    <row r="6" spans="1:13">
      <c r="A6" s="163"/>
      <c r="B6" s="163"/>
      <c r="C6" s="165"/>
      <c r="D6" s="163"/>
      <c r="E6" s="150"/>
      <c r="F6" s="163"/>
      <c r="G6" s="163"/>
      <c r="H6" s="163"/>
      <c r="I6" s="163"/>
      <c r="J6" s="163"/>
      <c r="K6" s="163"/>
      <c r="L6" s="163"/>
      <c r="M6" s="164"/>
    </row>
    <row r="16" spans="1:13">
      <c r="F16"/>
      <c r="I16"/>
    </row>
  </sheetData>
  <phoneticPr fontId="2" type="noConversion"/>
  <pageMargins left="0.75" right="0.75" top="1" bottom="1" header="0.5" footer="0.5"/>
  <pageSetup paperSize="9" scale="6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S2320"/>
  <sheetViews>
    <sheetView zoomScale="80" zoomScaleNormal="80" workbookViewId="0">
      <selection activeCell="F1" sqref="F1:F1048576"/>
    </sheetView>
  </sheetViews>
  <sheetFormatPr baseColWidth="10" defaultColWidth="7" defaultRowHeight="15"/>
  <cols>
    <col min="1" max="2" width="10.5" style="132" bestFit="1" customWidth="1"/>
    <col min="3" max="3" width="10.5" style="131" bestFit="1" customWidth="1"/>
    <col min="4" max="6" width="10.5" style="132" bestFit="1" customWidth="1"/>
    <col min="7" max="7" width="19.1640625" style="132" bestFit="1" customWidth="1"/>
    <col min="8" max="8" width="31.83203125" style="130" bestFit="1" customWidth="1"/>
    <col min="9" max="9" width="7" style="132"/>
    <col min="10" max="10" width="7" style="130"/>
    <col min="11" max="11" width="14.5" style="130" bestFit="1" customWidth="1"/>
    <col min="12" max="13" width="8.6640625" style="130" customWidth="1"/>
    <col min="14" max="14" width="6.1640625" style="130" customWidth="1"/>
    <col min="15" max="15" width="5.83203125" style="130" customWidth="1"/>
    <col min="16" max="16" width="7" style="130"/>
    <col min="17" max="17" width="7.83203125" style="130" bestFit="1" customWidth="1"/>
    <col min="18" max="16384" width="7" style="130"/>
  </cols>
  <sheetData>
    <row r="1" spans="1:19">
      <c r="A1" s="132" t="s">
        <v>107</v>
      </c>
      <c r="B1" s="132" t="s">
        <v>108</v>
      </c>
      <c r="C1" s="131" t="s">
        <v>109</v>
      </c>
      <c r="D1" s="132" t="s">
        <v>110</v>
      </c>
      <c r="E1" s="132" t="s">
        <v>111</v>
      </c>
      <c r="G1" s="132" t="s">
        <v>643</v>
      </c>
      <c r="H1" s="130" t="s">
        <v>4382</v>
      </c>
    </row>
    <row r="2" spans="1:19">
      <c r="A2" t="s">
        <v>5</v>
      </c>
      <c r="B2">
        <v>1</v>
      </c>
      <c r="C2" s="55">
        <v>111101</v>
      </c>
      <c r="D2" t="s">
        <v>3700</v>
      </c>
      <c r="E2" t="s">
        <v>59</v>
      </c>
      <c r="F2"/>
      <c r="G2" s="130" t="str">
        <f>A2&amp;F2</f>
        <v>電子一忠</v>
      </c>
      <c r="H2" s="130" t="s">
        <v>5</v>
      </c>
    </row>
    <row r="3" spans="1:19">
      <c r="A3" t="s">
        <v>5</v>
      </c>
      <c r="B3">
        <v>2</v>
      </c>
      <c r="C3" s="55">
        <v>111102</v>
      </c>
      <c r="D3" t="s">
        <v>3719</v>
      </c>
      <c r="E3" t="s">
        <v>59</v>
      </c>
      <c r="F3"/>
      <c r="G3" s="130" t="str">
        <f t="shared" ref="G3:G66" si="0">A3&amp;F3</f>
        <v>電子一忠</v>
      </c>
      <c r="H3" s="130" t="s">
        <v>46</v>
      </c>
      <c r="K3" s="297" t="s">
        <v>116</v>
      </c>
      <c r="L3" s="281" t="s">
        <v>114</v>
      </c>
      <c r="M3" s="282"/>
      <c r="N3" s="283"/>
      <c r="O3"/>
      <c r="P3" s="134"/>
      <c r="Q3"/>
      <c r="R3"/>
      <c r="S3"/>
    </row>
    <row r="4" spans="1:19">
      <c r="A4" t="s">
        <v>5</v>
      </c>
      <c r="B4">
        <v>3</v>
      </c>
      <c r="C4" s="55">
        <v>111103</v>
      </c>
      <c r="D4" t="s">
        <v>3738</v>
      </c>
      <c r="E4" t="s">
        <v>59</v>
      </c>
      <c r="F4"/>
      <c r="G4" s="130" t="str">
        <f t="shared" si="0"/>
        <v>電子一忠</v>
      </c>
      <c r="H4" s="130" t="s">
        <v>47</v>
      </c>
      <c r="K4" s="281" t="s">
        <v>96</v>
      </c>
      <c r="L4" s="284" t="s">
        <v>60</v>
      </c>
      <c r="M4" s="285" t="s">
        <v>59</v>
      </c>
      <c r="N4" s="286" t="s">
        <v>113</v>
      </c>
      <c r="O4"/>
      <c r="P4" s="134"/>
      <c r="Q4"/>
      <c r="R4"/>
      <c r="S4"/>
    </row>
    <row r="5" spans="1:19">
      <c r="A5" t="s">
        <v>5</v>
      </c>
      <c r="B5">
        <v>4</v>
      </c>
      <c r="C5" s="55">
        <v>111104</v>
      </c>
      <c r="D5" t="s">
        <v>3756</v>
      </c>
      <c r="E5" t="s">
        <v>60</v>
      </c>
      <c r="F5"/>
      <c r="G5" s="130" t="str">
        <f t="shared" si="0"/>
        <v>電子一忠</v>
      </c>
      <c r="H5" s="130" t="s">
        <v>48</v>
      </c>
      <c r="K5" s="284" t="s">
        <v>5</v>
      </c>
      <c r="L5" s="287">
        <v>5</v>
      </c>
      <c r="M5" s="288">
        <v>33</v>
      </c>
      <c r="N5" s="289">
        <v>38</v>
      </c>
      <c r="O5"/>
      <c r="P5" s="134"/>
      <c r="Q5" t="s">
        <v>153</v>
      </c>
      <c r="R5">
        <f>SUM(N5:N23)</f>
        <v>662</v>
      </c>
      <c r="S5"/>
    </row>
    <row r="6" spans="1:19">
      <c r="A6" t="s">
        <v>5</v>
      </c>
      <c r="B6">
        <v>5</v>
      </c>
      <c r="C6" s="55">
        <v>111105</v>
      </c>
      <c r="D6" t="s">
        <v>3774</v>
      </c>
      <c r="E6" t="s">
        <v>59</v>
      </c>
      <c r="F6"/>
      <c r="G6" s="130" t="str">
        <f t="shared" si="0"/>
        <v>電子一忠</v>
      </c>
      <c r="H6" s="130" t="s">
        <v>49</v>
      </c>
      <c r="K6" s="290" t="s">
        <v>46</v>
      </c>
      <c r="L6" s="291">
        <v>6</v>
      </c>
      <c r="M6" s="162">
        <v>31</v>
      </c>
      <c r="N6" s="292">
        <v>37</v>
      </c>
      <c r="O6"/>
      <c r="P6" s="134"/>
      <c r="Q6" t="s">
        <v>154</v>
      </c>
      <c r="R6">
        <f>SUM(N24:N43)</f>
        <v>606</v>
      </c>
      <c r="S6"/>
    </row>
    <row r="7" spans="1:19">
      <c r="A7" t="s">
        <v>5</v>
      </c>
      <c r="B7">
        <v>6</v>
      </c>
      <c r="C7" s="55">
        <v>111106</v>
      </c>
      <c r="D7" t="s">
        <v>3791</v>
      </c>
      <c r="E7" t="s">
        <v>59</v>
      </c>
      <c r="F7"/>
      <c r="G7" s="130" t="str">
        <f t="shared" si="0"/>
        <v>電子一忠</v>
      </c>
      <c r="H7" s="130" t="s">
        <v>50</v>
      </c>
      <c r="K7" s="290" t="s">
        <v>47</v>
      </c>
      <c r="L7" s="291">
        <v>5</v>
      </c>
      <c r="M7" s="162">
        <v>32</v>
      </c>
      <c r="N7" s="292">
        <v>37</v>
      </c>
      <c r="O7"/>
      <c r="P7" s="134"/>
      <c r="Q7" t="s">
        <v>155</v>
      </c>
      <c r="R7">
        <f>SUM(N44:N62)</f>
        <v>593</v>
      </c>
      <c r="S7"/>
    </row>
    <row r="8" spans="1:19">
      <c r="A8" t="s">
        <v>5</v>
      </c>
      <c r="B8">
        <v>7</v>
      </c>
      <c r="C8" s="55">
        <v>111107</v>
      </c>
      <c r="D8" t="s">
        <v>3809</v>
      </c>
      <c r="E8" t="s">
        <v>59</v>
      </c>
      <c r="F8"/>
      <c r="G8" s="130" t="str">
        <f t="shared" si="0"/>
        <v>電子一忠</v>
      </c>
      <c r="H8" s="130" t="s">
        <v>51</v>
      </c>
      <c r="K8" s="290" t="s">
        <v>48</v>
      </c>
      <c r="L8" s="291">
        <v>6</v>
      </c>
      <c r="M8" s="162">
        <v>31</v>
      </c>
      <c r="N8" s="292">
        <v>37</v>
      </c>
      <c r="O8"/>
      <c r="P8" s="134"/>
      <c r="Q8"/>
      <c r="R8">
        <f>SUM(R5:R7)</f>
        <v>1861</v>
      </c>
      <c r="S8"/>
    </row>
    <row r="9" spans="1:19">
      <c r="A9" t="s">
        <v>5</v>
      </c>
      <c r="B9">
        <v>8</v>
      </c>
      <c r="C9" s="55">
        <v>111108</v>
      </c>
      <c r="D9" t="s">
        <v>3826</v>
      </c>
      <c r="E9" t="s">
        <v>59</v>
      </c>
      <c r="F9"/>
      <c r="G9" s="130" t="str">
        <f t="shared" si="0"/>
        <v>電子一忠</v>
      </c>
      <c r="H9" s="130" t="s">
        <v>52</v>
      </c>
      <c r="K9" s="290" t="s">
        <v>49</v>
      </c>
      <c r="L9" s="291">
        <v>6</v>
      </c>
      <c r="M9" s="162">
        <v>33</v>
      </c>
      <c r="N9" s="292">
        <v>39</v>
      </c>
      <c r="O9"/>
      <c r="P9" s="134"/>
      <c r="Q9"/>
      <c r="R9"/>
      <c r="S9"/>
    </row>
    <row r="10" spans="1:19">
      <c r="A10" t="s">
        <v>5</v>
      </c>
      <c r="B10">
        <v>9</v>
      </c>
      <c r="C10" s="55">
        <v>111109</v>
      </c>
      <c r="D10" t="s">
        <v>3844</v>
      </c>
      <c r="E10" t="s">
        <v>59</v>
      </c>
      <c r="F10"/>
      <c r="G10" s="130" t="str">
        <f t="shared" si="0"/>
        <v>電子一忠</v>
      </c>
      <c r="H10" s="130" t="s">
        <v>53</v>
      </c>
      <c r="K10" s="290" t="s">
        <v>50</v>
      </c>
      <c r="L10" s="291"/>
      <c r="M10" s="162">
        <v>38</v>
      </c>
      <c r="N10" s="292">
        <v>38</v>
      </c>
      <c r="O10"/>
      <c r="P10" s="134"/>
      <c r="Q10"/>
      <c r="R10"/>
      <c r="S10"/>
    </row>
    <row r="11" spans="1:19">
      <c r="A11" t="s">
        <v>5</v>
      </c>
      <c r="B11">
        <v>10</v>
      </c>
      <c r="C11" s="55">
        <v>111110</v>
      </c>
      <c r="D11" t="s">
        <v>3862</v>
      </c>
      <c r="E11" t="s">
        <v>59</v>
      </c>
      <c r="F11"/>
      <c r="G11" s="130" t="str">
        <f t="shared" si="0"/>
        <v>電子一忠</v>
      </c>
      <c r="H11" s="130" t="s">
        <v>54</v>
      </c>
      <c r="K11" s="290" t="s">
        <v>51</v>
      </c>
      <c r="L11" s="291"/>
      <c r="M11" s="162">
        <v>39</v>
      </c>
      <c r="N11" s="292">
        <v>39</v>
      </c>
      <c r="O11"/>
      <c r="P11" s="134"/>
      <c r="Q11"/>
      <c r="R11"/>
      <c r="S11"/>
    </row>
    <row r="12" spans="1:19">
      <c r="A12" t="s">
        <v>5</v>
      </c>
      <c r="B12">
        <v>11</v>
      </c>
      <c r="C12" s="55">
        <v>111111</v>
      </c>
      <c r="D12" t="s">
        <v>3881</v>
      </c>
      <c r="E12" t="s">
        <v>59</v>
      </c>
      <c r="F12"/>
      <c r="G12" s="130" t="str">
        <f t="shared" si="0"/>
        <v>電子一忠</v>
      </c>
      <c r="H12" s="130" t="s">
        <v>61</v>
      </c>
      <c r="K12" s="290" t="s">
        <v>52</v>
      </c>
      <c r="L12" s="291"/>
      <c r="M12" s="162">
        <v>38</v>
      </c>
      <c r="N12" s="292">
        <v>38</v>
      </c>
      <c r="O12"/>
      <c r="P12" s="134"/>
      <c r="Q12"/>
      <c r="R12"/>
      <c r="S12"/>
    </row>
    <row r="13" spans="1:19">
      <c r="A13" t="s">
        <v>5</v>
      </c>
      <c r="B13">
        <v>12</v>
      </c>
      <c r="C13" s="55">
        <v>111112</v>
      </c>
      <c r="D13" t="s">
        <v>3900</v>
      </c>
      <c r="E13" t="s">
        <v>60</v>
      </c>
      <c r="F13"/>
      <c r="G13" s="130" t="str">
        <f t="shared" si="0"/>
        <v>電子一忠</v>
      </c>
      <c r="H13" s="130" t="s">
        <v>55</v>
      </c>
      <c r="K13" s="290" t="s">
        <v>53</v>
      </c>
      <c r="L13" s="291">
        <v>4</v>
      </c>
      <c r="M13" s="162">
        <v>34</v>
      </c>
      <c r="N13" s="292">
        <v>38</v>
      </c>
      <c r="O13"/>
      <c r="P13" s="134"/>
      <c r="Q13"/>
      <c r="R13"/>
      <c r="S13"/>
    </row>
    <row r="14" spans="1:19">
      <c r="A14" t="s">
        <v>5</v>
      </c>
      <c r="B14">
        <v>13</v>
      </c>
      <c r="C14" s="55">
        <v>111113</v>
      </c>
      <c r="D14" t="s">
        <v>3918</v>
      </c>
      <c r="E14" t="s">
        <v>59</v>
      </c>
      <c r="F14"/>
      <c r="G14" s="130" t="str">
        <f t="shared" si="0"/>
        <v>電子一忠</v>
      </c>
      <c r="H14" s="130" t="s">
        <v>56</v>
      </c>
      <c r="K14" s="290" t="s">
        <v>54</v>
      </c>
      <c r="L14" s="291">
        <v>3</v>
      </c>
      <c r="M14" s="162">
        <v>34</v>
      </c>
      <c r="N14" s="292">
        <v>37</v>
      </c>
      <c r="O14"/>
      <c r="P14" s="134"/>
      <c r="Q14"/>
      <c r="R14"/>
      <c r="S14"/>
    </row>
    <row r="15" spans="1:19">
      <c r="A15" t="s">
        <v>5</v>
      </c>
      <c r="B15">
        <v>14</v>
      </c>
      <c r="C15" s="55">
        <v>111114</v>
      </c>
      <c r="D15" t="s">
        <v>3936</v>
      </c>
      <c r="E15" t="s">
        <v>59</v>
      </c>
      <c r="F15"/>
      <c r="G15" s="130" t="str">
        <f t="shared" si="0"/>
        <v>電子一忠</v>
      </c>
      <c r="H15" s="130" t="s">
        <v>57</v>
      </c>
      <c r="K15" s="290" t="s">
        <v>61</v>
      </c>
      <c r="L15" s="291">
        <v>3</v>
      </c>
      <c r="M15" s="162">
        <v>35</v>
      </c>
      <c r="N15" s="292">
        <v>38</v>
      </c>
      <c r="O15"/>
      <c r="P15" s="134"/>
      <c r="Q15"/>
      <c r="R15"/>
      <c r="S15"/>
    </row>
    <row r="16" spans="1:19">
      <c r="A16" t="s">
        <v>5</v>
      </c>
      <c r="B16">
        <v>15</v>
      </c>
      <c r="C16" s="55">
        <v>111115</v>
      </c>
      <c r="D16" t="s">
        <v>3954</v>
      </c>
      <c r="E16" t="s">
        <v>59</v>
      </c>
      <c r="F16"/>
      <c r="G16" s="130" t="str">
        <f t="shared" si="0"/>
        <v>電子一忠</v>
      </c>
      <c r="H16" s="130" t="s">
        <v>58</v>
      </c>
      <c r="K16" s="290" t="s">
        <v>55</v>
      </c>
      <c r="L16" s="291">
        <v>3</v>
      </c>
      <c r="M16" s="162">
        <v>35</v>
      </c>
      <c r="N16" s="292">
        <v>38</v>
      </c>
      <c r="O16"/>
      <c r="P16" s="134"/>
      <c r="Q16"/>
      <c r="R16"/>
      <c r="S16"/>
    </row>
    <row r="17" spans="1:19">
      <c r="A17" t="s">
        <v>5</v>
      </c>
      <c r="B17">
        <v>16</v>
      </c>
      <c r="C17" s="55">
        <v>111116</v>
      </c>
      <c r="D17" t="s">
        <v>3972</v>
      </c>
      <c r="E17" t="s">
        <v>59</v>
      </c>
      <c r="F17"/>
      <c r="G17" s="130" t="str">
        <f t="shared" si="0"/>
        <v>電子一忠</v>
      </c>
      <c r="H17" s="130" t="s">
        <v>1081</v>
      </c>
      <c r="K17" s="290" t="s">
        <v>56</v>
      </c>
      <c r="L17" s="291">
        <v>4</v>
      </c>
      <c r="M17" s="162">
        <v>34</v>
      </c>
      <c r="N17" s="292">
        <v>38</v>
      </c>
      <c r="O17"/>
      <c r="P17" s="134"/>
      <c r="Q17"/>
      <c r="R17"/>
      <c r="S17"/>
    </row>
    <row r="18" spans="1:19">
      <c r="A18" t="s">
        <v>5</v>
      </c>
      <c r="B18">
        <v>17</v>
      </c>
      <c r="C18" s="55">
        <v>111117</v>
      </c>
      <c r="D18" t="s">
        <v>3989</v>
      </c>
      <c r="E18" t="s">
        <v>60</v>
      </c>
      <c r="F18"/>
      <c r="G18" s="130" t="str">
        <f t="shared" si="0"/>
        <v>電子一忠</v>
      </c>
      <c r="H18" s="130" t="s">
        <v>1083</v>
      </c>
      <c r="K18" s="290" t="s">
        <v>57</v>
      </c>
      <c r="L18" s="291">
        <v>4</v>
      </c>
      <c r="M18" s="162">
        <v>35</v>
      </c>
      <c r="N18" s="292">
        <v>39</v>
      </c>
      <c r="O18"/>
      <c r="P18" s="134"/>
      <c r="Q18"/>
      <c r="R18"/>
      <c r="S18"/>
    </row>
    <row r="19" spans="1:19">
      <c r="A19" t="s">
        <v>5</v>
      </c>
      <c r="B19">
        <v>18</v>
      </c>
      <c r="C19" s="55">
        <v>111118</v>
      </c>
      <c r="D19" t="s">
        <v>4005</v>
      </c>
      <c r="E19" t="s">
        <v>59</v>
      </c>
      <c r="F19"/>
      <c r="G19" s="130" t="str">
        <f t="shared" si="0"/>
        <v>電子一忠</v>
      </c>
      <c r="H19" s="130" t="s">
        <v>1192</v>
      </c>
      <c r="K19" s="290" t="s">
        <v>58</v>
      </c>
      <c r="L19" s="291"/>
      <c r="M19" s="162">
        <v>38</v>
      </c>
      <c r="N19" s="292">
        <v>38</v>
      </c>
      <c r="O19"/>
      <c r="P19" s="134"/>
      <c r="Q19"/>
      <c r="R19"/>
      <c r="S19"/>
    </row>
    <row r="20" spans="1:19">
      <c r="A20" t="s">
        <v>5</v>
      </c>
      <c r="B20">
        <v>19</v>
      </c>
      <c r="C20" s="55">
        <v>111119</v>
      </c>
      <c r="D20" t="s">
        <v>4021</v>
      </c>
      <c r="E20" t="s">
        <v>59</v>
      </c>
      <c r="F20"/>
      <c r="G20" s="130" t="str">
        <f t="shared" si="0"/>
        <v>電子一忠</v>
      </c>
      <c r="H20" s="130" t="s">
        <v>3393</v>
      </c>
      <c r="K20" s="290" t="s">
        <v>1080</v>
      </c>
      <c r="L20" s="291">
        <v>19</v>
      </c>
      <c r="M20" s="162">
        <v>14</v>
      </c>
      <c r="N20" s="292">
        <v>33</v>
      </c>
      <c r="O20"/>
      <c r="P20" s="134"/>
      <c r="Q20"/>
      <c r="R20"/>
      <c r="S20"/>
    </row>
    <row r="21" spans="1:19">
      <c r="A21" t="s">
        <v>5</v>
      </c>
      <c r="B21">
        <v>20</v>
      </c>
      <c r="C21" s="55">
        <v>111120</v>
      </c>
      <c r="D21" t="s">
        <v>4038</v>
      </c>
      <c r="E21" t="s">
        <v>59</v>
      </c>
      <c r="F21"/>
      <c r="G21" s="130" t="str">
        <f t="shared" si="0"/>
        <v>電子一忠</v>
      </c>
      <c r="H21" s="130" t="s">
        <v>6</v>
      </c>
      <c r="K21" s="290" t="s">
        <v>1082</v>
      </c>
      <c r="L21" s="291">
        <v>18</v>
      </c>
      <c r="M21" s="162">
        <v>14</v>
      </c>
      <c r="N21" s="292">
        <v>32</v>
      </c>
      <c r="O21"/>
      <c r="P21" s="134"/>
      <c r="Q21"/>
      <c r="R21"/>
      <c r="S21"/>
    </row>
    <row r="22" spans="1:19">
      <c r="A22" t="s">
        <v>5</v>
      </c>
      <c r="B22">
        <v>21</v>
      </c>
      <c r="C22" s="55">
        <v>111121</v>
      </c>
      <c r="D22" t="s">
        <v>4054</v>
      </c>
      <c r="E22" t="s">
        <v>59</v>
      </c>
      <c r="F22"/>
      <c r="G22" s="130" t="str">
        <f t="shared" si="0"/>
        <v>電子一忠</v>
      </c>
      <c r="H22" s="130" t="s">
        <v>62</v>
      </c>
      <c r="K22" s="290" t="s">
        <v>1190</v>
      </c>
      <c r="L22" s="291">
        <v>2</v>
      </c>
      <c r="M22" s="162">
        <v>9</v>
      </c>
      <c r="N22" s="292">
        <v>11</v>
      </c>
      <c r="O22"/>
      <c r="P22" s="134"/>
      <c r="Q22"/>
      <c r="R22"/>
      <c r="S22"/>
    </row>
    <row r="23" spans="1:19">
      <c r="A23" t="s">
        <v>5</v>
      </c>
      <c r="B23">
        <v>22</v>
      </c>
      <c r="C23" s="55">
        <v>111122</v>
      </c>
      <c r="D23" t="s">
        <v>995</v>
      </c>
      <c r="E23" t="s">
        <v>59</v>
      </c>
      <c r="F23"/>
      <c r="G23" s="130" t="str">
        <f t="shared" si="0"/>
        <v>電子一忠</v>
      </c>
      <c r="H23" s="130" t="s">
        <v>63</v>
      </c>
      <c r="K23" s="290" t="s">
        <v>6</v>
      </c>
      <c r="L23" s="291">
        <v>3</v>
      </c>
      <c r="M23" s="162">
        <v>14</v>
      </c>
      <c r="N23" s="292">
        <v>17</v>
      </c>
      <c r="O23"/>
      <c r="P23" s="134"/>
      <c r="Q23"/>
      <c r="R23"/>
      <c r="S23"/>
    </row>
    <row r="24" spans="1:19">
      <c r="A24" t="s">
        <v>5</v>
      </c>
      <c r="B24">
        <v>23</v>
      </c>
      <c r="C24" s="55">
        <v>111123</v>
      </c>
      <c r="D24" t="s">
        <v>4011</v>
      </c>
      <c r="E24" t="s">
        <v>59</v>
      </c>
      <c r="F24"/>
      <c r="G24" s="130" t="str">
        <f t="shared" si="0"/>
        <v>電子一忠</v>
      </c>
      <c r="H24" s="130" t="s">
        <v>64</v>
      </c>
      <c r="K24" s="290" t="s">
        <v>62</v>
      </c>
      <c r="L24" s="291">
        <v>4</v>
      </c>
      <c r="M24" s="162">
        <v>29</v>
      </c>
      <c r="N24" s="292">
        <v>33</v>
      </c>
      <c r="O24"/>
      <c r="P24" s="155"/>
      <c r="Q24"/>
      <c r="R24"/>
      <c r="S24"/>
    </row>
    <row r="25" spans="1:19">
      <c r="A25" t="s">
        <v>5</v>
      </c>
      <c r="B25">
        <v>24</v>
      </c>
      <c r="C25" s="55">
        <v>111124</v>
      </c>
      <c r="D25" t="s">
        <v>4099</v>
      </c>
      <c r="E25" t="s">
        <v>59</v>
      </c>
      <c r="F25"/>
      <c r="G25" s="130" t="str">
        <f t="shared" si="0"/>
        <v>電子一忠</v>
      </c>
      <c r="H25" s="130" t="s">
        <v>68</v>
      </c>
      <c r="K25" s="290" t="s">
        <v>63</v>
      </c>
      <c r="L25" s="291">
        <v>3</v>
      </c>
      <c r="M25" s="162">
        <v>28</v>
      </c>
      <c r="N25" s="292">
        <v>31</v>
      </c>
      <c r="O25"/>
      <c r="P25" s="134"/>
      <c r="Q25"/>
      <c r="R25"/>
      <c r="S25"/>
    </row>
    <row r="26" spans="1:19">
      <c r="A26" t="s">
        <v>5</v>
      </c>
      <c r="B26">
        <v>25</v>
      </c>
      <c r="C26" s="55">
        <v>111125</v>
      </c>
      <c r="D26" t="s">
        <v>4114</v>
      </c>
      <c r="E26" t="s">
        <v>59</v>
      </c>
      <c r="F26"/>
      <c r="G26" s="130" t="str">
        <f t="shared" si="0"/>
        <v>電子一忠</v>
      </c>
      <c r="H26" s="130" t="s">
        <v>69</v>
      </c>
      <c r="K26" s="290" t="s">
        <v>64</v>
      </c>
      <c r="L26" s="291">
        <v>4</v>
      </c>
      <c r="M26" s="162">
        <v>29</v>
      </c>
      <c r="N26" s="292">
        <v>33</v>
      </c>
      <c r="O26"/>
      <c r="P26" s="134"/>
      <c r="Q26"/>
      <c r="R26"/>
      <c r="S26"/>
    </row>
    <row r="27" spans="1:19">
      <c r="A27" t="s">
        <v>5</v>
      </c>
      <c r="B27">
        <v>26</v>
      </c>
      <c r="C27" s="55">
        <v>111126</v>
      </c>
      <c r="D27" t="s">
        <v>4131</v>
      </c>
      <c r="E27" t="s">
        <v>59</v>
      </c>
      <c r="F27"/>
      <c r="G27" s="130" t="str">
        <f t="shared" si="0"/>
        <v>電子一忠</v>
      </c>
      <c r="H27" s="130" t="s">
        <v>70</v>
      </c>
      <c r="K27" s="290" t="s">
        <v>68</v>
      </c>
      <c r="L27" s="291">
        <v>5</v>
      </c>
      <c r="M27" s="162">
        <v>26</v>
      </c>
      <c r="N27" s="292">
        <v>31</v>
      </c>
      <c r="O27"/>
      <c r="P27" s="134"/>
      <c r="Q27"/>
      <c r="R27"/>
      <c r="S27"/>
    </row>
    <row r="28" spans="1:19">
      <c r="A28" t="s">
        <v>5</v>
      </c>
      <c r="B28">
        <v>27</v>
      </c>
      <c r="C28" s="55">
        <v>111127</v>
      </c>
      <c r="D28" t="s">
        <v>4147</v>
      </c>
      <c r="E28" t="s">
        <v>59</v>
      </c>
      <c r="F28"/>
      <c r="G28" s="130" t="str">
        <f t="shared" si="0"/>
        <v>電子一忠</v>
      </c>
      <c r="H28" s="130" t="s">
        <v>71</v>
      </c>
      <c r="K28" s="290" t="s">
        <v>69</v>
      </c>
      <c r="L28" s="291">
        <v>5</v>
      </c>
      <c r="M28" s="162">
        <v>29</v>
      </c>
      <c r="N28" s="292">
        <v>34</v>
      </c>
      <c r="O28"/>
      <c r="P28" s="134"/>
      <c r="Q28"/>
      <c r="R28"/>
      <c r="S28"/>
    </row>
    <row r="29" spans="1:19">
      <c r="A29" t="s">
        <v>5</v>
      </c>
      <c r="B29">
        <v>28</v>
      </c>
      <c r="C29" s="55">
        <v>111128</v>
      </c>
      <c r="D29" t="s">
        <v>4164</v>
      </c>
      <c r="E29" t="s">
        <v>59</v>
      </c>
      <c r="F29"/>
      <c r="G29" s="130" t="str">
        <f t="shared" si="0"/>
        <v>電子一忠</v>
      </c>
      <c r="H29" s="130" t="s">
        <v>72</v>
      </c>
      <c r="K29" s="290" t="s">
        <v>70</v>
      </c>
      <c r="L29" s="291"/>
      <c r="M29" s="162">
        <v>32</v>
      </c>
      <c r="N29" s="292">
        <v>32</v>
      </c>
      <c r="O29"/>
      <c r="P29" s="134"/>
      <c r="Q29"/>
      <c r="R29"/>
      <c r="S29"/>
    </row>
    <row r="30" spans="1:19">
      <c r="A30" t="s">
        <v>5</v>
      </c>
      <c r="B30">
        <v>29</v>
      </c>
      <c r="C30" s="55">
        <v>111129</v>
      </c>
      <c r="D30" t="s">
        <v>4181</v>
      </c>
      <c r="E30" t="s">
        <v>59</v>
      </c>
      <c r="F30"/>
      <c r="G30" s="130" t="str">
        <f t="shared" si="0"/>
        <v>電子一忠</v>
      </c>
      <c r="H30" s="130" t="s">
        <v>73</v>
      </c>
      <c r="K30" s="290" t="s">
        <v>71</v>
      </c>
      <c r="L30" s="291"/>
      <c r="M30" s="162">
        <v>35</v>
      </c>
      <c r="N30" s="292">
        <v>35</v>
      </c>
      <c r="O30"/>
      <c r="P30" s="134"/>
      <c r="Q30"/>
      <c r="R30"/>
      <c r="S30"/>
    </row>
    <row r="31" spans="1:19">
      <c r="A31" t="s">
        <v>5</v>
      </c>
      <c r="B31">
        <v>30</v>
      </c>
      <c r="C31" s="55">
        <v>111130</v>
      </c>
      <c r="D31" t="s">
        <v>4198</v>
      </c>
      <c r="E31" t="s">
        <v>59</v>
      </c>
      <c r="F31"/>
      <c r="G31" s="130" t="str">
        <f t="shared" si="0"/>
        <v>電子一忠</v>
      </c>
      <c r="H31" s="130" t="s">
        <v>74</v>
      </c>
      <c r="K31" s="290" t="s">
        <v>72</v>
      </c>
      <c r="L31" s="291"/>
      <c r="M31" s="162">
        <v>36</v>
      </c>
      <c r="N31" s="292">
        <v>36</v>
      </c>
      <c r="O31"/>
      <c r="P31" s="134"/>
      <c r="Q31"/>
      <c r="R31"/>
      <c r="S31"/>
    </row>
    <row r="32" spans="1:19">
      <c r="A32" t="s">
        <v>5</v>
      </c>
      <c r="B32">
        <v>31</v>
      </c>
      <c r="C32" s="55">
        <v>111131</v>
      </c>
      <c r="D32" t="s">
        <v>4215</v>
      </c>
      <c r="E32" t="s">
        <v>60</v>
      </c>
      <c r="F32"/>
      <c r="G32" s="130" t="str">
        <f t="shared" si="0"/>
        <v>電子一忠</v>
      </c>
      <c r="H32" s="130" t="s">
        <v>75</v>
      </c>
      <c r="K32" s="290" t="s">
        <v>73</v>
      </c>
      <c r="L32" s="291">
        <v>5</v>
      </c>
      <c r="M32" s="162">
        <v>29</v>
      </c>
      <c r="N32" s="292">
        <v>34</v>
      </c>
      <c r="O32"/>
      <c r="P32" s="134"/>
      <c r="Q32"/>
      <c r="R32"/>
      <c r="S32"/>
    </row>
    <row r="33" spans="1:19">
      <c r="A33" t="s">
        <v>5</v>
      </c>
      <c r="B33">
        <v>32</v>
      </c>
      <c r="C33" s="55">
        <v>111132</v>
      </c>
      <c r="D33" t="s">
        <v>4232</v>
      </c>
      <c r="E33" t="s">
        <v>59</v>
      </c>
      <c r="F33"/>
      <c r="G33" s="130" t="str">
        <f t="shared" si="0"/>
        <v>電子一忠</v>
      </c>
      <c r="H33" s="130" t="s">
        <v>76</v>
      </c>
      <c r="K33" s="290" t="s">
        <v>74</v>
      </c>
      <c r="L33" s="291">
        <v>5</v>
      </c>
      <c r="M33" s="162">
        <v>29</v>
      </c>
      <c r="N33" s="292">
        <v>34</v>
      </c>
      <c r="O33"/>
      <c r="P33" s="134"/>
      <c r="Q33"/>
      <c r="R33"/>
      <c r="S33"/>
    </row>
    <row r="34" spans="1:19">
      <c r="A34" t="s">
        <v>5</v>
      </c>
      <c r="B34">
        <v>33</v>
      </c>
      <c r="C34" s="55">
        <v>111133</v>
      </c>
      <c r="D34" t="s">
        <v>4249</v>
      </c>
      <c r="E34" t="s">
        <v>59</v>
      </c>
      <c r="F34"/>
      <c r="G34" s="130" t="str">
        <f t="shared" si="0"/>
        <v>電子一忠</v>
      </c>
      <c r="H34" s="130" t="s">
        <v>77</v>
      </c>
      <c r="K34" s="290" t="s">
        <v>75</v>
      </c>
      <c r="L34" s="291">
        <v>5</v>
      </c>
      <c r="M34" s="162">
        <v>29</v>
      </c>
      <c r="N34" s="292">
        <v>34</v>
      </c>
      <c r="O34"/>
      <c r="P34" s="134"/>
      <c r="Q34"/>
      <c r="R34"/>
      <c r="S34"/>
    </row>
    <row r="35" spans="1:19">
      <c r="A35" t="s">
        <v>5</v>
      </c>
      <c r="B35">
        <v>34</v>
      </c>
      <c r="C35" s="55">
        <v>111134</v>
      </c>
      <c r="D35" t="s">
        <v>4264</v>
      </c>
      <c r="E35" t="s">
        <v>59</v>
      </c>
      <c r="F35"/>
      <c r="G35" s="130" t="str">
        <f t="shared" si="0"/>
        <v>電子一忠</v>
      </c>
      <c r="H35" s="130" t="s">
        <v>78</v>
      </c>
      <c r="K35" s="290" t="s">
        <v>76</v>
      </c>
      <c r="L35" s="291">
        <v>3</v>
      </c>
      <c r="M35" s="162">
        <v>29</v>
      </c>
      <c r="N35" s="292">
        <v>32</v>
      </c>
      <c r="O35"/>
      <c r="P35" s="134"/>
      <c r="Q35"/>
      <c r="R35"/>
      <c r="S35"/>
    </row>
    <row r="36" spans="1:19">
      <c r="A36" t="s">
        <v>5</v>
      </c>
      <c r="B36">
        <v>35</v>
      </c>
      <c r="C36" s="55">
        <v>111135</v>
      </c>
      <c r="D36" t="s">
        <v>4278</v>
      </c>
      <c r="E36" t="s">
        <v>59</v>
      </c>
      <c r="F36"/>
      <c r="G36" s="130" t="str">
        <f t="shared" si="0"/>
        <v>電子一忠</v>
      </c>
      <c r="H36" s="130" t="s">
        <v>79</v>
      </c>
      <c r="K36" s="290" t="s">
        <v>77</v>
      </c>
      <c r="L36" s="291">
        <v>2</v>
      </c>
      <c r="M36" s="162">
        <v>27</v>
      </c>
      <c r="N36" s="292">
        <v>29</v>
      </c>
      <c r="O36"/>
      <c r="P36" s="134"/>
      <c r="Q36"/>
      <c r="R36"/>
      <c r="S36"/>
    </row>
    <row r="37" spans="1:19">
      <c r="A37" t="s">
        <v>5</v>
      </c>
      <c r="B37">
        <v>36</v>
      </c>
      <c r="C37" s="55">
        <v>111136</v>
      </c>
      <c r="D37" t="s">
        <v>4292</v>
      </c>
      <c r="E37" t="s">
        <v>60</v>
      </c>
      <c r="F37"/>
      <c r="G37" s="130" t="str">
        <f t="shared" si="0"/>
        <v>電子一忠</v>
      </c>
      <c r="H37" s="130" t="s">
        <v>1299</v>
      </c>
      <c r="K37" s="290" t="s">
        <v>78</v>
      </c>
      <c r="L37" s="291">
        <v>3</v>
      </c>
      <c r="M37" s="162">
        <v>30</v>
      </c>
      <c r="N37" s="292">
        <v>33</v>
      </c>
      <c r="O37"/>
      <c r="P37" s="134"/>
      <c r="Q37"/>
      <c r="R37"/>
      <c r="S37"/>
    </row>
    <row r="38" spans="1:19">
      <c r="A38" t="s">
        <v>5</v>
      </c>
      <c r="B38">
        <v>37</v>
      </c>
      <c r="C38" s="55">
        <v>111137</v>
      </c>
      <c r="D38" t="s">
        <v>4307</v>
      </c>
      <c r="E38" t="s">
        <v>59</v>
      </c>
      <c r="F38"/>
      <c r="G38" s="130" t="str">
        <f t="shared" si="0"/>
        <v>電子一忠</v>
      </c>
      <c r="H38" s="130" t="s">
        <v>1300</v>
      </c>
      <c r="K38" s="290" t="s">
        <v>79</v>
      </c>
      <c r="L38" s="291"/>
      <c r="M38" s="162">
        <v>34</v>
      </c>
      <c r="N38" s="292">
        <v>34</v>
      </c>
      <c r="O38"/>
      <c r="P38" s="134"/>
      <c r="Q38"/>
      <c r="R38"/>
      <c r="S38"/>
    </row>
    <row r="39" spans="1:19">
      <c r="A39" t="s">
        <v>5</v>
      </c>
      <c r="B39">
        <v>38</v>
      </c>
      <c r="C39" s="55" t="s">
        <v>3665</v>
      </c>
      <c r="D39" t="s">
        <v>2967</v>
      </c>
      <c r="E39" t="s">
        <v>59</v>
      </c>
      <c r="F39"/>
      <c r="G39" s="130" t="str">
        <f t="shared" si="0"/>
        <v>電子一忠</v>
      </c>
      <c r="H39" s="130" t="s">
        <v>1301</v>
      </c>
      <c r="K39" s="290" t="s">
        <v>1296</v>
      </c>
      <c r="L39" s="291">
        <v>16</v>
      </c>
      <c r="M39" s="162">
        <v>16</v>
      </c>
      <c r="N39" s="292">
        <v>32</v>
      </c>
      <c r="O39"/>
      <c r="P39" s="134"/>
      <c r="Q39"/>
      <c r="R39"/>
      <c r="S39"/>
    </row>
    <row r="40" spans="1:19">
      <c r="A40" t="s">
        <v>46</v>
      </c>
      <c r="B40">
        <v>1</v>
      </c>
      <c r="C40" s="55">
        <v>111201</v>
      </c>
      <c r="D40" t="s">
        <v>3701</v>
      </c>
      <c r="E40" t="s">
        <v>60</v>
      </c>
      <c r="F40"/>
      <c r="G40" s="130" t="str">
        <f t="shared" si="0"/>
        <v>電子一孝</v>
      </c>
      <c r="H40" s="130" t="s">
        <v>80</v>
      </c>
      <c r="K40" s="290" t="s">
        <v>1297</v>
      </c>
      <c r="L40" s="291">
        <v>15</v>
      </c>
      <c r="M40" s="162">
        <v>17</v>
      </c>
      <c r="N40" s="292">
        <v>32</v>
      </c>
      <c r="O40"/>
      <c r="P40" s="134"/>
      <c r="Q40"/>
      <c r="R40"/>
      <c r="S40"/>
    </row>
    <row r="41" spans="1:19">
      <c r="A41" t="s">
        <v>46</v>
      </c>
      <c r="B41">
        <v>2</v>
      </c>
      <c r="C41" s="55">
        <v>111202</v>
      </c>
      <c r="D41" t="s">
        <v>3720</v>
      </c>
      <c r="E41" t="s">
        <v>59</v>
      </c>
      <c r="F41"/>
      <c r="G41" s="130" t="str">
        <f t="shared" si="0"/>
        <v>電子一孝</v>
      </c>
      <c r="H41" s="130" t="s">
        <v>81</v>
      </c>
      <c r="K41" s="290" t="s">
        <v>1298</v>
      </c>
      <c r="L41" s="291">
        <v>2</v>
      </c>
      <c r="M41" s="162">
        <v>8</v>
      </c>
      <c r="N41" s="292">
        <v>10</v>
      </c>
      <c r="O41"/>
      <c r="P41" s="134"/>
      <c r="Q41"/>
      <c r="R41"/>
      <c r="S41"/>
    </row>
    <row r="42" spans="1:19">
      <c r="A42" t="s">
        <v>46</v>
      </c>
      <c r="B42">
        <v>3</v>
      </c>
      <c r="C42" s="55">
        <v>111203</v>
      </c>
      <c r="D42" t="s">
        <v>925</v>
      </c>
      <c r="E42" t="s">
        <v>59</v>
      </c>
      <c r="F42"/>
      <c r="G42" s="130" t="str">
        <f t="shared" si="0"/>
        <v>電子一孝</v>
      </c>
      <c r="H42" s="130" t="s">
        <v>82</v>
      </c>
      <c r="K42" s="290" t="s">
        <v>3698</v>
      </c>
      <c r="L42" s="291">
        <v>1</v>
      </c>
      <c r="M42" s="162">
        <v>12</v>
      </c>
      <c r="N42" s="292">
        <v>13</v>
      </c>
      <c r="O42"/>
      <c r="P42" s="134"/>
      <c r="Q42"/>
      <c r="R42"/>
      <c r="S42"/>
    </row>
    <row r="43" spans="1:19">
      <c r="A43" t="s">
        <v>46</v>
      </c>
      <c r="B43">
        <v>4</v>
      </c>
      <c r="C43" s="55">
        <v>111204</v>
      </c>
      <c r="D43" t="s">
        <v>3757</v>
      </c>
      <c r="E43" t="s">
        <v>59</v>
      </c>
      <c r="F43"/>
      <c r="G43" s="130" t="str">
        <f t="shared" si="0"/>
        <v>電子一孝</v>
      </c>
      <c r="H43" s="130" t="s">
        <v>83</v>
      </c>
      <c r="K43" s="290" t="s">
        <v>80</v>
      </c>
      <c r="L43" s="291">
        <v>4</v>
      </c>
      <c r="M43" s="162">
        <v>20</v>
      </c>
      <c r="N43" s="292">
        <v>24</v>
      </c>
      <c r="O43"/>
      <c r="P43" s="155"/>
      <c r="Q43"/>
      <c r="R43"/>
      <c r="S43"/>
    </row>
    <row r="44" spans="1:19">
      <c r="A44" t="s">
        <v>46</v>
      </c>
      <c r="B44">
        <v>5</v>
      </c>
      <c r="C44" s="55">
        <v>111205</v>
      </c>
      <c r="D44" t="s">
        <v>3775</v>
      </c>
      <c r="E44" t="s">
        <v>59</v>
      </c>
      <c r="F44"/>
      <c r="G44" s="130" t="str">
        <f t="shared" si="0"/>
        <v>電子一孝</v>
      </c>
      <c r="H44" s="130" t="s">
        <v>84</v>
      </c>
      <c r="K44" s="290" t="s">
        <v>81</v>
      </c>
      <c r="L44" s="291">
        <v>4</v>
      </c>
      <c r="M44" s="162">
        <v>29</v>
      </c>
      <c r="N44" s="292">
        <v>33</v>
      </c>
      <c r="O44"/>
      <c r="P44" s="134"/>
      <c r="Q44"/>
      <c r="R44"/>
      <c r="S44"/>
    </row>
    <row r="45" spans="1:19">
      <c r="A45" t="s">
        <v>46</v>
      </c>
      <c r="B45">
        <v>6</v>
      </c>
      <c r="C45" s="55">
        <v>111206</v>
      </c>
      <c r="D45" t="s">
        <v>3792</v>
      </c>
      <c r="E45" t="s">
        <v>59</v>
      </c>
      <c r="F45"/>
      <c r="G45" s="130" t="str">
        <f t="shared" si="0"/>
        <v>電子一孝</v>
      </c>
      <c r="H45" s="130" t="s">
        <v>85</v>
      </c>
      <c r="K45" s="290" t="s">
        <v>82</v>
      </c>
      <c r="L45" s="291">
        <v>1</v>
      </c>
      <c r="M45" s="162">
        <v>26</v>
      </c>
      <c r="N45" s="292">
        <v>27</v>
      </c>
      <c r="O45"/>
      <c r="P45" s="134"/>
      <c r="Q45"/>
      <c r="R45"/>
      <c r="S45"/>
    </row>
    <row r="46" spans="1:19">
      <c r="A46" t="s">
        <v>46</v>
      </c>
      <c r="B46">
        <v>7</v>
      </c>
      <c r="C46" s="55">
        <v>111207</v>
      </c>
      <c r="D46" t="s">
        <v>3810</v>
      </c>
      <c r="E46" t="s">
        <v>59</v>
      </c>
      <c r="F46"/>
      <c r="G46" s="130" t="str">
        <f t="shared" si="0"/>
        <v>電子一孝</v>
      </c>
      <c r="H46" s="130" t="s">
        <v>86</v>
      </c>
      <c r="K46" s="290" t="s">
        <v>83</v>
      </c>
      <c r="L46" s="291">
        <v>4</v>
      </c>
      <c r="M46" s="162">
        <v>30</v>
      </c>
      <c r="N46" s="292">
        <v>34</v>
      </c>
      <c r="O46"/>
      <c r="P46" s="134"/>
      <c r="Q46"/>
      <c r="R46"/>
      <c r="S46"/>
    </row>
    <row r="47" spans="1:19">
      <c r="A47" t="s">
        <v>46</v>
      </c>
      <c r="B47">
        <v>8</v>
      </c>
      <c r="C47" s="55">
        <v>111208</v>
      </c>
      <c r="D47" t="s">
        <v>3827</v>
      </c>
      <c r="E47" t="s">
        <v>59</v>
      </c>
      <c r="F47"/>
      <c r="G47" s="130" t="str">
        <f t="shared" si="0"/>
        <v>電子一孝</v>
      </c>
      <c r="H47" s="130" t="s">
        <v>87</v>
      </c>
      <c r="K47" s="290" t="s">
        <v>84</v>
      </c>
      <c r="L47" s="291">
        <v>4</v>
      </c>
      <c r="M47" s="162">
        <v>28</v>
      </c>
      <c r="N47" s="292">
        <v>32</v>
      </c>
      <c r="O47"/>
      <c r="P47" s="134"/>
      <c r="Q47"/>
      <c r="R47"/>
      <c r="S47"/>
    </row>
    <row r="48" spans="1:19">
      <c r="A48" t="s">
        <v>46</v>
      </c>
      <c r="B48">
        <v>9</v>
      </c>
      <c r="C48" s="55">
        <v>111209</v>
      </c>
      <c r="D48" t="s">
        <v>3845</v>
      </c>
      <c r="E48" t="s">
        <v>60</v>
      </c>
      <c r="F48"/>
      <c r="G48" s="130" t="str">
        <f t="shared" si="0"/>
        <v>電子一孝</v>
      </c>
      <c r="H48" s="130" t="s">
        <v>88</v>
      </c>
      <c r="K48" s="290" t="s">
        <v>85</v>
      </c>
      <c r="L48" s="291"/>
      <c r="M48" s="162">
        <v>35</v>
      </c>
      <c r="N48" s="292">
        <v>35</v>
      </c>
      <c r="O48"/>
      <c r="P48" s="134"/>
      <c r="Q48"/>
      <c r="R48"/>
      <c r="S48"/>
    </row>
    <row r="49" spans="1:19">
      <c r="A49" t="s">
        <v>46</v>
      </c>
      <c r="B49">
        <v>10</v>
      </c>
      <c r="C49" s="55">
        <v>111210</v>
      </c>
      <c r="D49" t="s">
        <v>3863</v>
      </c>
      <c r="E49" t="s">
        <v>59</v>
      </c>
      <c r="F49"/>
      <c r="G49" s="130" t="str">
        <f t="shared" si="0"/>
        <v>電子一孝</v>
      </c>
      <c r="H49" s="130" t="s">
        <v>89</v>
      </c>
      <c r="K49" s="290" t="s">
        <v>86</v>
      </c>
      <c r="L49" s="291"/>
      <c r="M49" s="162">
        <v>37</v>
      </c>
      <c r="N49" s="292">
        <v>37</v>
      </c>
      <c r="O49"/>
      <c r="P49" s="134"/>
      <c r="Q49"/>
      <c r="R49"/>
      <c r="S49"/>
    </row>
    <row r="50" spans="1:19">
      <c r="A50" t="s">
        <v>46</v>
      </c>
      <c r="B50">
        <v>11</v>
      </c>
      <c r="C50" s="55">
        <v>111211</v>
      </c>
      <c r="D50" t="s">
        <v>3882</v>
      </c>
      <c r="E50" t="s">
        <v>59</v>
      </c>
      <c r="F50"/>
      <c r="G50" s="130" t="str">
        <f t="shared" si="0"/>
        <v>電子一孝</v>
      </c>
      <c r="H50" s="130" t="s">
        <v>90</v>
      </c>
      <c r="K50" s="290" t="s">
        <v>87</v>
      </c>
      <c r="L50" s="291"/>
      <c r="M50" s="162">
        <v>31</v>
      </c>
      <c r="N50" s="292">
        <v>31</v>
      </c>
      <c r="O50"/>
      <c r="P50" s="134"/>
      <c r="Q50"/>
      <c r="R50"/>
      <c r="S50"/>
    </row>
    <row r="51" spans="1:19">
      <c r="A51" t="s">
        <v>46</v>
      </c>
      <c r="B51">
        <v>12</v>
      </c>
      <c r="C51" s="55">
        <v>111212</v>
      </c>
      <c r="D51" t="s">
        <v>3919</v>
      </c>
      <c r="E51" t="s">
        <v>59</v>
      </c>
      <c r="F51"/>
      <c r="G51" s="130" t="str">
        <f t="shared" si="0"/>
        <v>電子一孝</v>
      </c>
      <c r="H51" s="130" t="s">
        <v>91</v>
      </c>
      <c r="K51" s="290" t="s">
        <v>88</v>
      </c>
      <c r="L51" s="291">
        <v>2</v>
      </c>
      <c r="M51" s="162">
        <v>32</v>
      </c>
      <c r="N51" s="292">
        <v>34</v>
      </c>
      <c r="O51"/>
      <c r="P51" s="134"/>
      <c r="Q51"/>
      <c r="R51"/>
      <c r="S51"/>
    </row>
    <row r="52" spans="1:19">
      <c r="A52" t="s">
        <v>46</v>
      </c>
      <c r="B52">
        <v>13</v>
      </c>
      <c r="C52" s="55">
        <v>111213</v>
      </c>
      <c r="D52" t="s">
        <v>3937</v>
      </c>
      <c r="E52" t="s">
        <v>59</v>
      </c>
      <c r="F52"/>
      <c r="G52" s="130" t="str">
        <f t="shared" si="0"/>
        <v>電子一孝</v>
      </c>
      <c r="H52" s="130" t="s">
        <v>92</v>
      </c>
      <c r="K52" s="290" t="s">
        <v>89</v>
      </c>
      <c r="L52" s="291">
        <v>3</v>
      </c>
      <c r="M52" s="162">
        <v>34</v>
      </c>
      <c r="N52" s="292">
        <v>37</v>
      </c>
      <c r="O52"/>
      <c r="P52" s="134"/>
      <c r="Q52"/>
      <c r="R52"/>
      <c r="S52"/>
    </row>
    <row r="53" spans="1:19">
      <c r="A53" t="s">
        <v>46</v>
      </c>
      <c r="B53">
        <v>14</v>
      </c>
      <c r="C53" s="55">
        <v>111214</v>
      </c>
      <c r="D53" t="s">
        <v>3955</v>
      </c>
      <c r="E53" t="s">
        <v>59</v>
      </c>
      <c r="F53"/>
      <c r="G53" s="130" t="str">
        <f t="shared" si="0"/>
        <v>電子一孝</v>
      </c>
      <c r="H53" s="130" t="s">
        <v>93</v>
      </c>
      <c r="K53" s="290" t="s">
        <v>90</v>
      </c>
      <c r="L53" s="291">
        <v>3</v>
      </c>
      <c r="M53" s="162">
        <v>34</v>
      </c>
      <c r="N53" s="292">
        <v>37</v>
      </c>
      <c r="O53"/>
      <c r="P53" s="134"/>
      <c r="Q53"/>
      <c r="R53"/>
      <c r="S53"/>
    </row>
    <row r="54" spans="1:19">
      <c r="A54" t="s">
        <v>46</v>
      </c>
      <c r="B54">
        <v>15</v>
      </c>
      <c r="C54" s="55">
        <v>111215</v>
      </c>
      <c r="D54" t="s">
        <v>3973</v>
      </c>
      <c r="E54" t="s">
        <v>59</v>
      </c>
      <c r="F54"/>
      <c r="G54" s="130" t="str">
        <f t="shared" si="0"/>
        <v>電子一孝</v>
      </c>
      <c r="H54" s="130" t="s">
        <v>94</v>
      </c>
      <c r="K54" s="290" t="s">
        <v>91</v>
      </c>
      <c r="L54" s="291">
        <v>2</v>
      </c>
      <c r="M54" s="162">
        <v>34</v>
      </c>
      <c r="N54" s="292">
        <v>36</v>
      </c>
      <c r="O54"/>
      <c r="P54" s="134"/>
      <c r="Q54"/>
      <c r="R54"/>
      <c r="S54"/>
    </row>
    <row r="55" spans="1:19">
      <c r="A55" t="s">
        <v>46</v>
      </c>
      <c r="B55">
        <v>16</v>
      </c>
      <c r="C55" s="55">
        <v>111216</v>
      </c>
      <c r="D55" t="s">
        <v>3990</v>
      </c>
      <c r="E55" t="s">
        <v>59</v>
      </c>
      <c r="F55"/>
      <c r="G55" s="130" t="str">
        <f t="shared" si="0"/>
        <v>電子一孝</v>
      </c>
      <c r="H55" s="130" t="s">
        <v>95</v>
      </c>
      <c r="K55" s="290" t="s">
        <v>92</v>
      </c>
      <c r="L55" s="291">
        <v>3</v>
      </c>
      <c r="M55" s="162">
        <v>27</v>
      </c>
      <c r="N55" s="292">
        <v>30</v>
      </c>
      <c r="O55"/>
      <c r="P55" s="134"/>
      <c r="Q55"/>
      <c r="R55"/>
      <c r="S55"/>
    </row>
    <row r="56" spans="1:19">
      <c r="A56" t="s">
        <v>46</v>
      </c>
      <c r="B56">
        <v>17</v>
      </c>
      <c r="C56" s="55">
        <v>111217</v>
      </c>
      <c r="D56" t="s">
        <v>3094</v>
      </c>
      <c r="E56" t="s">
        <v>59</v>
      </c>
      <c r="F56"/>
      <c r="G56" s="130" t="str">
        <f t="shared" si="0"/>
        <v>電子一孝</v>
      </c>
      <c r="H56" s="130" t="s">
        <v>117</v>
      </c>
      <c r="K56" s="290" t="s">
        <v>93</v>
      </c>
      <c r="L56" s="291">
        <v>4</v>
      </c>
      <c r="M56" s="162">
        <v>25</v>
      </c>
      <c r="N56" s="292">
        <v>29</v>
      </c>
      <c r="O56"/>
      <c r="P56" s="134"/>
      <c r="Q56"/>
      <c r="R56"/>
      <c r="S56"/>
    </row>
    <row r="57" spans="1:19">
      <c r="A57" t="s">
        <v>46</v>
      </c>
      <c r="B57">
        <v>18</v>
      </c>
      <c r="C57" s="55">
        <v>111218</v>
      </c>
      <c r="D57" t="s">
        <v>4022</v>
      </c>
      <c r="E57" t="s">
        <v>59</v>
      </c>
      <c r="F57"/>
      <c r="G57" s="130" t="str">
        <f t="shared" si="0"/>
        <v>電子一孝</v>
      </c>
      <c r="H57" s="130" t="s">
        <v>118</v>
      </c>
      <c r="K57" s="290" t="s">
        <v>94</v>
      </c>
      <c r="L57" s="291"/>
      <c r="M57" s="162">
        <v>31</v>
      </c>
      <c r="N57" s="292">
        <v>31</v>
      </c>
      <c r="O57"/>
      <c r="P57" s="134"/>
      <c r="Q57"/>
      <c r="R57"/>
      <c r="S57"/>
    </row>
    <row r="58" spans="1:19">
      <c r="A58" t="s">
        <v>46</v>
      </c>
      <c r="B58">
        <v>19</v>
      </c>
      <c r="C58" s="55">
        <v>111219</v>
      </c>
      <c r="D58" t="s">
        <v>4039</v>
      </c>
      <c r="E58" t="s">
        <v>60</v>
      </c>
      <c r="F58"/>
      <c r="G58" s="130" t="str">
        <f t="shared" si="0"/>
        <v>電子一孝</v>
      </c>
      <c r="H58" s="130" t="s">
        <v>3392</v>
      </c>
      <c r="K58" s="290" t="s">
        <v>95</v>
      </c>
      <c r="L58" s="291">
        <v>3</v>
      </c>
      <c r="M58" s="162">
        <v>28</v>
      </c>
      <c r="N58" s="292">
        <v>31</v>
      </c>
      <c r="O58"/>
      <c r="P58" s="134"/>
      <c r="Q58"/>
      <c r="R58"/>
      <c r="S58"/>
    </row>
    <row r="59" spans="1:19">
      <c r="A59" t="s">
        <v>46</v>
      </c>
      <c r="B59">
        <v>20</v>
      </c>
      <c r="C59" s="55">
        <v>111220</v>
      </c>
      <c r="D59" t="s">
        <v>4055</v>
      </c>
      <c r="E59" t="s">
        <v>59</v>
      </c>
      <c r="F59"/>
      <c r="G59" s="130" t="str">
        <f t="shared" si="0"/>
        <v>電子一孝</v>
      </c>
      <c r="H59" s="130" t="s">
        <v>97</v>
      </c>
      <c r="K59" s="290" t="s">
        <v>2737</v>
      </c>
      <c r="L59" s="291">
        <v>20</v>
      </c>
      <c r="M59" s="162">
        <v>12</v>
      </c>
      <c r="N59" s="292">
        <v>32</v>
      </c>
      <c r="O59"/>
      <c r="P59" s="134"/>
      <c r="Q59"/>
      <c r="R59"/>
      <c r="S59"/>
    </row>
    <row r="60" spans="1:19">
      <c r="A60" t="s">
        <v>46</v>
      </c>
      <c r="B60">
        <v>21</v>
      </c>
      <c r="C60" s="55">
        <v>111221</v>
      </c>
      <c r="D60" t="s">
        <v>4069</v>
      </c>
      <c r="E60" t="s">
        <v>60</v>
      </c>
      <c r="F60"/>
      <c r="G60" s="130" t="str">
        <f t="shared" si="0"/>
        <v>電子一孝</v>
      </c>
      <c r="K60" s="290" t="s">
        <v>2738</v>
      </c>
      <c r="L60" s="291">
        <v>18</v>
      </c>
      <c r="M60" s="162">
        <v>11</v>
      </c>
      <c r="N60" s="292">
        <v>29</v>
      </c>
      <c r="O60"/>
      <c r="P60" s="134"/>
      <c r="Q60"/>
      <c r="R60"/>
      <c r="S60"/>
    </row>
    <row r="61" spans="1:19">
      <c r="A61" t="s">
        <v>46</v>
      </c>
      <c r="B61">
        <v>22</v>
      </c>
      <c r="C61" s="55">
        <v>111222</v>
      </c>
      <c r="D61" t="s">
        <v>4085</v>
      </c>
      <c r="E61" t="s">
        <v>59</v>
      </c>
      <c r="F61"/>
      <c r="G61" s="130" t="str">
        <f t="shared" si="0"/>
        <v>電子一孝</v>
      </c>
      <c r="K61" s="290" t="s">
        <v>2739</v>
      </c>
      <c r="L61" s="291">
        <v>3</v>
      </c>
      <c r="M61" s="162">
        <v>10</v>
      </c>
      <c r="N61" s="292">
        <v>13</v>
      </c>
      <c r="O61"/>
      <c r="P61" s="134"/>
      <c r="Q61"/>
      <c r="R61"/>
      <c r="S61"/>
    </row>
    <row r="62" spans="1:19">
      <c r="A62" t="s">
        <v>46</v>
      </c>
      <c r="B62">
        <v>23</v>
      </c>
      <c r="C62" s="55">
        <v>111223</v>
      </c>
      <c r="D62" t="s">
        <v>4100</v>
      </c>
      <c r="E62" t="s">
        <v>59</v>
      </c>
      <c r="F62"/>
      <c r="G62" s="130" t="str">
        <f t="shared" si="0"/>
        <v>電子一孝</v>
      </c>
      <c r="K62" s="290" t="s">
        <v>97</v>
      </c>
      <c r="L62" s="291">
        <v>5</v>
      </c>
      <c r="M62" s="162">
        <v>20</v>
      </c>
      <c r="N62" s="292">
        <v>25</v>
      </c>
      <c r="O62"/>
      <c r="P62" s="155"/>
      <c r="Q62"/>
      <c r="R62"/>
      <c r="S62"/>
    </row>
    <row r="63" spans="1:19">
      <c r="A63" t="s">
        <v>46</v>
      </c>
      <c r="B63">
        <v>24</v>
      </c>
      <c r="C63" s="55">
        <v>111224</v>
      </c>
      <c r="D63" t="s">
        <v>4115</v>
      </c>
      <c r="E63" t="s">
        <v>59</v>
      </c>
      <c r="F63"/>
      <c r="G63" s="130" t="str">
        <f t="shared" si="0"/>
        <v>電子一孝</v>
      </c>
      <c r="K63" s="293" t="s">
        <v>113</v>
      </c>
      <c r="L63" s="294">
        <v>252</v>
      </c>
      <c r="M63" s="295">
        <v>1609</v>
      </c>
      <c r="N63" s="296">
        <v>1861</v>
      </c>
      <c r="O63"/>
      <c r="P63" s="134"/>
      <c r="Q63"/>
      <c r="R63"/>
      <c r="S63"/>
    </row>
    <row r="64" spans="1:19">
      <c r="A64" t="s">
        <v>46</v>
      </c>
      <c r="B64">
        <v>25</v>
      </c>
      <c r="C64" s="55">
        <v>111225</v>
      </c>
      <c r="D64" t="s">
        <v>4132</v>
      </c>
      <c r="E64" t="s">
        <v>59</v>
      </c>
      <c r="F64"/>
      <c r="G64" s="130" t="str">
        <f t="shared" si="0"/>
        <v>電子一孝</v>
      </c>
      <c r="K64"/>
      <c r="L64"/>
      <c r="M64"/>
      <c r="N64"/>
      <c r="O64"/>
      <c r="P64" s="134"/>
      <c r="Q64"/>
      <c r="R64"/>
      <c r="S64"/>
    </row>
    <row r="65" spans="1:19">
      <c r="A65" t="s">
        <v>46</v>
      </c>
      <c r="B65">
        <v>26</v>
      </c>
      <c r="C65" s="55">
        <v>111226</v>
      </c>
      <c r="D65" t="s">
        <v>4148</v>
      </c>
      <c r="E65" t="s">
        <v>59</v>
      </c>
      <c r="F65"/>
      <c r="G65" s="130" t="str">
        <f t="shared" si="0"/>
        <v>電子一孝</v>
      </c>
      <c r="Q65"/>
      <c r="R65"/>
      <c r="S65"/>
    </row>
    <row r="66" spans="1:19">
      <c r="A66" t="s">
        <v>46</v>
      </c>
      <c r="B66">
        <v>27</v>
      </c>
      <c r="C66" s="55">
        <v>111227</v>
      </c>
      <c r="D66" t="s">
        <v>4165</v>
      </c>
      <c r="E66" t="s">
        <v>60</v>
      </c>
      <c r="F66"/>
      <c r="G66" s="130" t="str">
        <f t="shared" si="0"/>
        <v>電子一孝</v>
      </c>
      <c r="Q66"/>
      <c r="R66"/>
      <c r="S66"/>
    </row>
    <row r="67" spans="1:19">
      <c r="A67" t="s">
        <v>46</v>
      </c>
      <c r="B67">
        <v>28</v>
      </c>
      <c r="C67" s="55">
        <v>111228</v>
      </c>
      <c r="D67" t="s">
        <v>4182</v>
      </c>
      <c r="E67" t="s">
        <v>59</v>
      </c>
      <c r="F67"/>
      <c r="G67" s="130" t="str">
        <f t="shared" ref="G67:G130" si="1">A67&amp;F67</f>
        <v>電子一孝</v>
      </c>
      <c r="Q67"/>
      <c r="R67"/>
      <c r="S67"/>
    </row>
    <row r="68" spans="1:19">
      <c r="A68" t="s">
        <v>46</v>
      </c>
      <c r="B68">
        <v>29</v>
      </c>
      <c r="C68" s="55">
        <v>111229</v>
      </c>
      <c r="D68" t="s">
        <v>4199</v>
      </c>
      <c r="E68" t="s">
        <v>59</v>
      </c>
      <c r="F68"/>
      <c r="G68" s="130" t="str">
        <f t="shared" si="1"/>
        <v>電子一孝</v>
      </c>
      <c r="Q68"/>
      <c r="R68"/>
      <c r="S68"/>
    </row>
    <row r="69" spans="1:19">
      <c r="A69" t="s">
        <v>46</v>
      </c>
      <c r="B69">
        <v>30</v>
      </c>
      <c r="C69" s="55">
        <v>111230</v>
      </c>
      <c r="D69" t="s">
        <v>4216</v>
      </c>
      <c r="E69" t="s">
        <v>59</v>
      </c>
      <c r="F69"/>
      <c r="G69" s="130" t="str">
        <f t="shared" si="1"/>
        <v>電子一孝</v>
      </c>
      <c r="Q69"/>
      <c r="R69"/>
      <c r="S69"/>
    </row>
    <row r="70" spans="1:19">
      <c r="A70" t="s">
        <v>46</v>
      </c>
      <c r="B70">
        <v>31</v>
      </c>
      <c r="C70" s="55">
        <v>111231</v>
      </c>
      <c r="D70" t="s">
        <v>4233</v>
      </c>
      <c r="E70" t="s">
        <v>60</v>
      </c>
      <c r="F70"/>
      <c r="G70" s="130" t="str">
        <f t="shared" si="1"/>
        <v>電子一孝</v>
      </c>
      <c r="Q70"/>
      <c r="R70"/>
      <c r="S70"/>
    </row>
    <row r="71" spans="1:19">
      <c r="A71" t="s">
        <v>46</v>
      </c>
      <c r="B71">
        <v>32</v>
      </c>
      <c r="C71" s="55">
        <v>111232</v>
      </c>
      <c r="D71" t="s">
        <v>4250</v>
      </c>
      <c r="E71" t="s">
        <v>59</v>
      </c>
      <c r="F71"/>
      <c r="G71" s="130" t="str">
        <f t="shared" si="1"/>
        <v>電子一孝</v>
      </c>
      <c r="Q71"/>
      <c r="R71"/>
      <c r="S71"/>
    </row>
    <row r="72" spans="1:19">
      <c r="A72" t="s">
        <v>46</v>
      </c>
      <c r="B72">
        <v>33</v>
      </c>
      <c r="C72" s="55">
        <v>111233</v>
      </c>
      <c r="D72" t="s">
        <v>4265</v>
      </c>
      <c r="E72" t="s">
        <v>59</v>
      </c>
      <c r="F72"/>
      <c r="G72" s="130" t="str">
        <f t="shared" si="1"/>
        <v>電子一孝</v>
      </c>
      <c r="Q72"/>
      <c r="R72"/>
      <c r="S72"/>
    </row>
    <row r="73" spans="1:19">
      <c r="A73" t="s">
        <v>46</v>
      </c>
      <c r="B73">
        <v>34</v>
      </c>
      <c r="C73" s="55">
        <v>111234</v>
      </c>
      <c r="D73" t="s">
        <v>4279</v>
      </c>
      <c r="E73" t="s">
        <v>59</v>
      </c>
      <c r="F73"/>
      <c r="G73" s="130" t="str">
        <f t="shared" si="1"/>
        <v>電子一孝</v>
      </c>
      <c r="Q73"/>
      <c r="R73"/>
      <c r="S73"/>
    </row>
    <row r="74" spans="1:19">
      <c r="A74" t="s">
        <v>46</v>
      </c>
      <c r="B74">
        <v>35</v>
      </c>
      <c r="C74" s="55">
        <v>111235</v>
      </c>
      <c r="D74" t="s">
        <v>4293</v>
      </c>
      <c r="E74" t="s">
        <v>59</v>
      </c>
      <c r="F74"/>
      <c r="G74" s="130" t="str">
        <f t="shared" si="1"/>
        <v>電子一孝</v>
      </c>
      <c r="Q74"/>
      <c r="R74"/>
      <c r="S74"/>
    </row>
    <row r="75" spans="1:19">
      <c r="A75" t="s">
        <v>46</v>
      </c>
      <c r="B75">
        <v>36</v>
      </c>
      <c r="C75" s="55">
        <v>111236</v>
      </c>
      <c r="D75" t="s">
        <v>4308</v>
      </c>
      <c r="E75" t="s">
        <v>59</v>
      </c>
      <c r="F75"/>
      <c r="G75" s="130" t="str">
        <f t="shared" si="1"/>
        <v>電子一孝</v>
      </c>
      <c r="Q75"/>
      <c r="R75"/>
      <c r="S75"/>
    </row>
    <row r="76" spans="1:19">
      <c r="A76" t="s">
        <v>46</v>
      </c>
      <c r="B76">
        <v>37</v>
      </c>
      <c r="C76" s="55" t="s">
        <v>3666</v>
      </c>
      <c r="D76" t="s">
        <v>3093</v>
      </c>
      <c r="E76" t="s">
        <v>59</v>
      </c>
      <c r="F76"/>
      <c r="G76" s="130" t="str">
        <f t="shared" si="1"/>
        <v>電子一孝</v>
      </c>
      <c r="Q76"/>
      <c r="R76"/>
      <c r="S76"/>
    </row>
    <row r="77" spans="1:19">
      <c r="A77" t="s">
        <v>47</v>
      </c>
      <c r="B77">
        <v>1</v>
      </c>
      <c r="C77" s="55">
        <v>111301</v>
      </c>
      <c r="D77" t="s">
        <v>3702</v>
      </c>
      <c r="E77" t="s">
        <v>59</v>
      </c>
      <c r="F77"/>
      <c r="G77" s="130" t="str">
        <f t="shared" si="1"/>
        <v>電子一仁</v>
      </c>
      <c r="Q77"/>
      <c r="R77"/>
      <c r="S77"/>
    </row>
    <row r="78" spans="1:19">
      <c r="A78" t="s">
        <v>47</v>
      </c>
      <c r="B78">
        <v>2</v>
      </c>
      <c r="C78" s="55">
        <v>111302</v>
      </c>
      <c r="D78" t="s">
        <v>3721</v>
      </c>
      <c r="E78" t="s">
        <v>59</v>
      </c>
      <c r="F78"/>
      <c r="G78" s="130" t="str">
        <f t="shared" si="1"/>
        <v>電子一仁</v>
      </c>
      <c r="Q78"/>
      <c r="R78"/>
      <c r="S78"/>
    </row>
    <row r="79" spans="1:19">
      <c r="A79" t="s">
        <v>47</v>
      </c>
      <c r="B79">
        <v>3</v>
      </c>
      <c r="C79" s="55">
        <v>111303</v>
      </c>
      <c r="D79" t="s">
        <v>3739</v>
      </c>
      <c r="E79" t="s">
        <v>59</v>
      </c>
      <c r="F79"/>
      <c r="G79" s="130" t="str">
        <f t="shared" si="1"/>
        <v>電子一仁</v>
      </c>
      <c r="Q79"/>
      <c r="R79"/>
      <c r="S79"/>
    </row>
    <row r="80" spans="1:19">
      <c r="A80" t="s">
        <v>47</v>
      </c>
      <c r="B80">
        <v>4</v>
      </c>
      <c r="C80" s="55">
        <v>111304</v>
      </c>
      <c r="D80" t="s">
        <v>3758</v>
      </c>
      <c r="E80" t="s">
        <v>59</v>
      </c>
      <c r="F80"/>
      <c r="G80" s="130" t="str">
        <f t="shared" si="1"/>
        <v>電子一仁</v>
      </c>
      <c r="Q80"/>
      <c r="R80"/>
      <c r="S80"/>
    </row>
    <row r="81" spans="1:19">
      <c r="A81" t="s">
        <v>47</v>
      </c>
      <c r="B81">
        <v>5</v>
      </c>
      <c r="C81" s="55">
        <v>111305</v>
      </c>
      <c r="D81" t="s">
        <v>1390</v>
      </c>
      <c r="E81" t="s">
        <v>59</v>
      </c>
      <c r="F81"/>
      <c r="G81" s="130" t="str">
        <f t="shared" si="1"/>
        <v>電子一仁</v>
      </c>
      <c r="Q81"/>
      <c r="R81"/>
      <c r="S81"/>
    </row>
    <row r="82" spans="1:19">
      <c r="A82" t="s">
        <v>47</v>
      </c>
      <c r="B82">
        <v>6</v>
      </c>
      <c r="C82" s="55">
        <v>111306</v>
      </c>
      <c r="D82" t="s">
        <v>3793</v>
      </c>
      <c r="E82" t="s">
        <v>59</v>
      </c>
      <c r="F82"/>
      <c r="G82" s="130" t="str">
        <f t="shared" si="1"/>
        <v>電子一仁</v>
      </c>
      <c r="Q82"/>
      <c r="R82"/>
      <c r="S82"/>
    </row>
    <row r="83" spans="1:19">
      <c r="A83" t="s">
        <v>47</v>
      </c>
      <c r="B83">
        <v>7</v>
      </c>
      <c r="C83" s="55">
        <v>111307</v>
      </c>
      <c r="D83" t="s">
        <v>3811</v>
      </c>
      <c r="E83" t="s">
        <v>59</v>
      </c>
      <c r="F83"/>
      <c r="G83" s="130" t="str">
        <f t="shared" si="1"/>
        <v>電子一仁</v>
      </c>
      <c r="Q83"/>
      <c r="R83"/>
      <c r="S83"/>
    </row>
    <row r="84" spans="1:19">
      <c r="A84" t="s">
        <v>47</v>
      </c>
      <c r="B84">
        <v>8</v>
      </c>
      <c r="C84" s="55">
        <v>111308</v>
      </c>
      <c r="D84" t="s">
        <v>3828</v>
      </c>
      <c r="E84" t="s">
        <v>60</v>
      </c>
      <c r="F84"/>
      <c r="G84" s="130" t="str">
        <f t="shared" si="1"/>
        <v>電子一仁</v>
      </c>
      <c r="Q84"/>
      <c r="R84"/>
      <c r="S84"/>
    </row>
    <row r="85" spans="1:19">
      <c r="A85" t="s">
        <v>47</v>
      </c>
      <c r="B85">
        <v>9</v>
      </c>
      <c r="C85" s="55">
        <v>111309</v>
      </c>
      <c r="D85" t="s">
        <v>3846</v>
      </c>
      <c r="E85" t="s">
        <v>60</v>
      </c>
      <c r="F85"/>
      <c r="G85" s="130" t="str">
        <f t="shared" si="1"/>
        <v>電子一仁</v>
      </c>
      <c r="Q85"/>
      <c r="R85"/>
      <c r="S85"/>
    </row>
    <row r="86" spans="1:19">
      <c r="A86" t="s">
        <v>47</v>
      </c>
      <c r="B86">
        <v>10</v>
      </c>
      <c r="C86" s="55">
        <v>111310</v>
      </c>
      <c r="D86" t="s">
        <v>3864</v>
      </c>
      <c r="E86" t="s">
        <v>59</v>
      </c>
      <c r="F86"/>
      <c r="G86" s="130" t="str">
        <f t="shared" si="1"/>
        <v>電子一仁</v>
      </c>
      <c r="Q86"/>
      <c r="R86"/>
      <c r="S86"/>
    </row>
    <row r="87" spans="1:19">
      <c r="A87" t="s">
        <v>47</v>
      </c>
      <c r="B87">
        <v>11</v>
      </c>
      <c r="C87" s="55">
        <v>111311</v>
      </c>
      <c r="D87" t="s">
        <v>3883</v>
      </c>
      <c r="E87" t="s">
        <v>59</v>
      </c>
      <c r="F87"/>
      <c r="G87" s="130" t="str">
        <f t="shared" si="1"/>
        <v>電子一仁</v>
      </c>
      <c r="Q87"/>
      <c r="R87"/>
      <c r="S87"/>
    </row>
    <row r="88" spans="1:19">
      <c r="A88" t="s">
        <v>47</v>
      </c>
      <c r="B88">
        <v>12</v>
      </c>
      <c r="C88" s="55">
        <v>111312</v>
      </c>
      <c r="D88" t="s">
        <v>3902</v>
      </c>
      <c r="E88" t="s">
        <v>59</v>
      </c>
      <c r="F88"/>
      <c r="G88" s="130" t="str">
        <f t="shared" si="1"/>
        <v>電子一仁</v>
      </c>
      <c r="Q88"/>
      <c r="R88"/>
      <c r="S88"/>
    </row>
    <row r="89" spans="1:19">
      <c r="A89" t="s">
        <v>47</v>
      </c>
      <c r="B89">
        <v>13</v>
      </c>
      <c r="C89" s="55">
        <v>111313</v>
      </c>
      <c r="D89" t="s">
        <v>3920</v>
      </c>
      <c r="E89" t="s">
        <v>59</v>
      </c>
      <c r="F89"/>
      <c r="G89" s="130" t="str">
        <f t="shared" si="1"/>
        <v>電子一仁</v>
      </c>
      <c r="Q89"/>
      <c r="R89"/>
      <c r="S89"/>
    </row>
    <row r="90" spans="1:19">
      <c r="A90" t="s">
        <v>47</v>
      </c>
      <c r="B90">
        <v>14</v>
      </c>
      <c r="C90" s="55">
        <v>111314</v>
      </c>
      <c r="D90" t="s">
        <v>3938</v>
      </c>
      <c r="E90" t="s">
        <v>59</v>
      </c>
      <c r="F90"/>
      <c r="G90" s="130" t="str">
        <f t="shared" si="1"/>
        <v>電子一仁</v>
      </c>
      <c r="Q90"/>
      <c r="R90"/>
      <c r="S90"/>
    </row>
    <row r="91" spans="1:19">
      <c r="A91" t="s">
        <v>47</v>
      </c>
      <c r="B91">
        <v>15</v>
      </c>
      <c r="C91" s="55">
        <v>111315</v>
      </c>
      <c r="D91" t="s">
        <v>3956</v>
      </c>
      <c r="E91" t="s">
        <v>59</v>
      </c>
      <c r="F91"/>
      <c r="G91" s="130" t="str">
        <f t="shared" si="1"/>
        <v>電子一仁</v>
      </c>
      <c r="Q91"/>
      <c r="R91"/>
      <c r="S91"/>
    </row>
    <row r="92" spans="1:19">
      <c r="A92" t="s">
        <v>47</v>
      </c>
      <c r="B92">
        <v>16</v>
      </c>
      <c r="C92" s="55">
        <v>111316</v>
      </c>
      <c r="D92" t="s">
        <v>3974</v>
      </c>
      <c r="E92" t="s">
        <v>59</v>
      </c>
      <c r="F92"/>
      <c r="G92" s="130" t="str">
        <f t="shared" si="1"/>
        <v>電子一仁</v>
      </c>
      <c r="Q92"/>
      <c r="R92"/>
      <c r="S92"/>
    </row>
    <row r="93" spans="1:19">
      <c r="A93" t="s">
        <v>47</v>
      </c>
      <c r="B93">
        <v>17</v>
      </c>
      <c r="C93" s="55">
        <v>111317</v>
      </c>
      <c r="D93" t="s">
        <v>3991</v>
      </c>
      <c r="E93" t="s">
        <v>59</v>
      </c>
      <c r="F93"/>
      <c r="G93" s="130" t="str">
        <f t="shared" si="1"/>
        <v>電子一仁</v>
      </c>
      <c r="Q93"/>
      <c r="R93"/>
      <c r="S93"/>
    </row>
    <row r="94" spans="1:19">
      <c r="A94" t="s">
        <v>47</v>
      </c>
      <c r="B94">
        <v>18</v>
      </c>
      <c r="C94" s="55">
        <v>111318</v>
      </c>
      <c r="D94" t="s">
        <v>4071</v>
      </c>
      <c r="E94" t="s">
        <v>59</v>
      </c>
      <c r="F94"/>
      <c r="G94" s="130" t="str">
        <f t="shared" si="1"/>
        <v>電子一仁</v>
      </c>
      <c r="Q94"/>
      <c r="R94"/>
      <c r="S94"/>
    </row>
    <row r="95" spans="1:19">
      <c r="A95" t="s">
        <v>47</v>
      </c>
      <c r="B95">
        <v>19</v>
      </c>
      <c r="C95" s="55">
        <v>111319</v>
      </c>
      <c r="D95" t="s">
        <v>4023</v>
      </c>
      <c r="E95" t="s">
        <v>59</v>
      </c>
      <c r="F95"/>
      <c r="G95" s="130" t="str">
        <f t="shared" si="1"/>
        <v>電子一仁</v>
      </c>
      <c r="Q95"/>
      <c r="R95"/>
      <c r="S95"/>
    </row>
    <row r="96" spans="1:19">
      <c r="A96" t="s">
        <v>47</v>
      </c>
      <c r="B96">
        <v>20</v>
      </c>
      <c r="C96" s="55">
        <v>111320</v>
      </c>
      <c r="D96" t="s">
        <v>4040</v>
      </c>
      <c r="E96" t="s">
        <v>60</v>
      </c>
      <c r="F96"/>
      <c r="G96" s="130" t="str">
        <f t="shared" si="1"/>
        <v>電子一仁</v>
      </c>
      <c r="Q96"/>
      <c r="R96"/>
      <c r="S96"/>
    </row>
    <row r="97" spans="1:19">
      <c r="A97" t="s">
        <v>47</v>
      </c>
      <c r="B97">
        <v>21</v>
      </c>
      <c r="C97" s="55">
        <v>111321</v>
      </c>
      <c r="D97" t="s">
        <v>4056</v>
      </c>
      <c r="E97" t="s">
        <v>60</v>
      </c>
      <c r="F97"/>
      <c r="G97" s="130" t="str">
        <f t="shared" si="1"/>
        <v>電子一仁</v>
      </c>
      <c r="Q97"/>
      <c r="R97"/>
      <c r="S97"/>
    </row>
    <row r="98" spans="1:19">
      <c r="A98" t="s">
        <v>47</v>
      </c>
      <c r="B98">
        <v>22</v>
      </c>
      <c r="C98" s="55">
        <v>111322</v>
      </c>
      <c r="D98" t="s">
        <v>4070</v>
      </c>
      <c r="E98" t="s">
        <v>59</v>
      </c>
      <c r="F98"/>
      <c r="G98" s="130" t="str">
        <f t="shared" si="1"/>
        <v>電子一仁</v>
      </c>
      <c r="Q98"/>
      <c r="R98"/>
      <c r="S98"/>
    </row>
    <row r="99" spans="1:19">
      <c r="A99" t="s">
        <v>47</v>
      </c>
      <c r="B99">
        <v>23</v>
      </c>
      <c r="C99" s="55">
        <v>111323</v>
      </c>
      <c r="D99" t="s">
        <v>4086</v>
      </c>
      <c r="E99" t="s">
        <v>59</v>
      </c>
      <c r="F99"/>
      <c r="G99" s="130" t="str">
        <f t="shared" si="1"/>
        <v>電子一仁</v>
      </c>
      <c r="Q99"/>
      <c r="R99"/>
      <c r="S99"/>
    </row>
    <row r="100" spans="1:19">
      <c r="A100" t="s">
        <v>47</v>
      </c>
      <c r="B100">
        <v>24</v>
      </c>
      <c r="C100" s="55">
        <v>111324</v>
      </c>
      <c r="D100" t="s">
        <v>4101</v>
      </c>
      <c r="E100" t="s">
        <v>59</v>
      </c>
      <c r="F100"/>
      <c r="G100" s="130" t="str">
        <f t="shared" si="1"/>
        <v>電子一仁</v>
      </c>
      <c r="Q100"/>
      <c r="R100"/>
      <c r="S100"/>
    </row>
    <row r="101" spans="1:19">
      <c r="A101" t="s">
        <v>47</v>
      </c>
      <c r="B101">
        <v>25</v>
      </c>
      <c r="C101" s="55">
        <v>111325</v>
      </c>
      <c r="D101" t="s">
        <v>4116</v>
      </c>
      <c r="E101" t="s">
        <v>60</v>
      </c>
      <c r="F101"/>
      <c r="G101" s="130" t="str">
        <f t="shared" si="1"/>
        <v>電子一仁</v>
      </c>
      <c r="Q101"/>
      <c r="R101"/>
      <c r="S101"/>
    </row>
    <row r="102" spans="1:19">
      <c r="A102" t="s">
        <v>47</v>
      </c>
      <c r="B102">
        <v>26</v>
      </c>
      <c r="C102" s="55">
        <v>111326</v>
      </c>
      <c r="D102" t="s">
        <v>4133</v>
      </c>
      <c r="E102" t="s">
        <v>59</v>
      </c>
      <c r="F102"/>
      <c r="G102" s="130" t="str">
        <f t="shared" si="1"/>
        <v>電子一仁</v>
      </c>
      <c r="Q102"/>
      <c r="R102"/>
      <c r="S102"/>
    </row>
    <row r="103" spans="1:19">
      <c r="A103" t="s">
        <v>47</v>
      </c>
      <c r="B103">
        <v>27</v>
      </c>
      <c r="C103" s="55">
        <v>111327</v>
      </c>
      <c r="D103" t="s">
        <v>4149</v>
      </c>
      <c r="E103" t="s">
        <v>59</v>
      </c>
      <c r="F103"/>
      <c r="G103" s="130" t="str">
        <f t="shared" si="1"/>
        <v>電子一仁</v>
      </c>
      <c r="Q103"/>
      <c r="R103"/>
      <c r="S103"/>
    </row>
    <row r="104" spans="1:19">
      <c r="A104" t="s">
        <v>47</v>
      </c>
      <c r="B104">
        <v>28</v>
      </c>
      <c r="C104" s="55">
        <v>111328</v>
      </c>
      <c r="D104" t="s">
        <v>4166</v>
      </c>
      <c r="E104" t="s">
        <v>59</v>
      </c>
      <c r="F104"/>
      <c r="G104" s="130" t="str">
        <f t="shared" si="1"/>
        <v>電子一仁</v>
      </c>
      <c r="Q104"/>
      <c r="R104"/>
      <c r="S104"/>
    </row>
    <row r="105" spans="1:19">
      <c r="A105" t="s">
        <v>47</v>
      </c>
      <c r="B105">
        <v>29</v>
      </c>
      <c r="C105" s="55">
        <v>111329</v>
      </c>
      <c r="D105" t="s">
        <v>4183</v>
      </c>
      <c r="E105" t="s">
        <v>59</v>
      </c>
      <c r="F105"/>
      <c r="G105" s="130" t="str">
        <f t="shared" si="1"/>
        <v>電子一仁</v>
      </c>
      <c r="Q105"/>
      <c r="R105"/>
      <c r="S105"/>
    </row>
    <row r="106" spans="1:19">
      <c r="A106" t="s">
        <v>47</v>
      </c>
      <c r="B106">
        <v>30</v>
      </c>
      <c r="C106" s="55">
        <v>111330</v>
      </c>
      <c r="D106" t="s">
        <v>4200</v>
      </c>
      <c r="E106" t="s">
        <v>59</v>
      </c>
      <c r="F106"/>
      <c r="G106" s="130" t="str">
        <f t="shared" si="1"/>
        <v>電子一仁</v>
      </c>
      <c r="Q106"/>
      <c r="R106"/>
      <c r="S106"/>
    </row>
    <row r="107" spans="1:19">
      <c r="A107" t="s">
        <v>47</v>
      </c>
      <c r="B107">
        <v>31</v>
      </c>
      <c r="C107" s="55">
        <v>111331</v>
      </c>
      <c r="D107" t="s">
        <v>4217</v>
      </c>
      <c r="E107" t="s">
        <v>59</v>
      </c>
      <c r="F107"/>
      <c r="G107" s="130" t="str">
        <f t="shared" si="1"/>
        <v>電子一仁</v>
      </c>
      <c r="Q107"/>
      <c r="R107"/>
      <c r="S107"/>
    </row>
    <row r="108" spans="1:19">
      <c r="A108" t="s">
        <v>47</v>
      </c>
      <c r="B108">
        <v>32</v>
      </c>
      <c r="C108" s="55">
        <v>111332</v>
      </c>
      <c r="D108" t="s">
        <v>4234</v>
      </c>
      <c r="E108" t="s">
        <v>59</v>
      </c>
      <c r="F108"/>
      <c r="G108" s="130" t="str">
        <f t="shared" si="1"/>
        <v>電子一仁</v>
      </c>
      <c r="Q108"/>
      <c r="R108"/>
      <c r="S108"/>
    </row>
    <row r="109" spans="1:19">
      <c r="A109" t="s">
        <v>47</v>
      </c>
      <c r="B109">
        <v>33</v>
      </c>
      <c r="C109" s="55">
        <v>111333</v>
      </c>
      <c r="D109" t="s">
        <v>4251</v>
      </c>
      <c r="E109" t="s">
        <v>59</v>
      </c>
      <c r="F109"/>
      <c r="G109" s="130" t="str">
        <f t="shared" si="1"/>
        <v>電子一仁</v>
      </c>
      <c r="Q109"/>
      <c r="R109"/>
      <c r="S109"/>
    </row>
    <row r="110" spans="1:19">
      <c r="A110" t="s">
        <v>47</v>
      </c>
      <c r="B110">
        <v>34</v>
      </c>
      <c r="C110" s="55">
        <v>111334</v>
      </c>
      <c r="D110" t="s">
        <v>4266</v>
      </c>
      <c r="E110" t="s">
        <v>59</v>
      </c>
      <c r="F110"/>
      <c r="G110" s="130" t="str">
        <f t="shared" si="1"/>
        <v>電子一仁</v>
      </c>
      <c r="Q110"/>
      <c r="R110"/>
      <c r="S110"/>
    </row>
    <row r="111" spans="1:19">
      <c r="A111" t="s">
        <v>47</v>
      </c>
      <c r="B111">
        <v>35</v>
      </c>
      <c r="C111" s="55">
        <v>111335</v>
      </c>
      <c r="D111" t="s">
        <v>4280</v>
      </c>
      <c r="E111" t="s">
        <v>59</v>
      </c>
      <c r="F111"/>
      <c r="G111" s="130" t="str">
        <f t="shared" si="1"/>
        <v>電子一仁</v>
      </c>
      <c r="Q111"/>
      <c r="R111"/>
      <c r="S111"/>
    </row>
    <row r="112" spans="1:19">
      <c r="A112" t="s">
        <v>47</v>
      </c>
      <c r="B112">
        <v>36</v>
      </c>
      <c r="C112" s="55">
        <v>111336</v>
      </c>
      <c r="D112" t="s">
        <v>4294</v>
      </c>
      <c r="E112" t="s">
        <v>59</v>
      </c>
      <c r="F112"/>
      <c r="G112" s="130" t="str">
        <f t="shared" si="1"/>
        <v>電子一仁</v>
      </c>
      <c r="Q112"/>
      <c r="R112"/>
      <c r="S112"/>
    </row>
    <row r="113" spans="1:19">
      <c r="A113" t="s">
        <v>47</v>
      </c>
      <c r="B113">
        <v>37</v>
      </c>
      <c r="C113" s="55" t="s">
        <v>2165</v>
      </c>
      <c r="D113" t="s">
        <v>2166</v>
      </c>
      <c r="E113" t="s">
        <v>59</v>
      </c>
      <c r="F113"/>
      <c r="G113" s="130" t="str">
        <f t="shared" si="1"/>
        <v>電子一仁</v>
      </c>
      <c r="Q113"/>
      <c r="R113"/>
      <c r="S113"/>
    </row>
    <row r="114" spans="1:19">
      <c r="A114" t="s">
        <v>48</v>
      </c>
      <c r="B114">
        <v>1</v>
      </c>
      <c r="C114" s="55">
        <v>111401</v>
      </c>
      <c r="D114" t="s">
        <v>3703</v>
      </c>
      <c r="E114" t="s">
        <v>59</v>
      </c>
      <c r="F114"/>
      <c r="G114" s="130" t="str">
        <f t="shared" si="1"/>
        <v>電子一愛</v>
      </c>
      <c r="Q114"/>
      <c r="R114"/>
      <c r="S114"/>
    </row>
    <row r="115" spans="1:19">
      <c r="A115" t="s">
        <v>48</v>
      </c>
      <c r="B115">
        <v>2</v>
      </c>
      <c r="C115" s="55">
        <v>111402</v>
      </c>
      <c r="D115" t="s">
        <v>3722</v>
      </c>
      <c r="E115" t="s">
        <v>60</v>
      </c>
      <c r="F115"/>
      <c r="G115" s="130" t="str">
        <f t="shared" si="1"/>
        <v>電子一愛</v>
      </c>
      <c r="Q115"/>
      <c r="R115"/>
      <c r="S115"/>
    </row>
    <row r="116" spans="1:19">
      <c r="A116" t="s">
        <v>48</v>
      </c>
      <c r="B116">
        <v>3</v>
      </c>
      <c r="C116" s="55">
        <v>111403</v>
      </c>
      <c r="D116" t="s">
        <v>3740</v>
      </c>
      <c r="E116" t="s">
        <v>59</v>
      </c>
      <c r="F116"/>
      <c r="G116" s="130" t="str">
        <f t="shared" si="1"/>
        <v>電子一愛</v>
      </c>
      <c r="Q116"/>
      <c r="R116"/>
      <c r="S116"/>
    </row>
    <row r="117" spans="1:19">
      <c r="A117" t="s">
        <v>48</v>
      </c>
      <c r="B117">
        <v>4</v>
      </c>
      <c r="C117" s="55">
        <v>111404</v>
      </c>
      <c r="D117" t="s">
        <v>3759</v>
      </c>
      <c r="E117" t="s">
        <v>60</v>
      </c>
      <c r="F117"/>
      <c r="G117" s="130" t="str">
        <f t="shared" si="1"/>
        <v>電子一愛</v>
      </c>
      <c r="Q117"/>
      <c r="R117"/>
      <c r="S117"/>
    </row>
    <row r="118" spans="1:19">
      <c r="A118" t="s">
        <v>48</v>
      </c>
      <c r="B118">
        <v>5</v>
      </c>
      <c r="C118" s="55">
        <v>111405</v>
      </c>
      <c r="D118" t="s">
        <v>3776</v>
      </c>
      <c r="E118" t="s">
        <v>59</v>
      </c>
      <c r="F118"/>
      <c r="G118" s="130" t="str">
        <f t="shared" si="1"/>
        <v>電子一愛</v>
      </c>
      <c r="Q118"/>
      <c r="R118"/>
      <c r="S118"/>
    </row>
    <row r="119" spans="1:19">
      <c r="A119" t="s">
        <v>48</v>
      </c>
      <c r="B119">
        <v>6</v>
      </c>
      <c r="C119" s="55">
        <v>111406</v>
      </c>
      <c r="D119" t="s">
        <v>3794</v>
      </c>
      <c r="E119" t="s">
        <v>59</v>
      </c>
      <c r="F119"/>
      <c r="G119" s="130" t="str">
        <f t="shared" si="1"/>
        <v>電子一愛</v>
      </c>
      <c r="Q119"/>
      <c r="R119"/>
      <c r="S119"/>
    </row>
    <row r="120" spans="1:19">
      <c r="A120" t="s">
        <v>48</v>
      </c>
      <c r="B120">
        <v>7</v>
      </c>
      <c r="C120" s="55">
        <v>111407</v>
      </c>
      <c r="D120" t="s">
        <v>3812</v>
      </c>
      <c r="E120" t="s">
        <v>60</v>
      </c>
      <c r="F120"/>
      <c r="G120" s="130" t="str">
        <f t="shared" si="1"/>
        <v>電子一愛</v>
      </c>
      <c r="Q120"/>
      <c r="R120"/>
      <c r="S120"/>
    </row>
    <row r="121" spans="1:19">
      <c r="A121" t="s">
        <v>48</v>
      </c>
      <c r="B121">
        <v>8</v>
      </c>
      <c r="C121" s="55">
        <v>111408</v>
      </c>
      <c r="D121" t="s">
        <v>3829</v>
      </c>
      <c r="E121" t="s">
        <v>59</v>
      </c>
      <c r="F121"/>
      <c r="G121" s="130" t="str">
        <f t="shared" si="1"/>
        <v>電子一愛</v>
      </c>
      <c r="Q121"/>
      <c r="R121"/>
      <c r="S121"/>
    </row>
    <row r="122" spans="1:19">
      <c r="A122" t="s">
        <v>48</v>
      </c>
      <c r="B122">
        <v>9</v>
      </c>
      <c r="C122" s="55">
        <v>111409</v>
      </c>
      <c r="D122" t="s">
        <v>3847</v>
      </c>
      <c r="E122" t="s">
        <v>59</v>
      </c>
      <c r="F122"/>
      <c r="G122" s="130" t="str">
        <f t="shared" si="1"/>
        <v>電子一愛</v>
      </c>
      <c r="Q122"/>
      <c r="R122"/>
      <c r="S122"/>
    </row>
    <row r="123" spans="1:19">
      <c r="A123" t="s">
        <v>48</v>
      </c>
      <c r="B123">
        <v>10</v>
      </c>
      <c r="C123" s="55">
        <v>111410</v>
      </c>
      <c r="D123" t="s">
        <v>3865</v>
      </c>
      <c r="E123" t="s">
        <v>60</v>
      </c>
      <c r="F123"/>
      <c r="G123" s="130" t="str">
        <f t="shared" si="1"/>
        <v>電子一愛</v>
      </c>
      <c r="Q123"/>
      <c r="R123"/>
      <c r="S123"/>
    </row>
    <row r="124" spans="1:19">
      <c r="A124" t="s">
        <v>48</v>
      </c>
      <c r="B124">
        <v>11</v>
      </c>
      <c r="C124" s="55">
        <v>111411</v>
      </c>
      <c r="D124" t="s">
        <v>3884</v>
      </c>
      <c r="E124" t="s">
        <v>59</v>
      </c>
      <c r="F124"/>
      <c r="G124" s="130" t="str">
        <f t="shared" si="1"/>
        <v>電子一愛</v>
      </c>
      <c r="Q124"/>
      <c r="R124"/>
      <c r="S124"/>
    </row>
    <row r="125" spans="1:19">
      <c r="A125" t="s">
        <v>48</v>
      </c>
      <c r="B125">
        <v>12</v>
      </c>
      <c r="C125" s="55">
        <v>111412</v>
      </c>
      <c r="D125" t="s">
        <v>3903</v>
      </c>
      <c r="E125" t="s">
        <v>59</v>
      </c>
      <c r="F125"/>
      <c r="G125" s="130" t="str">
        <f t="shared" si="1"/>
        <v>電子一愛</v>
      </c>
      <c r="Q125"/>
      <c r="R125"/>
      <c r="S125"/>
    </row>
    <row r="126" spans="1:19">
      <c r="A126" t="s">
        <v>48</v>
      </c>
      <c r="B126">
        <v>13</v>
      </c>
      <c r="C126" s="55">
        <v>111413</v>
      </c>
      <c r="D126" t="s">
        <v>3921</v>
      </c>
      <c r="E126" t="s">
        <v>59</v>
      </c>
      <c r="F126"/>
      <c r="G126" s="130" t="str">
        <f t="shared" si="1"/>
        <v>電子一愛</v>
      </c>
      <c r="Q126"/>
      <c r="R126"/>
      <c r="S126"/>
    </row>
    <row r="127" spans="1:19">
      <c r="A127" t="s">
        <v>48</v>
      </c>
      <c r="B127">
        <v>14</v>
      </c>
      <c r="C127" s="55">
        <v>111414</v>
      </c>
      <c r="D127" t="s">
        <v>3901</v>
      </c>
      <c r="E127" t="s">
        <v>59</v>
      </c>
      <c r="F127"/>
      <c r="G127" s="130" t="str">
        <f t="shared" si="1"/>
        <v>電子一愛</v>
      </c>
      <c r="Q127"/>
      <c r="R127"/>
      <c r="S127"/>
    </row>
    <row r="128" spans="1:19">
      <c r="A128" t="s">
        <v>48</v>
      </c>
      <c r="B128">
        <v>15</v>
      </c>
      <c r="C128" s="55">
        <v>111415</v>
      </c>
      <c r="D128" t="s">
        <v>3939</v>
      </c>
      <c r="E128" t="s">
        <v>59</v>
      </c>
      <c r="F128"/>
      <c r="G128" s="130" t="str">
        <f t="shared" si="1"/>
        <v>電子一愛</v>
      </c>
      <c r="Q128"/>
      <c r="R128"/>
      <c r="S128"/>
    </row>
    <row r="129" spans="1:19">
      <c r="A129" t="s">
        <v>48</v>
      </c>
      <c r="B129">
        <v>16</v>
      </c>
      <c r="C129" s="55">
        <v>111416</v>
      </c>
      <c r="D129" t="s">
        <v>3957</v>
      </c>
      <c r="E129" t="s">
        <v>60</v>
      </c>
      <c r="F129"/>
      <c r="G129" s="130" t="str">
        <f t="shared" si="1"/>
        <v>電子一愛</v>
      </c>
      <c r="Q129"/>
      <c r="R129"/>
      <c r="S129"/>
    </row>
    <row r="130" spans="1:19">
      <c r="A130" t="s">
        <v>48</v>
      </c>
      <c r="B130">
        <v>17</v>
      </c>
      <c r="C130" s="55">
        <v>111417</v>
      </c>
      <c r="D130" t="s">
        <v>3975</v>
      </c>
      <c r="E130" t="s">
        <v>59</v>
      </c>
      <c r="F130"/>
      <c r="G130" s="130" t="str">
        <f t="shared" si="1"/>
        <v>電子一愛</v>
      </c>
      <c r="Q130"/>
      <c r="R130"/>
      <c r="S130"/>
    </row>
    <row r="131" spans="1:19">
      <c r="A131" t="s">
        <v>48</v>
      </c>
      <c r="B131">
        <v>18</v>
      </c>
      <c r="C131" s="55">
        <v>111418</v>
      </c>
      <c r="D131" t="s">
        <v>3992</v>
      </c>
      <c r="E131" t="s">
        <v>60</v>
      </c>
      <c r="F131"/>
      <c r="G131" s="130" t="str">
        <f t="shared" ref="G131:G194" si="2">A131&amp;F131</f>
        <v>電子一愛</v>
      </c>
      <c r="Q131"/>
      <c r="R131"/>
      <c r="S131"/>
    </row>
    <row r="132" spans="1:19">
      <c r="A132" t="s">
        <v>48</v>
      </c>
      <c r="B132">
        <v>19</v>
      </c>
      <c r="C132" s="55">
        <v>111419</v>
      </c>
      <c r="D132" t="s">
        <v>4007</v>
      </c>
      <c r="E132" t="s">
        <v>59</v>
      </c>
      <c r="F132"/>
      <c r="G132" s="130" t="str">
        <f t="shared" si="2"/>
        <v>電子一愛</v>
      </c>
      <c r="Q132"/>
      <c r="R132"/>
      <c r="S132"/>
    </row>
    <row r="133" spans="1:19">
      <c r="A133" t="s">
        <v>48</v>
      </c>
      <c r="B133">
        <v>20</v>
      </c>
      <c r="C133" s="55">
        <v>111420</v>
      </c>
      <c r="D133" t="s">
        <v>4024</v>
      </c>
      <c r="E133" t="s">
        <v>59</v>
      </c>
      <c r="F133"/>
      <c r="G133" s="130" t="str">
        <f t="shared" si="2"/>
        <v>電子一愛</v>
      </c>
      <c r="Q133"/>
      <c r="R133"/>
      <c r="S133"/>
    </row>
    <row r="134" spans="1:19">
      <c r="A134" t="s">
        <v>48</v>
      </c>
      <c r="B134">
        <v>21</v>
      </c>
      <c r="C134" s="55">
        <v>111421</v>
      </c>
      <c r="D134" t="s">
        <v>4041</v>
      </c>
      <c r="E134" t="s">
        <v>59</v>
      </c>
      <c r="F134"/>
      <c r="G134" s="130" t="str">
        <f t="shared" si="2"/>
        <v>電子一愛</v>
      </c>
      <c r="Q134"/>
      <c r="R134"/>
      <c r="S134"/>
    </row>
    <row r="135" spans="1:19">
      <c r="A135" t="s">
        <v>48</v>
      </c>
      <c r="B135">
        <v>22</v>
      </c>
      <c r="C135" s="55">
        <v>111422</v>
      </c>
      <c r="D135" t="s">
        <v>4057</v>
      </c>
      <c r="E135" t="s">
        <v>59</v>
      </c>
      <c r="F135"/>
      <c r="G135" s="130" t="str">
        <f t="shared" si="2"/>
        <v>電子一愛</v>
      </c>
      <c r="Q135"/>
      <c r="R135"/>
      <c r="S135"/>
    </row>
    <row r="136" spans="1:19">
      <c r="A136" t="s">
        <v>48</v>
      </c>
      <c r="B136">
        <v>23</v>
      </c>
      <c r="C136" s="55">
        <v>111423</v>
      </c>
      <c r="D136" t="s">
        <v>4006</v>
      </c>
      <c r="E136" t="s">
        <v>59</v>
      </c>
      <c r="F136"/>
      <c r="G136" s="130" t="str">
        <f t="shared" si="2"/>
        <v>電子一愛</v>
      </c>
      <c r="Q136"/>
      <c r="R136"/>
      <c r="S136"/>
    </row>
    <row r="137" spans="1:19">
      <c r="A137" t="s">
        <v>48</v>
      </c>
      <c r="B137">
        <v>24</v>
      </c>
      <c r="C137" s="55">
        <v>111424</v>
      </c>
      <c r="D137" t="s">
        <v>4087</v>
      </c>
      <c r="E137" t="s">
        <v>59</v>
      </c>
      <c r="F137"/>
      <c r="G137" s="130" t="str">
        <f t="shared" si="2"/>
        <v>電子一愛</v>
      </c>
      <c r="Q137"/>
      <c r="R137"/>
      <c r="S137"/>
    </row>
    <row r="138" spans="1:19">
      <c r="A138" t="s">
        <v>48</v>
      </c>
      <c r="B138">
        <v>25</v>
      </c>
      <c r="C138" s="55">
        <v>111425</v>
      </c>
      <c r="D138" t="s">
        <v>4102</v>
      </c>
      <c r="E138" t="s">
        <v>59</v>
      </c>
      <c r="F138"/>
      <c r="G138" s="130" t="str">
        <f t="shared" si="2"/>
        <v>電子一愛</v>
      </c>
      <c r="Q138"/>
      <c r="R138"/>
      <c r="S138"/>
    </row>
    <row r="139" spans="1:19">
      <c r="A139" t="s">
        <v>48</v>
      </c>
      <c r="B139">
        <v>26</v>
      </c>
      <c r="C139" s="55">
        <v>111426</v>
      </c>
      <c r="D139" t="s">
        <v>4117</v>
      </c>
      <c r="E139" t="s">
        <v>59</v>
      </c>
      <c r="F139"/>
      <c r="G139" s="130" t="str">
        <f t="shared" si="2"/>
        <v>電子一愛</v>
      </c>
      <c r="Q139"/>
      <c r="R139"/>
      <c r="S139"/>
    </row>
    <row r="140" spans="1:19">
      <c r="A140" t="s">
        <v>48</v>
      </c>
      <c r="B140">
        <v>27</v>
      </c>
      <c r="C140" s="55">
        <v>111427</v>
      </c>
      <c r="D140" t="s">
        <v>4134</v>
      </c>
      <c r="E140" t="s">
        <v>59</v>
      </c>
      <c r="F140"/>
      <c r="G140" s="130" t="str">
        <f t="shared" si="2"/>
        <v>電子一愛</v>
      </c>
      <c r="Q140"/>
      <c r="R140"/>
      <c r="S140"/>
    </row>
    <row r="141" spans="1:19">
      <c r="A141" t="s">
        <v>48</v>
      </c>
      <c r="B141">
        <v>28</v>
      </c>
      <c r="C141" s="55">
        <v>111428</v>
      </c>
      <c r="D141" t="s">
        <v>4150</v>
      </c>
      <c r="E141" t="s">
        <v>59</v>
      </c>
      <c r="F141"/>
      <c r="G141" s="130" t="str">
        <f t="shared" si="2"/>
        <v>電子一愛</v>
      </c>
      <c r="Q141"/>
      <c r="R141"/>
      <c r="S141"/>
    </row>
    <row r="142" spans="1:19">
      <c r="A142" t="s">
        <v>48</v>
      </c>
      <c r="B142">
        <v>29</v>
      </c>
      <c r="C142" s="55">
        <v>111429</v>
      </c>
      <c r="D142" t="s">
        <v>4167</v>
      </c>
      <c r="E142" t="s">
        <v>59</v>
      </c>
      <c r="F142"/>
      <c r="G142" s="130" t="str">
        <f t="shared" si="2"/>
        <v>電子一愛</v>
      </c>
      <c r="Q142"/>
      <c r="R142"/>
      <c r="S142"/>
    </row>
    <row r="143" spans="1:19">
      <c r="A143" t="s">
        <v>48</v>
      </c>
      <c r="B143">
        <v>30</v>
      </c>
      <c r="C143" s="55">
        <v>111430</v>
      </c>
      <c r="D143" t="s">
        <v>4184</v>
      </c>
      <c r="E143" t="s">
        <v>59</v>
      </c>
      <c r="F143"/>
      <c r="G143" s="130" t="str">
        <f t="shared" si="2"/>
        <v>電子一愛</v>
      </c>
      <c r="Q143"/>
      <c r="R143"/>
      <c r="S143"/>
    </row>
    <row r="144" spans="1:19">
      <c r="A144" t="s">
        <v>48</v>
      </c>
      <c r="B144">
        <v>31</v>
      </c>
      <c r="C144" s="55">
        <v>111431</v>
      </c>
      <c r="D144" t="s">
        <v>4201</v>
      </c>
      <c r="E144" t="s">
        <v>59</v>
      </c>
      <c r="F144"/>
      <c r="G144" s="130" t="str">
        <f t="shared" si="2"/>
        <v>電子一愛</v>
      </c>
      <c r="Q144"/>
      <c r="R144"/>
      <c r="S144"/>
    </row>
    <row r="145" spans="1:19">
      <c r="A145" t="s">
        <v>48</v>
      </c>
      <c r="B145">
        <v>32</v>
      </c>
      <c r="C145" s="55">
        <v>111432</v>
      </c>
      <c r="D145" t="s">
        <v>4218</v>
      </c>
      <c r="E145" t="s">
        <v>59</v>
      </c>
      <c r="F145"/>
      <c r="G145" s="130" t="str">
        <f t="shared" si="2"/>
        <v>電子一愛</v>
      </c>
      <c r="Q145"/>
      <c r="R145"/>
      <c r="S145"/>
    </row>
    <row r="146" spans="1:19">
      <c r="A146" t="s">
        <v>48</v>
      </c>
      <c r="B146">
        <v>33</v>
      </c>
      <c r="C146" s="55">
        <v>111433</v>
      </c>
      <c r="D146" t="s">
        <v>4235</v>
      </c>
      <c r="E146" t="s">
        <v>59</v>
      </c>
      <c r="F146"/>
      <c r="G146" s="130" t="str">
        <f t="shared" si="2"/>
        <v>電子一愛</v>
      </c>
      <c r="Q146"/>
      <c r="R146"/>
      <c r="S146"/>
    </row>
    <row r="147" spans="1:19">
      <c r="A147" t="s">
        <v>48</v>
      </c>
      <c r="B147">
        <v>34</v>
      </c>
      <c r="C147" s="55">
        <v>111434</v>
      </c>
      <c r="D147" t="s">
        <v>4252</v>
      </c>
      <c r="E147" t="s">
        <v>59</v>
      </c>
      <c r="F147"/>
      <c r="G147" s="130" t="str">
        <f t="shared" si="2"/>
        <v>電子一愛</v>
      </c>
      <c r="Q147"/>
      <c r="R147"/>
      <c r="S147"/>
    </row>
    <row r="148" spans="1:19">
      <c r="A148" t="s">
        <v>48</v>
      </c>
      <c r="B148">
        <v>35</v>
      </c>
      <c r="C148" s="55">
        <v>111435</v>
      </c>
      <c r="D148" t="s">
        <v>4267</v>
      </c>
      <c r="E148" t="s">
        <v>59</v>
      </c>
      <c r="F148"/>
      <c r="G148" s="130" t="str">
        <f t="shared" si="2"/>
        <v>電子一愛</v>
      </c>
      <c r="Q148"/>
      <c r="R148"/>
      <c r="S148"/>
    </row>
    <row r="149" spans="1:19">
      <c r="A149" t="s">
        <v>48</v>
      </c>
      <c r="B149">
        <v>36</v>
      </c>
      <c r="C149" s="55">
        <v>111436</v>
      </c>
      <c r="D149" t="s">
        <v>4281</v>
      </c>
      <c r="E149" t="s">
        <v>59</v>
      </c>
      <c r="F149"/>
      <c r="G149" s="130" t="str">
        <f t="shared" si="2"/>
        <v>電子一愛</v>
      </c>
      <c r="Q149"/>
      <c r="R149"/>
      <c r="S149"/>
    </row>
    <row r="150" spans="1:19">
      <c r="A150" t="s">
        <v>48</v>
      </c>
      <c r="B150">
        <v>37</v>
      </c>
      <c r="C150" s="55">
        <v>111437</v>
      </c>
      <c r="D150" t="s">
        <v>4295</v>
      </c>
      <c r="E150" t="s">
        <v>59</v>
      </c>
      <c r="F150"/>
      <c r="G150" s="130" t="str">
        <f t="shared" si="2"/>
        <v>電子一愛</v>
      </c>
      <c r="Q150"/>
      <c r="R150"/>
      <c r="S150"/>
    </row>
    <row r="151" spans="1:19">
      <c r="A151" t="s">
        <v>49</v>
      </c>
      <c r="B151">
        <v>1</v>
      </c>
      <c r="C151" s="55">
        <v>112101</v>
      </c>
      <c r="D151" t="s">
        <v>3704</v>
      </c>
      <c r="E151" t="s">
        <v>59</v>
      </c>
      <c r="F151"/>
      <c r="G151" s="130" t="str">
        <f t="shared" si="2"/>
        <v>電機一忠</v>
      </c>
      <c r="Q151"/>
      <c r="R151"/>
      <c r="S151"/>
    </row>
    <row r="152" spans="1:19">
      <c r="A152" t="s">
        <v>49</v>
      </c>
      <c r="B152">
        <v>2</v>
      </c>
      <c r="C152" s="55">
        <v>112102</v>
      </c>
      <c r="D152" t="s">
        <v>3723</v>
      </c>
      <c r="E152" t="s">
        <v>59</v>
      </c>
      <c r="F152"/>
      <c r="G152" s="130" t="str">
        <f t="shared" si="2"/>
        <v>電機一忠</v>
      </c>
      <c r="Q152"/>
      <c r="R152"/>
      <c r="S152"/>
    </row>
    <row r="153" spans="1:19">
      <c r="A153" t="s">
        <v>49</v>
      </c>
      <c r="B153">
        <v>3</v>
      </c>
      <c r="C153" s="55">
        <v>112103</v>
      </c>
      <c r="D153" t="s">
        <v>3741</v>
      </c>
      <c r="E153" t="s">
        <v>59</v>
      </c>
      <c r="F153"/>
      <c r="G153" s="130" t="str">
        <f t="shared" si="2"/>
        <v>電機一忠</v>
      </c>
      <c r="Q153"/>
      <c r="R153"/>
      <c r="S153"/>
    </row>
    <row r="154" spans="1:19">
      <c r="A154" t="s">
        <v>49</v>
      </c>
      <c r="B154">
        <v>4</v>
      </c>
      <c r="C154" s="55">
        <v>112104</v>
      </c>
      <c r="D154" t="s">
        <v>3760</v>
      </c>
      <c r="E154" t="s">
        <v>59</v>
      </c>
      <c r="F154"/>
      <c r="G154" s="130" t="str">
        <f t="shared" si="2"/>
        <v>電機一忠</v>
      </c>
      <c r="Q154"/>
      <c r="R154"/>
      <c r="S154"/>
    </row>
    <row r="155" spans="1:19">
      <c r="A155" t="s">
        <v>49</v>
      </c>
      <c r="B155">
        <v>5</v>
      </c>
      <c r="C155" s="55">
        <v>112105</v>
      </c>
      <c r="D155" t="s">
        <v>3777</v>
      </c>
      <c r="E155" t="s">
        <v>59</v>
      </c>
      <c r="F155"/>
      <c r="G155" s="130" t="str">
        <f t="shared" si="2"/>
        <v>電機一忠</v>
      </c>
      <c r="Q155"/>
      <c r="R155"/>
      <c r="S155"/>
    </row>
    <row r="156" spans="1:19">
      <c r="A156" t="s">
        <v>49</v>
      </c>
      <c r="B156">
        <v>6</v>
      </c>
      <c r="C156" s="55">
        <v>112106</v>
      </c>
      <c r="D156" t="s">
        <v>3795</v>
      </c>
      <c r="E156" t="s">
        <v>59</v>
      </c>
      <c r="F156"/>
      <c r="G156" s="130" t="str">
        <f t="shared" si="2"/>
        <v>電機一忠</v>
      </c>
      <c r="Q156"/>
      <c r="R156"/>
      <c r="S156"/>
    </row>
    <row r="157" spans="1:19">
      <c r="A157" t="s">
        <v>49</v>
      </c>
      <c r="B157">
        <v>7</v>
      </c>
      <c r="C157" s="55">
        <v>112107</v>
      </c>
      <c r="D157" t="s">
        <v>581</v>
      </c>
      <c r="E157" t="s">
        <v>59</v>
      </c>
      <c r="F157"/>
      <c r="G157" s="130" t="str">
        <f t="shared" si="2"/>
        <v>電機一忠</v>
      </c>
      <c r="Q157"/>
      <c r="R157"/>
      <c r="S157"/>
    </row>
    <row r="158" spans="1:19">
      <c r="A158" t="s">
        <v>49</v>
      </c>
      <c r="B158">
        <v>8</v>
      </c>
      <c r="C158" s="55">
        <v>112108</v>
      </c>
      <c r="D158" t="s">
        <v>3830</v>
      </c>
      <c r="E158" t="s">
        <v>60</v>
      </c>
      <c r="F158"/>
      <c r="G158" s="130" t="str">
        <f t="shared" si="2"/>
        <v>電機一忠</v>
      </c>
      <c r="Q158"/>
      <c r="R158"/>
      <c r="S158"/>
    </row>
    <row r="159" spans="1:19">
      <c r="A159" t="s">
        <v>49</v>
      </c>
      <c r="B159">
        <v>9</v>
      </c>
      <c r="C159" s="55">
        <v>112109</v>
      </c>
      <c r="D159" t="s">
        <v>2955</v>
      </c>
      <c r="E159" t="s">
        <v>59</v>
      </c>
      <c r="F159"/>
      <c r="G159" s="130" t="str">
        <f t="shared" si="2"/>
        <v>電機一忠</v>
      </c>
      <c r="Q159"/>
      <c r="R159"/>
      <c r="S159"/>
    </row>
    <row r="160" spans="1:19">
      <c r="A160" t="s">
        <v>49</v>
      </c>
      <c r="B160">
        <v>10</v>
      </c>
      <c r="C160" s="55">
        <v>112110</v>
      </c>
      <c r="D160" t="s">
        <v>3866</v>
      </c>
      <c r="E160" t="s">
        <v>59</v>
      </c>
      <c r="F160"/>
      <c r="G160" s="130" t="str">
        <f t="shared" si="2"/>
        <v>電機一忠</v>
      </c>
      <c r="Q160"/>
      <c r="R160"/>
      <c r="S160"/>
    </row>
    <row r="161" spans="1:19">
      <c r="A161" t="s">
        <v>49</v>
      </c>
      <c r="B161">
        <v>11</v>
      </c>
      <c r="C161" s="55">
        <v>112111</v>
      </c>
      <c r="D161" t="s">
        <v>3885</v>
      </c>
      <c r="E161" t="s">
        <v>59</v>
      </c>
      <c r="F161"/>
      <c r="G161" s="130" t="str">
        <f t="shared" si="2"/>
        <v>電機一忠</v>
      </c>
      <c r="Q161"/>
      <c r="R161"/>
      <c r="S161"/>
    </row>
    <row r="162" spans="1:19">
      <c r="A162" t="s">
        <v>49</v>
      </c>
      <c r="B162">
        <v>12</v>
      </c>
      <c r="C162" s="55">
        <v>112112</v>
      </c>
      <c r="D162" t="s">
        <v>3904</v>
      </c>
      <c r="E162" t="s">
        <v>60</v>
      </c>
      <c r="F162"/>
      <c r="G162" s="130" t="str">
        <f t="shared" si="2"/>
        <v>電機一忠</v>
      </c>
      <c r="Q162"/>
      <c r="R162"/>
      <c r="S162"/>
    </row>
    <row r="163" spans="1:19">
      <c r="A163" t="s">
        <v>49</v>
      </c>
      <c r="B163">
        <v>13</v>
      </c>
      <c r="C163" s="55">
        <v>112113</v>
      </c>
      <c r="D163" t="s">
        <v>3922</v>
      </c>
      <c r="E163" t="s">
        <v>59</v>
      </c>
      <c r="F163"/>
      <c r="G163" s="130" t="str">
        <f t="shared" si="2"/>
        <v>電機一忠</v>
      </c>
    </row>
    <row r="164" spans="1:19">
      <c r="A164" t="s">
        <v>49</v>
      </c>
      <c r="B164">
        <v>14</v>
      </c>
      <c r="C164" s="55">
        <v>112114</v>
      </c>
      <c r="D164" t="s">
        <v>3940</v>
      </c>
      <c r="E164" t="s">
        <v>59</v>
      </c>
      <c r="F164"/>
      <c r="G164" s="130" t="str">
        <f t="shared" si="2"/>
        <v>電機一忠</v>
      </c>
    </row>
    <row r="165" spans="1:19">
      <c r="A165" t="s">
        <v>49</v>
      </c>
      <c r="B165">
        <v>15</v>
      </c>
      <c r="C165" s="55">
        <v>112115</v>
      </c>
      <c r="D165" t="s">
        <v>3958</v>
      </c>
      <c r="E165" t="s">
        <v>59</v>
      </c>
      <c r="F165"/>
      <c r="G165" s="130" t="str">
        <f t="shared" si="2"/>
        <v>電機一忠</v>
      </c>
    </row>
    <row r="166" spans="1:19">
      <c r="A166" t="s">
        <v>49</v>
      </c>
      <c r="B166">
        <v>16</v>
      </c>
      <c r="C166" s="55">
        <v>112116</v>
      </c>
      <c r="D166" t="s">
        <v>3976</v>
      </c>
      <c r="E166" t="s">
        <v>59</v>
      </c>
      <c r="F166"/>
      <c r="G166" s="130" t="str">
        <f t="shared" si="2"/>
        <v>電機一忠</v>
      </c>
    </row>
    <row r="167" spans="1:19">
      <c r="A167" t="s">
        <v>49</v>
      </c>
      <c r="B167">
        <v>17</v>
      </c>
      <c r="C167" s="55">
        <v>112117</v>
      </c>
      <c r="D167" t="s">
        <v>3993</v>
      </c>
      <c r="E167" t="s">
        <v>59</v>
      </c>
      <c r="F167"/>
      <c r="G167" s="130" t="str">
        <f t="shared" si="2"/>
        <v>電機一忠</v>
      </c>
    </row>
    <row r="168" spans="1:19">
      <c r="A168" t="s">
        <v>49</v>
      </c>
      <c r="B168">
        <v>18</v>
      </c>
      <c r="C168" s="55">
        <v>112118</v>
      </c>
      <c r="D168" t="s">
        <v>4008</v>
      </c>
      <c r="E168" t="s">
        <v>60</v>
      </c>
      <c r="F168"/>
      <c r="G168" s="130" t="str">
        <f t="shared" si="2"/>
        <v>電機一忠</v>
      </c>
    </row>
    <row r="169" spans="1:19">
      <c r="A169" t="s">
        <v>49</v>
      </c>
      <c r="B169">
        <v>19</v>
      </c>
      <c r="C169" s="55">
        <v>112119</v>
      </c>
      <c r="D169" t="s">
        <v>4025</v>
      </c>
      <c r="E169" t="s">
        <v>59</v>
      </c>
      <c r="F169"/>
      <c r="G169" s="130" t="str">
        <f t="shared" si="2"/>
        <v>電機一忠</v>
      </c>
    </row>
    <row r="170" spans="1:19">
      <c r="A170" t="s">
        <v>49</v>
      </c>
      <c r="B170">
        <v>20</v>
      </c>
      <c r="C170" s="55">
        <v>112120</v>
      </c>
      <c r="D170" t="s">
        <v>4042</v>
      </c>
      <c r="E170" t="s">
        <v>59</v>
      </c>
      <c r="F170"/>
      <c r="G170" s="130" t="str">
        <f t="shared" si="2"/>
        <v>電機一忠</v>
      </c>
    </row>
    <row r="171" spans="1:19">
      <c r="A171" t="s">
        <v>49</v>
      </c>
      <c r="B171">
        <v>21</v>
      </c>
      <c r="C171" s="55">
        <v>112121</v>
      </c>
      <c r="D171" t="s">
        <v>4058</v>
      </c>
      <c r="E171" t="s">
        <v>60</v>
      </c>
      <c r="F171"/>
      <c r="G171" s="130" t="str">
        <f t="shared" si="2"/>
        <v>電機一忠</v>
      </c>
    </row>
    <row r="172" spans="1:19">
      <c r="A172" t="s">
        <v>49</v>
      </c>
      <c r="B172">
        <v>22</v>
      </c>
      <c r="C172" s="55">
        <v>112122</v>
      </c>
      <c r="D172" t="s">
        <v>4072</v>
      </c>
      <c r="E172" t="s">
        <v>59</v>
      </c>
      <c r="F172"/>
      <c r="G172" s="130" t="str">
        <f t="shared" si="2"/>
        <v>電機一忠</v>
      </c>
    </row>
    <row r="173" spans="1:19">
      <c r="A173" t="s">
        <v>49</v>
      </c>
      <c r="B173">
        <v>23</v>
      </c>
      <c r="C173" s="55">
        <v>112123</v>
      </c>
      <c r="D173" t="s">
        <v>4088</v>
      </c>
      <c r="E173" t="s">
        <v>59</v>
      </c>
      <c r="F173"/>
      <c r="G173" s="130" t="str">
        <f t="shared" si="2"/>
        <v>電機一忠</v>
      </c>
    </row>
    <row r="174" spans="1:19">
      <c r="A174" t="s">
        <v>49</v>
      </c>
      <c r="B174">
        <v>24</v>
      </c>
      <c r="C174" s="55">
        <v>112124</v>
      </c>
      <c r="D174" t="s">
        <v>4103</v>
      </c>
      <c r="E174" t="s">
        <v>59</v>
      </c>
      <c r="F174"/>
      <c r="G174" s="130" t="str">
        <f t="shared" si="2"/>
        <v>電機一忠</v>
      </c>
    </row>
    <row r="175" spans="1:19">
      <c r="A175" t="s">
        <v>49</v>
      </c>
      <c r="B175">
        <v>25</v>
      </c>
      <c r="C175" s="55">
        <v>112125</v>
      </c>
      <c r="D175" t="s">
        <v>4118</v>
      </c>
      <c r="E175" t="s">
        <v>59</v>
      </c>
      <c r="F175"/>
      <c r="G175" s="130" t="str">
        <f t="shared" si="2"/>
        <v>電機一忠</v>
      </c>
    </row>
    <row r="176" spans="1:19">
      <c r="A176" t="s">
        <v>49</v>
      </c>
      <c r="B176">
        <v>26</v>
      </c>
      <c r="C176" s="55">
        <v>112126</v>
      </c>
      <c r="D176" t="s">
        <v>4135</v>
      </c>
      <c r="E176" t="s">
        <v>59</v>
      </c>
      <c r="F176"/>
      <c r="G176" s="130" t="str">
        <f t="shared" si="2"/>
        <v>電機一忠</v>
      </c>
    </row>
    <row r="177" spans="1:7">
      <c r="A177" t="s">
        <v>49</v>
      </c>
      <c r="B177">
        <v>27</v>
      </c>
      <c r="C177" s="55">
        <v>112127</v>
      </c>
      <c r="D177" t="s">
        <v>4151</v>
      </c>
      <c r="E177" t="s">
        <v>59</v>
      </c>
      <c r="F177"/>
      <c r="G177" s="130" t="str">
        <f t="shared" si="2"/>
        <v>電機一忠</v>
      </c>
    </row>
    <row r="178" spans="1:7">
      <c r="A178" t="s">
        <v>49</v>
      </c>
      <c r="B178">
        <v>28</v>
      </c>
      <c r="C178" s="55">
        <v>112128</v>
      </c>
      <c r="D178" t="s">
        <v>4168</v>
      </c>
      <c r="E178" t="s">
        <v>59</v>
      </c>
      <c r="F178"/>
      <c r="G178" s="130" t="str">
        <f t="shared" si="2"/>
        <v>電機一忠</v>
      </c>
    </row>
    <row r="179" spans="1:7">
      <c r="A179" t="s">
        <v>49</v>
      </c>
      <c r="B179">
        <v>29</v>
      </c>
      <c r="C179" s="55">
        <v>112129</v>
      </c>
      <c r="D179" t="s">
        <v>4185</v>
      </c>
      <c r="E179" t="s">
        <v>60</v>
      </c>
      <c r="F179"/>
      <c r="G179" s="130" t="str">
        <f t="shared" si="2"/>
        <v>電機一忠</v>
      </c>
    </row>
    <row r="180" spans="1:7">
      <c r="A180" t="s">
        <v>49</v>
      </c>
      <c r="B180">
        <v>30</v>
      </c>
      <c r="C180" s="55">
        <v>112130</v>
      </c>
      <c r="D180" t="s">
        <v>4202</v>
      </c>
      <c r="E180" t="s">
        <v>59</v>
      </c>
      <c r="F180"/>
      <c r="G180" s="130" t="str">
        <f t="shared" si="2"/>
        <v>電機一忠</v>
      </c>
    </row>
    <row r="181" spans="1:7">
      <c r="A181" t="s">
        <v>49</v>
      </c>
      <c r="B181">
        <v>31</v>
      </c>
      <c r="C181" s="55">
        <v>112131</v>
      </c>
      <c r="D181" t="s">
        <v>4219</v>
      </c>
      <c r="E181" t="s">
        <v>59</v>
      </c>
      <c r="F181"/>
      <c r="G181" s="130" t="str">
        <f t="shared" si="2"/>
        <v>電機一忠</v>
      </c>
    </row>
    <row r="182" spans="1:7">
      <c r="A182" t="s">
        <v>49</v>
      </c>
      <c r="B182">
        <v>32</v>
      </c>
      <c r="C182" s="55">
        <v>112132</v>
      </c>
      <c r="D182" t="s">
        <v>4236</v>
      </c>
      <c r="E182" t="s">
        <v>60</v>
      </c>
      <c r="F182"/>
      <c r="G182" s="130" t="str">
        <f t="shared" si="2"/>
        <v>電機一忠</v>
      </c>
    </row>
    <row r="183" spans="1:7">
      <c r="A183" t="s">
        <v>49</v>
      </c>
      <c r="B183">
        <v>33</v>
      </c>
      <c r="C183" s="55">
        <v>112133</v>
      </c>
      <c r="D183" t="s">
        <v>3311</v>
      </c>
      <c r="E183" t="s">
        <v>59</v>
      </c>
      <c r="F183"/>
      <c r="G183" s="130" t="str">
        <f t="shared" si="2"/>
        <v>電機一忠</v>
      </c>
    </row>
    <row r="184" spans="1:7">
      <c r="A184" t="s">
        <v>49</v>
      </c>
      <c r="B184">
        <v>34</v>
      </c>
      <c r="C184" s="55">
        <v>112134</v>
      </c>
      <c r="D184" t="s">
        <v>4268</v>
      </c>
      <c r="E184" t="s">
        <v>59</v>
      </c>
      <c r="F184"/>
      <c r="G184" s="130" t="str">
        <f t="shared" si="2"/>
        <v>電機一忠</v>
      </c>
    </row>
    <row r="185" spans="1:7">
      <c r="A185" t="s">
        <v>49</v>
      </c>
      <c r="B185">
        <v>35</v>
      </c>
      <c r="C185" s="55">
        <v>112135</v>
      </c>
      <c r="D185" t="s">
        <v>4282</v>
      </c>
      <c r="E185" t="s">
        <v>59</v>
      </c>
      <c r="F185"/>
      <c r="G185" s="130" t="str">
        <f t="shared" si="2"/>
        <v>電機一忠</v>
      </c>
    </row>
    <row r="186" spans="1:7">
      <c r="A186" t="s">
        <v>49</v>
      </c>
      <c r="B186">
        <v>36</v>
      </c>
      <c r="C186" s="55">
        <v>112136</v>
      </c>
      <c r="D186" t="s">
        <v>4296</v>
      </c>
      <c r="E186" t="s">
        <v>59</v>
      </c>
      <c r="F186"/>
      <c r="G186" s="130" t="str">
        <f t="shared" si="2"/>
        <v>電機一忠</v>
      </c>
    </row>
    <row r="187" spans="1:7">
      <c r="A187" t="s">
        <v>49</v>
      </c>
      <c r="B187">
        <v>37</v>
      </c>
      <c r="C187" s="55">
        <v>112137</v>
      </c>
      <c r="D187" t="s">
        <v>4309</v>
      </c>
      <c r="E187" t="s">
        <v>59</v>
      </c>
      <c r="F187"/>
      <c r="G187" s="130" t="str">
        <f t="shared" si="2"/>
        <v>電機一忠</v>
      </c>
    </row>
    <row r="188" spans="1:7">
      <c r="A188" t="s">
        <v>49</v>
      </c>
      <c r="B188">
        <v>38</v>
      </c>
      <c r="C188" s="55">
        <v>112138</v>
      </c>
      <c r="D188" t="s">
        <v>4320</v>
      </c>
      <c r="E188" t="s">
        <v>59</v>
      </c>
      <c r="F188"/>
      <c r="G188" s="130" t="str">
        <f t="shared" si="2"/>
        <v>電機一忠</v>
      </c>
    </row>
    <row r="189" spans="1:7">
      <c r="A189" t="s">
        <v>49</v>
      </c>
      <c r="B189">
        <v>39</v>
      </c>
      <c r="C189" s="55">
        <v>112139</v>
      </c>
      <c r="D189" t="s">
        <v>4326</v>
      </c>
      <c r="E189" t="s">
        <v>59</v>
      </c>
      <c r="F189"/>
      <c r="G189" s="130" t="str">
        <f t="shared" si="2"/>
        <v>電機一忠</v>
      </c>
    </row>
    <row r="190" spans="1:7">
      <c r="A190" t="s">
        <v>50</v>
      </c>
      <c r="B190">
        <v>1</v>
      </c>
      <c r="C190" s="55">
        <v>112201</v>
      </c>
      <c r="D190" t="s">
        <v>3705</v>
      </c>
      <c r="E190" t="s">
        <v>59</v>
      </c>
      <c r="F190"/>
      <c r="G190" s="130" t="str">
        <f t="shared" si="2"/>
        <v>電機一孝</v>
      </c>
    </row>
    <row r="191" spans="1:7">
      <c r="A191" t="s">
        <v>50</v>
      </c>
      <c r="B191">
        <v>2</v>
      </c>
      <c r="C191" s="55">
        <v>112202</v>
      </c>
      <c r="D191" t="s">
        <v>3724</v>
      </c>
      <c r="E191" t="s">
        <v>59</v>
      </c>
      <c r="F191"/>
      <c r="G191" s="130" t="str">
        <f t="shared" si="2"/>
        <v>電機一孝</v>
      </c>
    </row>
    <row r="192" spans="1:7">
      <c r="A192" t="s">
        <v>50</v>
      </c>
      <c r="B192">
        <v>3</v>
      </c>
      <c r="C192" s="55">
        <v>112203</v>
      </c>
      <c r="D192" t="s">
        <v>3742</v>
      </c>
      <c r="E192" t="s">
        <v>59</v>
      </c>
      <c r="F192"/>
      <c r="G192" s="130" t="str">
        <f t="shared" si="2"/>
        <v>電機一孝</v>
      </c>
    </row>
    <row r="193" spans="1:7">
      <c r="A193" t="s">
        <v>50</v>
      </c>
      <c r="B193">
        <v>4</v>
      </c>
      <c r="C193" s="55">
        <v>112204</v>
      </c>
      <c r="D193" t="s">
        <v>3761</v>
      </c>
      <c r="E193" t="s">
        <v>59</v>
      </c>
      <c r="F193"/>
      <c r="G193" s="130" t="str">
        <f t="shared" si="2"/>
        <v>電機一孝</v>
      </c>
    </row>
    <row r="194" spans="1:7">
      <c r="A194" t="s">
        <v>50</v>
      </c>
      <c r="B194">
        <v>5</v>
      </c>
      <c r="C194" s="55">
        <v>112205</v>
      </c>
      <c r="D194" t="s">
        <v>3778</v>
      </c>
      <c r="E194" t="s">
        <v>59</v>
      </c>
      <c r="F194"/>
      <c r="G194" s="130" t="str">
        <f t="shared" si="2"/>
        <v>電機一孝</v>
      </c>
    </row>
    <row r="195" spans="1:7">
      <c r="A195" t="s">
        <v>50</v>
      </c>
      <c r="B195">
        <v>6</v>
      </c>
      <c r="C195" s="55">
        <v>112206</v>
      </c>
      <c r="D195" t="s">
        <v>3796</v>
      </c>
      <c r="E195" t="s">
        <v>59</v>
      </c>
      <c r="F195"/>
      <c r="G195" s="130" t="str">
        <f t="shared" ref="G195:G258" si="3">A195&amp;F195</f>
        <v>電機一孝</v>
      </c>
    </row>
    <row r="196" spans="1:7">
      <c r="A196" t="s">
        <v>50</v>
      </c>
      <c r="B196">
        <v>7</v>
      </c>
      <c r="C196" s="55">
        <v>112207</v>
      </c>
      <c r="D196" t="s">
        <v>3813</v>
      </c>
      <c r="E196" t="s">
        <v>59</v>
      </c>
      <c r="F196"/>
      <c r="G196" s="130" t="str">
        <f t="shared" si="3"/>
        <v>電機一孝</v>
      </c>
    </row>
    <row r="197" spans="1:7">
      <c r="A197" t="s">
        <v>50</v>
      </c>
      <c r="B197">
        <v>8</v>
      </c>
      <c r="C197" s="55">
        <v>112208</v>
      </c>
      <c r="D197" t="s">
        <v>3831</v>
      </c>
      <c r="E197" t="s">
        <v>59</v>
      </c>
      <c r="F197"/>
      <c r="G197" s="130" t="str">
        <f t="shared" si="3"/>
        <v>電機一孝</v>
      </c>
    </row>
    <row r="198" spans="1:7">
      <c r="A198" t="s">
        <v>50</v>
      </c>
      <c r="B198">
        <v>9</v>
      </c>
      <c r="C198" s="55">
        <v>112209</v>
      </c>
      <c r="D198" t="s">
        <v>3848</v>
      </c>
      <c r="E198" t="s">
        <v>59</v>
      </c>
      <c r="F198"/>
      <c r="G198" s="130" t="str">
        <f t="shared" si="3"/>
        <v>電機一孝</v>
      </c>
    </row>
    <row r="199" spans="1:7">
      <c r="A199" t="s">
        <v>50</v>
      </c>
      <c r="B199">
        <v>10</v>
      </c>
      <c r="C199" s="55">
        <v>112210</v>
      </c>
      <c r="D199" t="s">
        <v>3867</v>
      </c>
      <c r="E199" t="s">
        <v>59</v>
      </c>
      <c r="F199"/>
      <c r="G199" s="130" t="str">
        <f t="shared" si="3"/>
        <v>電機一孝</v>
      </c>
    </row>
    <row r="200" spans="1:7">
      <c r="A200" t="s">
        <v>50</v>
      </c>
      <c r="B200">
        <v>11</v>
      </c>
      <c r="C200" s="55">
        <v>112211</v>
      </c>
      <c r="D200" t="s">
        <v>3886</v>
      </c>
      <c r="E200" t="s">
        <v>59</v>
      </c>
      <c r="F200"/>
      <c r="G200" s="130" t="str">
        <f t="shared" si="3"/>
        <v>電機一孝</v>
      </c>
    </row>
    <row r="201" spans="1:7">
      <c r="A201" t="s">
        <v>50</v>
      </c>
      <c r="B201">
        <v>12</v>
      </c>
      <c r="C201" s="55">
        <v>112212</v>
      </c>
      <c r="D201" t="s">
        <v>3905</v>
      </c>
      <c r="E201" t="s">
        <v>59</v>
      </c>
      <c r="F201"/>
      <c r="G201" s="130" t="str">
        <f t="shared" si="3"/>
        <v>電機一孝</v>
      </c>
    </row>
    <row r="202" spans="1:7">
      <c r="A202" t="s">
        <v>50</v>
      </c>
      <c r="B202">
        <v>13</v>
      </c>
      <c r="C202" s="55">
        <v>112213</v>
      </c>
      <c r="D202" t="s">
        <v>3923</v>
      </c>
      <c r="E202" t="s">
        <v>59</v>
      </c>
      <c r="F202"/>
      <c r="G202" s="130" t="str">
        <f t="shared" si="3"/>
        <v>電機一孝</v>
      </c>
    </row>
    <row r="203" spans="1:7">
      <c r="A203" t="s">
        <v>50</v>
      </c>
      <c r="B203">
        <v>14</v>
      </c>
      <c r="C203" s="55">
        <v>112214</v>
      </c>
      <c r="D203" t="s">
        <v>3941</v>
      </c>
      <c r="E203" t="s">
        <v>59</v>
      </c>
      <c r="F203"/>
      <c r="G203" s="130" t="str">
        <f t="shared" si="3"/>
        <v>電機一孝</v>
      </c>
    </row>
    <row r="204" spans="1:7">
      <c r="A204" t="s">
        <v>50</v>
      </c>
      <c r="B204">
        <v>15</v>
      </c>
      <c r="C204" s="55">
        <v>112215</v>
      </c>
      <c r="D204" t="s">
        <v>3959</v>
      </c>
      <c r="E204" t="s">
        <v>59</v>
      </c>
      <c r="F204"/>
      <c r="G204" s="130" t="str">
        <f t="shared" si="3"/>
        <v>電機一孝</v>
      </c>
    </row>
    <row r="205" spans="1:7">
      <c r="A205" t="s">
        <v>50</v>
      </c>
      <c r="B205">
        <v>16</v>
      </c>
      <c r="C205" s="55">
        <v>112216</v>
      </c>
      <c r="D205" t="s">
        <v>3977</v>
      </c>
      <c r="E205" t="s">
        <v>59</v>
      </c>
      <c r="F205"/>
      <c r="G205" s="130" t="str">
        <f t="shared" si="3"/>
        <v>電機一孝</v>
      </c>
    </row>
    <row r="206" spans="1:7">
      <c r="A206" t="s">
        <v>50</v>
      </c>
      <c r="B206">
        <v>17</v>
      </c>
      <c r="C206" s="55">
        <v>112217</v>
      </c>
      <c r="D206" t="s">
        <v>3994</v>
      </c>
      <c r="E206" t="s">
        <v>59</v>
      </c>
      <c r="F206"/>
      <c r="G206" s="130" t="str">
        <f t="shared" si="3"/>
        <v>電機一孝</v>
      </c>
    </row>
    <row r="207" spans="1:7">
      <c r="A207" t="s">
        <v>50</v>
      </c>
      <c r="B207">
        <v>18</v>
      </c>
      <c r="C207" s="55">
        <v>112218</v>
      </c>
      <c r="D207" t="s">
        <v>4009</v>
      </c>
      <c r="E207" t="s">
        <v>59</v>
      </c>
      <c r="F207"/>
      <c r="G207" s="130" t="str">
        <f t="shared" si="3"/>
        <v>電機一孝</v>
      </c>
    </row>
    <row r="208" spans="1:7">
      <c r="A208" t="s">
        <v>50</v>
      </c>
      <c r="B208">
        <v>19</v>
      </c>
      <c r="C208" s="55">
        <v>112219</v>
      </c>
      <c r="D208" t="s">
        <v>4026</v>
      </c>
      <c r="E208" t="s">
        <v>59</v>
      </c>
      <c r="F208"/>
      <c r="G208" s="130" t="str">
        <f t="shared" si="3"/>
        <v>電機一孝</v>
      </c>
    </row>
    <row r="209" spans="1:7">
      <c r="A209" t="s">
        <v>50</v>
      </c>
      <c r="B209">
        <v>20</v>
      </c>
      <c r="C209" s="55">
        <v>112220</v>
      </c>
      <c r="D209" t="s">
        <v>4043</v>
      </c>
      <c r="E209" t="s">
        <v>59</v>
      </c>
      <c r="F209"/>
      <c r="G209" s="130" t="str">
        <f t="shared" si="3"/>
        <v>電機一孝</v>
      </c>
    </row>
    <row r="210" spans="1:7">
      <c r="A210" t="s">
        <v>50</v>
      </c>
      <c r="B210">
        <v>21</v>
      </c>
      <c r="C210" s="55">
        <v>112221</v>
      </c>
      <c r="D210" t="s">
        <v>4059</v>
      </c>
      <c r="E210" t="s">
        <v>59</v>
      </c>
      <c r="F210"/>
      <c r="G210" s="130" t="str">
        <f t="shared" si="3"/>
        <v>電機一孝</v>
      </c>
    </row>
    <row r="211" spans="1:7">
      <c r="A211" t="s">
        <v>50</v>
      </c>
      <c r="B211">
        <v>22</v>
      </c>
      <c r="C211" s="55">
        <v>112222</v>
      </c>
      <c r="D211" t="s">
        <v>4073</v>
      </c>
      <c r="E211" t="s">
        <v>59</v>
      </c>
      <c r="F211"/>
      <c r="G211" s="130" t="str">
        <f t="shared" si="3"/>
        <v>電機一孝</v>
      </c>
    </row>
    <row r="212" spans="1:7">
      <c r="A212" t="s">
        <v>50</v>
      </c>
      <c r="B212">
        <v>23</v>
      </c>
      <c r="C212" s="55">
        <v>112223</v>
      </c>
      <c r="D212" t="s">
        <v>4089</v>
      </c>
      <c r="E212" t="s">
        <v>59</v>
      </c>
      <c r="F212"/>
      <c r="G212" s="130" t="str">
        <f t="shared" si="3"/>
        <v>電機一孝</v>
      </c>
    </row>
    <row r="213" spans="1:7">
      <c r="A213" t="s">
        <v>50</v>
      </c>
      <c r="B213">
        <v>24</v>
      </c>
      <c r="C213" s="55">
        <v>112224</v>
      </c>
      <c r="D213" t="s">
        <v>4011</v>
      </c>
      <c r="E213" t="s">
        <v>59</v>
      </c>
      <c r="F213"/>
      <c r="G213" s="130" t="str">
        <f t="shared" si="3"/>
        <v>電機一孝</v>
      </c>
    </row>
    <row r="214" spans="1:7">
      <c r="A214" t="s">
        <v>50</v>
      </c>
      <c r="B214">
        <v>25</v>
      </c>
      <c r="C214" s="55">
        <v>112225</v>
      </c>
      <c r="D214" t="s">
        <v>4119</v>
      </c>
      <c r="E214" t="s">
        <v>59</v>
      </c>
      <c r="F214"/>
      <c r="G214" s="130" t="str">
        <f t="shared" si="3"/>
        <v>電機一孝</v>
      </c>
    </row>
    <row r="215" spans="1:7">
      <c r="A215" t="s">
        <v>50</v>
      </c>
      <c r="B215">
        <v>26</v>
      </c>
      <c r="C215" s="55">
        <v>112226</v>
      </c>
      <c r="D215" t="s">
        <v>4136</v>
      </c>
      <c r="E215" t="s">
        <v>59</v>
      </c>
      <c r="F215"/>
      <c r="G215" s="130" t="str">
        <f t="shared" si="3"/>
        <v>電機一孝</v>
      </c>
    </row>
    <row r="216" spans="1:7">
      <c r="A216" t="s">
        <v>50</v>
      </c>
      <c r="B216">
        <v>27</v>
      </c>
      <c r="C216" s="55">
        <v>112227</v>
      </c>
      <c r="D216" t="s">
        <v>4152</v>
      </c>
      <c r="E216" t="s">
        <v>59</v>
      </c>
      <c r="F216"/>
      <c r="G216" s="130" t="str">
        <f t="shared" si="3"/>
        <v>電機一孝</v>
      </c>
    </row>
    <row r="217" spans="1:7">
      <c r="A217" t="s">
        <v>50</v>
      </c>
      <c r="B217">
        <v>28</v>
      </c>
      <c r="C217" s="55">
        <v>112228</v>
      </c>
      <c r="D217" t="s">
        <v>4169</v>
      </c>
      <c r="E217" t="s">
        <v>59</v>
      </c>
      <c r="F217"/>
      <c r="G217" s="130" t="str">
        <f t="shared" si="3"/>
        <v>電機一孝</v>
      </c>
    </row>
    <row r="218" spans="1:7">
      <c r="A218" t="s">
        <v>50</v>
      </c>
      <c r="B218">
        <v>29</v>
      </c>
      <c r="C218" s="55">
        <v>112229</v>
      </c>
      <c r="D218" t="s">
        <v>4186</v>
      </c>
      <c r="E218" t="s">
        <v>59</v>
      </c>
      <c r="F218"/>
      <c r="G218" s="130" t="str">
        <f t="shared" si="3"/>
        <v>電機一孝</v>
      </c>
    </row>
    <row r="219" spans="1:7">
      <c r="A219" t="s">
        <v>50</v>
      </c>
      <c r="B219">
        <v>30</v>
      </c>
      <c r="C219" s="55">
        <v>112230</v>
      </c>
      <c r="D219" t="s">
        <v>4203</v>
      </c>
      <c r="E219" t="s">
        <v>59</v>
      </c>
      <c r="F219"/>
      <c r="G219" s="130" t="str">
        <f t="shared" si="3"/>
        <v>電機一孝</v>
      </c>
    </row>
    <row r="220" spans="1:7">
      <c r="A220" t="s">
        <v>50</v>
      </c>
      <c r="B220">
        <v>31</v>
      </c>
      <c r="C220" s="55">
        <v>112231</v>
      </c>
      <c r="D220" t="s">
        <v>4220</v>
      </c>
      <c r="E220" t="s">
        <v>59</v>
      </c>
      <c r="F220"/>
      <c r="G220" s="130" t="str">
        <f t="shared" si="3"/>
        <v>電機一孝</v>
      </c>
    </row>
    <row r="221" spans="1:7">
      <c r="A221" t="s">
        <v>50</v>
      </c>
      <c r="B221">
        <v>32</v>
      </c>
      <c r="C221" s="55">
        <v>112232</v>
      </c>
      <c r="D221" t="s">
        <v>4237</v>
      </c>
      <c r="E221" t="s">
        <v>59</v>
      </c>
      <c r="F221"/>
      <c r="G221" s="130" t="str">
        <f t="shared" si="3"/>
        <v>電機一孝</v>
      </c>
    </row>
    <row r="222" spans="1:7">
      <c r="A222" t="s">
        <v>50</v>
      </c>
      <c r="B222">
        <v>33</v>
      </c>
      <c r="C222" s="55">
        <v>112233</v>
      </c>
      <c r="D222" t="s">
        <v>4253</v>
      </c>
      <c r="E222" t="s">
        <v>59</v>
      </c>
      <c r="F222"/>
      <c r="G222" s="130" t="str">
        <f t="shared" si="3"/>
        <v>電機一孝</v>
      </c>
    </row>
    <row r="223" spans="1:7">
      <c r="A223" t="s">
        <v>50</v>
      </c>
      <c r="B223">
        <v>34</v>
      </c>
      <c r="C223" s="55">
        <v>112234</v>
      </c>
      <c r="D223" t="s">
        <v>4269</v>
      </c>
      <c r="E223" t="s">
        <v>59</v>
      </c>
      <c r="F223"/>
      <c r="G223" s="130" t="str">
        <f t="shared" si="3"/>
        <v>電機一孝</v>
      </c>
    </row>
    <row r="224" spans="1:7">
      <c r="A224" t="s">
        <v>50</v>
      </c>
      <c r="B224">
        <v>35</v>
      </c>
      <c r="C224" s="55">
        <v>112235</v>
      </c>
      <c r="D224" t="s">
        <v>4283</v>
      </c>
      <c r="E224" t="s">
        <v>59</v>
      </c>
      <c r="F224"/>
      <c r="G224" s="130" t="str">
        <f t="shared" si="3"/>
        <v>電機一孝</v>
      </c>
    </row>
    <row r="225" spans="1:7">
      <c r="A225" t="s">
        <v>50</v>
      </c>
      <c r="B225">
        <v>36</v>
      </c>
      <c r="C225" s="55">
        <v>112236</v>
      </c>
      <c r="D225" t="s">
        <v>4297</v>
      </c>
      <c r="E225" t="s">
        <v>59</v>
      </c>
      <c r="F225"/>
      <c r="G225" s="130" t="str">
        <f t="shared" si="3"/>
        <v>電機一孝</v>
      </c>
    </row>
    <row r="226" spans="1:7">
      <c r="A226" t="s">
        <v>50</v>
      </c>
      <c r="B226">
        <v>37</v>
      </c>
      <c r="C226" s="55">
        <v>112237</v>
      </c>
      <c r="D226" t="s">
        <v>4310</v>
      </c>
      <c r="E226" t="s">
        <v>59</v>
      </c>
      <c r="F226"/>
      <c r="G226" s="130" t="str">
        <f t="shared" si="3"/>
        <v>電機一孝</v>
      </c>
    </row>
    <row r="227" spans="1:7">
      <c r="A227" t="s">
        <v>50</v>
      </c>
      <c r="B227">
        <v>38</v>
      </c>
      <c r="C227" s="55" t="s">
        <v>2205</v>
      </c>
      <c r="D227" t="s">
        <v>2206</v>
      </c>
      <c r="E227" t="s">
        <v>59</v>
      </c>
      <c r="F227"/>
      <c r="G227" s="130" t="str">
        <f t="shared" si="3"/>
        <v>電機一孝</v>
      </c>
    </row>
    <row r="228" spans="1:7">
      <c r="A228" t="s">
        <v>51</v>
      </c>
      <c r="B228">
        <v>1</v>
      </c>
      <c r="C228" s="55">
        <v>112301</v>
      </c>
      <c r="D228" t="s">
        <v>3706</v>
      </c>
      <c r="E228" t="s">
        <v>59</v>
      </c>
      <c r="F228"/>
      <c r="G228" s="130" t="str">
        <f t="shared" si="3"/>
        <v>電機一仁</v>
      </c>
    </row>
    <row r="229" spans="1:7">
      <c r="A229" t="s">
        <v>51</v>
      </c>
      <c r="B229">
        <v>2</v>
      </c>
      <c r="C229" s="55">
        <v>112302</v>
      </c>
      <c r="D229" t="s">
        <v>3725</v>
      </c>
      <c r="E229" t="s">
        <v>59</v>
      </c>
      <c r="F229"/>
      <c r="G229" s="130" t="str">
        <f t="shared" si="3"/>
        <v>電機一仁</v>
      </c>
    </row>
    <row r="230" spans="1:7">
      <c r="A230" t="s">
        <v>51</v>
      </c>
      <c r="B230">
        <v>3</v>
      </c>
      <c r="C230" s="55">
        <v>112303</v>
      </c>
      <c r="D230" t="s">
        <v>3743</v>
      </c>
      <c r="E230" t="s">
        <v>59</v>
      </c>
      <c r="F230"/>
      <c r="G230" s="130" t="str">
        <f t="shared" si="3"/>
        <v>電機一仁</v>
      </c>
    </row>
    <row r="231" spans="1:7">
      <c r="A231" t="s">
        <v>51</v>
      </c>
      <c r="B231">
        <v>4</v>
      </c>
      <c r="C231" s="55">
        <v>112304</v>
      </c>
      <c r="D231" t="s">
        <v>3762</v>
      </c>
      <c r="E231" t="s">
        <v>59</v>
      </c>
      <c r="F231"/>
      <c r="G231" s="130" t="str">
        <f t="shared" si="3"/>
        <v>電機一仁</v>
      </c>
    </row>
    <row r="232" spans="1:7">
      <c r="A232" t="s">
        <v>51</v>
      </c>
      <c r="B232">
        <v>5</v>
      </c>
      <c r="C232" s="55">
        <v>112305</v>
      </c>
      <c r="D232" t="s">
        <v>3779</v>
      </c>
      <c r="E232" t="s">
        <v>59</v>
      </c>
      <c r="F232"/>
      <c r="G232" s="130" t="str">
        <f t="shared" si="3"/>
        <v>電機一仁</v>
      </c>
    </row>
    <row r="233" spans="1:7">
      <c r="A233" t="s">
        <v>51</v>
      </c>
      <c r="B233">
        <v>6</v>
      </c>
      <c r="C233" s="55">
        <v>112306</v>
      </c>
      <c r="D233" t="s">
        <v>3797</v>
      </c>
      <c r="E233" t="s">
        <v>59</v>
      </c>
      <c r="F233"/>
      <c r="G233" s="130" t="str">
        <f t="shared" si="3"/>
        <v>電機一仁</v>
      </c>
    </row>
    <row r="234" spans="1:7">
      <c r="A234" t="s">
        <v>51</v>
      </c>
      <c r="B234">
        <v>7</v>
      </c>
      <c r="C234" s="55">
        <v>112307</v>
      </c>
      <c r="D234" t="s">
        <v>3814</v>
      </c>
      <c r="E234" t="s">
        <v>59</v>
      </c>
      <c r="F234"/>
      <c r="G234" s="130" t="str">
        <f t="shared" si="3"/>
        <v>電機一仁</v>
      </c>
    </row>
    <row r="235" spans="1:7">
      <c r="A235" t="s">
        <v>51</v>
      </c>
      <c r="B235">
        <v>8</v>
      </c>
      <c r="C235" s="55">
        <v>112308</v>
      </c>
      <c r="D235" t="s">
        <v>3832</v>
      </c>
      <c r="E235" t="s">
        <v>59</v>
      </c>
      <c r="F235"/>
      <c r="G235" s="130" t="str">
        <f t="shared" si="3"/>
        <v>電機一仁</v>
      </c>
    </row>
    <row r="236" spans="1:7">
      <c r="A236" t="s">
        <v>51</v>
      </c>
      <c r="B236">
        <v>9</v>
      </c>
      <c r="C236" s="55">
        <v>112309</v>
      </c>
      <c r="D236" t="s">
        <v>3849</v>
      </c>
      <c r="E236" t="s">
        <v>59</v>
      </c>
      <c r="F236"/>
      <c r="G236" s="130" t="str">
        <f t="shared" si="3"/>
        <v>電機一仁</v>
      </c>
    </row>
    <row r="237" spans="1:7">
      <c r="A237" t="s">
        <v>51</v>
      </c>
      <c r="B237">
        <v>10</v>
      </c>
      <c r="C237" s="55">
        <v>112310</v>
      </c>
      <c r="D237" t="s">
        <v>3868</v>
      </c>
      <c r="E237" t="s">
        <v>59</v>
      </c>
      <c r="F237"/>
      <c r="G237" s="130" t="str">
        <f t="shared" si="3"/>
        <v>電機一仁</v>
      </c>
    </row>
    <row r="238" spans="1:7">
      <c r="A238" t="s">
        <v>51</v>
      </c>
      <c r="B238">
        <v>11</v>
      </c>
      <c r="C238" s="55">
        <v>112311</v>
      </c>
      <c r="D238" t="s">
        <v>3887</v>
      </c>
      <c r="E238" t="s">
        <v>59</v>
      </c>
      <c r="F238"/>
      <c r="G238" s="130" t="str">
        <f t="shared" si="3"/>
        <v>電機一仁</v>
      </c>
    </row>
    <row r="239" spans="1:7">
      <c r="A239" t="s">
        <v>51</v>
      </c>
      <c r="B239">
        <v>12</v>
      </c>
      <c r="C239" s="55">
        <v>112312</v>
      </c>
      <c r="D239" t="s">
        <v>3906</v>
      </c>
      <c r="E239" t="s">
        <v>59</v>
      </c>
      <c r="F239"/>
      <c r="G239" s="130" t="str">
        <f t="shared" si="3"/>
        <v>電機一仁</v>
      </c>
    </row>
    <row r="240" spans="1:7">
      <c r="A240" t="s">
        <v>51</v>
      </c>
      <c r="B240">
        <v>13</v>
      </c>
      <c r="C240" s="55">
        <v>112313</v>
      </c>
      <c r="D240" t="s">
        <v>3924</v>
      </c>
      <c r="E240" t="s">
        <v>59</v>
      </c>
      <c r="F240"/>
      <c r="G240" s="130" t="str">
        <f t="shared" si="3"/>
        <v>電機一仁</v>
      </c>
    </row>
    <row r="241" spans="1:7">
      <c r="A241" t="s">
        <v>51</v>
      </c>
      <c r="B241">
        <v>14</v>
      </c>
      <c r="C241" s="55">
        <v>112314</v>
      </c>
      <c r="D241" t="s">
        <v>3942</v>
      </c>
      <c r="E241" t="s">
        <v>59</v>
      </c>
      <c r="F241"/>
      <c r="G241" s="130" t="str">
        <f t="shared" si="3"/>
        <v>電機一仁</v>
      </c>
    </row>
    <row r="242" spans="1:7">
      <c r="A242" t="s">
        <v>51</v>
      </c>
      <c r="B242">
        <v>15</v>
      </c>
      <c r="C242" s="55">
        <v>112315</v>
      </c>
      <c r="D242" t="s">
        <v>3960</v>
      </c>
      <c r="E242" t="s">
        <v>59</v>
      </c>
      <c r="F242"/>
      <c r="G242" s="130" t="str">
        <f t="shared" si="3"/>
        <v>電機一仁</v>
      </c>
    </row>
    <row r="243" spans="1:7">
      <c r="A243" t="s">
        <v>51</v>
      </c>
      <c r="B243">
        <v>16</v>
      </c>
      <c r="C243" s="55">
        <v>112316</v>
      </c>
      <c r="D243" t="s">
        <v>3978</v>
      </c>
      <c r="E243" t="s">
        <v>59</v>
      </c>
      <c r="F243"/>
      <c r="G243" s="130" t="str">
        <f t="shared" si="3"/>
        <v>電機一仁</v>
      </c>
    </row>
    <row r="244" spans="1:7">
      <c r="A244" t="s">
        <v>51</v>
      </c>
      <c r="B244">
        <v>17</v>
      </c>
      <c r="C244" s="55">
        <v>112317</v>
      </c>
      <c r="D244" t="s">
        <v>3995</v>
      </c>
      <c r="E244" t="s">
        <v>59</v>
      </c>
      <c r="F244"/>
      <c r="G244" s="130" t="str">
        <f t="shared" si="3"/>
        <v>電機一仁</v>
      </c>
    </row>
    <row r="245" spans="1:7">
      <c r="A245" t="s">
        <v>51</v>
      </c>
      <c r="B245">
        <v>18</v>
      </c>
      <c r="C245" s="55">
        <v>112318</v>
      </c>
      <c r="D245" t="s">
        <v>4010</v>
      </c>
      <c r="E245" t="s">
        <v>59</v>
      </c>
      <c r="F245"/>
      <c r="G245" s="130" t="str">
        <f t="shared" si="3"/>
        <v>電機一仁</v>
      </c>
    </row>
    <row r="246" spans="1:7">
      <c r="A246" t="s">
        <v>51</v>
      </c>
      <c r="B246">
        <v>19</v>
      </c>
      <c r="C246" s="55">
        <v>112319</v>
      </c>
      <c r="D246" t="s">
        <v>4027</v>
      </c>
      <c r="E246" t="s">
        <v>59</v>
      </c>
      <c r="F246"/>
      <c r="G246" s="130" t="str">
        <f t="shared" si="3"/>
        <v>電機一仁</v>
      </c>
    </row>
    <row r="247" spans="1:7">
      <c r="A247" t="s">
        <v>51</v>
      </c>
      <c r="B247">
        <v>20</v>
      </c>
      <c r="C247" s="55">
        <v>112320</v>
      </c>
      <c r="D247" t="s">
        <v>4044</v>
      </c>
      <c r="E247" t="s">
        <v>59</v>
      </c>
      <c r="F247"/>
      <c r="G247" s="130" t="str">
        <f t="shared" si="3"/>
        <v>電機一仁</v>
      </c>
    </row>
    <row r="248" spans="1:7">
      <c r="A248" t="s">
        <v>51</v>
      </c>
      <c r="B248">
        <v>21</v>
      </c>
      <c r="C248" s="55">
        <v>112321</v>
      </c>
      <c r="D248" t="s">
        <v>4060</v>
      </c>
      <c r="E248" t="s">
        <v>59</v>
      </c>
      <c r="F248"/>
      <c r="G248" s="130" t="str">
        <f t="shared" si="3"/>
        <v>電機一仁</v>
      </c>
    </row>
    <row r="249" spans="1:7">
      <c r="A249" t="s">
        <v>51</v>
      </c>
      <c r="B249">
        <v>22</v>
      </c>
      <c r="C249" s="55">
        <v>112322</v>
      </c>
      <c r="D249" t="s">
        <v>4074</v>
      </c>
      <c r="E249" t="s">
        <v>59</v>
      </c>
      <c r="F249"/>
      <c r="G249" s="130" t="str">
        <f t="shared" si="3"/>
        <v>電機一仁</v>
      </c>
    </row>
    <row r="250" spans="1:7">
      <c r="A250" t="s">
        <v>51</v>
      </c>
      <c r="B250">
        <v>23</v>
      </c>
      <c r="C250" s="55">
        <v>112323</v>
      </c>
      <c r="D250" t="s">
        <v>4090</v>
      </c>
      <c r="E250" t="s">
        <v>59</v>
      </c>
      <c r="F250"/>
      <c r="G250" s="130" t="str">
        <f t="shared" si="3"/>
        <v>電機一仁</v>
      </c>
    </row>
    <row r="251" spans="1:7">
      <c r="A251" t="s">
        <v>51</v>
      </c>
      <c r="B251">
        <v>24</v>
      </c>
      <c r="C251" s="55">
        <v>112324</v>
      </c>
      <c r="D251" t="s">
        <v>4104</v>
      </c>
      <c r="E251" t="s">
        <v>59</v>
      </c>
      <c r="F251"/>
      <c r="G251" s="130" t="str">
        <f t="shared" si="3"/>
        <v>電機一仁</v>
      </c>
    </row>
    <row r="252" spans="1:7">
      <c r="A252" t="s">
        <v>51</v>
      </c>
      <c r="B252">
        <v>25</v>
      </c>
      <c r="C252" s="55">
        <v>112325</v>
      </c>
      <c r="D252" t="s">
        <v>4120</v>
      </c>
      <c r="E252" t="s">
        <v>59</v>
      </c>
      <c r="F252"/>
      <c r="G252" s="130" t="str">
        <f t="shared" si="3"/>
        <v>電機一仁</v>
      </c>
    </row>
    <row r="253" spans="1:7">
      <c r="A253" t="s">
        <v>51</v>
      </c>
      <c r="B253">
        <v>26</v>
      </c>
      <c r="C253" s="55">
        <v>112326</v>
      </c>
      <c r="D253" t="s">
        <v>4137</v>
      </c>
      <c r="E253" t="s">
        <v>59</v>
      </c>
      <c r="F253"/>
      <c r="G253" s="130" t="str">
        <f t="shared" si="3"/>
        <v>電機一仁</v>
      </c>
    </row>
    <row r="254" spans="1:7">
      <c r="A254" t="s">
        <v>51</v>
      </c>
      <c r="B254">
        <v>27</v>
      </c>
      <c r="C254" s="55">
        <v>112327</v>
      </c>
      <c r="D254" t="s">
        <v>4153</v>
      </c>
      <c r="E254" t="s">
        <v>59</v>
      </c>
      <c r="F254"/>
      <c r="G254" s="130" t="str">
        <f t="shared" si="3"/>
        <v>電機一仁</v>
      </c>
    </row>
    <row r="255" spans="1:7">
      <c r="A255" t="s">
        <v>51</v>
      </c>
      <c r="B255">
        <v>28</v>
      </c>
      <c r="C255" s="55">
        <v>112328</v>
      </c>
      <c r="D255" t="s">
        <v>4170</v>
      </c>
      <c r="E255" t="s">
        <v>59</v>
      </c>
      <c r="F255"/>
      <c r="G255" s="130" t="str">
        <f t="shared" si="3"/>
        <v>電機一仁</v>
      </c>
    </row>
    <row r="256" spans="1:7">
      <c r="A256" t="s">
        <v>51</v>
      </c>
      <c r="B256">
        <v>29</v>
      </c>
      <c r="C256" s="55">
        <v>112329</v>
      </c>
      <c r="D256" t="s">
        <v>4187</v>
      </c>
      <c r="E256" t="s">
        <v>59</v>
      </c>
      <c r="F256"/>
      <c r="G256" s="130" t="str">
        <f t="shared" si="3"/>
        <v>電機一仁</v>
      </c>
    </row>
    <row r="257" spans="1:7">
      <c r="A257" t="s">
        <v>51</v>
      </c>
      <c r="B257">
        <v>30</v>
      </c>
      <c r="C257" s="55">
        <v>112330</v>
      </c>
      <c r="D257" t="s">
        <v>4204</v>
      </c>
      <c r="E257" t="s">
        <v>59</v>
      </c>
      <c r="F257"/>
      <c r="G257" s="130" t="str">
        <f t="shared" si="3"/>
        <v>電機一仁</v>
      </c>
    </row>
    <row r="258" spans="1:7">
      <c r="A258" t="s">
        <v>51</v>
      </c>
      <c r="B258">
        <v>31</v>
      </c>
      <c r="C258" s="55">
        <v>112331</v>
      </c>
      <c r="D258" t="s">
        <v>4221</v>
      </c>
      <c r="E258" t="s">
        <v>59</v>
      </c>
      <c r="F258"/>
      <c r="G258" s="130" t="str">
        <f t="shared" si="3"/>
        <v>電機一仁</v>
      </c>
    </row>
    <row r="259" spans="1:7">
      <c r="A259" t="s">
        <v>51</v>
      </c>
      <c r="B259">
        <v>32</v>
      </c>
      <c r="C259" s="55">
        <v>112332</v>
      </c>
      <c r="D259" t="s">
        <v>4238</v>
      </c>
      <c r="E259" t="s">
        <v>59</v>
      </c>
      <c r="F259"/>
      <c r="G259" s="130" t="str">
        <f t="shared" ref="G259:G322" si="4">A259&amp;F259</f>
        <v>電機一仁</v>
      </c>
    </row>
    <row r="260" spans="1:7">
      <c r="A260" t="s">
        <v>51</v>
      </c>
      <c r="B260">
        <v>33</v>
      </c>
      <c r="C260" s="55">
        <v>112333</v>
      </c>
      <c r="D260" t="s">
        <v>4254</v>
      </c>
      <c r="E260" t="s">
        <v>59</v>
      </c>
      <c r="F260"/>
      <c r="G260" s="130" t="str">
        <f t="shared" si="4"/>
        <v>電機一仁</v>
      </c>
    </row>
    <row r="261" spans="1:7">
      <c r="A261" t="s">
        <v>51</v>
      </c>
      <c r="B261">
        <v>34</v>
      </c>
      <c r="C261" s="55">
        <v>112334</v>
      </c>
      <c r="D261" t="s">
        <v>4270</v>
      </c>
      <c r="E261" t="s">
        <v>59</v>
      </c>
      <c r="F261"/>
      <c r="G261" s="130" t="str">
        <f t="shared" si="4"/>
        <v>電機一仁</v>
      </c>
    </row>
    <row r="262" spans="1:7">
      <c r="A262" t="s">
        <v>51</v>
      </c>
      <c r="B262">
        <v>35</v>
      </c>
      <c r="C262" s="55">
        <v>112335</v>
      </c>
      <c r="D262" t="s">
        <v>4284</v>
      </c>
      <c r="E262" t="s">
        <v>59</v>
      </c>
      <c r="F262"/>
      <c r="G262" s="130" t="str">
        <f t="shared" si="4"/>
        <v>電機一仁</v>
      </c>
    </row>
    <row r="263" spans="1:7">
      <c r="A263" t="s">
        <v>51</v>
      </c>
      <c r="B263">
        <v>36</v>
      </c>
      <c r="C263" s="55">
        <v>112336</v>
      </c>
      <c r="D263" t="s">
        <v>4298</v>
      </c>
      <c r="E263" t="s">
        <v>59</v>
      </c>
      <c r="F263"/>
      <c r="G263" s="130" t="str">
        <f t="shared" si="4"/>
        <v>電機一仁</v>
      </c>
    </row>
    <row r="264" spans="1:7">
      <c r="A264" t="s">
        <v>51</v>
      </c>
      <c r="B264">
        <v>37</v>
      </c>
      <c r="C264" s="55">
        <v>112337</v>
      </c>
      <c r="D264" t="s">
        <v>4311</v>
      </c>
      <c r="E264" t="s">
        <v>59</v>
      </c>
      <c r="F264"/>
      <c r="G264" s="130" t="str">
        <f t="shared" si="4"/>
        <v>電機一仁</v>
      </c>
    </row>
    <row r="265" spans="1:7">
      <c r="A265" t="s">
        <v>51</v>
      </c>
      <c r="B265">
        <v>38</v>
      </c>
      <c r="C265" s="55">
        <v>112338</v>
      </c>
      <c r="D265" t="s">
        <v>4321</v>
      </c>
      <c r="E265" t="s">
        <v>59</v>
      </c>
      <c r="F265"/>
      <c r="G265" s="130" t="str">
        <f t="shared" si="4"/>
        <v>電機一仁</v>
      </c>
    </row>
    <row r="266" spans="1:7">
      <c r="A266" t="s">
        <v>51</v>
      </c>
      <c r="B266">
        <v>39</v>
      </c>
      <c r="C266" s="55">
        <v>112339</v>
      </c>
      <c r="D266" t="s">
        <v>4327</v>
      </c>
      <c r="E266" t="s">
        <v>59</v>
      </c>
      <c r="F266"/>
      <c r="G266" s="130" t="str">
        <f t="shared" si="4"/>
        <v>電機一仁</v>
      </c>
    </row>
    <row r="267" spans="1:7">
      <c r="A267" t="s">
        <v>52</v>
      </c>
      <c r="B267">
        <v>1</v>
      </c>
      <c r="C267" s="55">
        <v>112401</v>
      </c>
      <c r="D267" t="s">
        <v>3707</v>
      </c>
      <c r="E267" t="s">
        <v>59</v>
      </c>
      <c r="F267"/>
      <c r="G267" s="130" t="str">
        <f t="shared" si="4"/>
        <v>電機一愛</v>
      </c>
    </row>
    <row r="268" spans="1:7">
      <c r="A268" t="s">
        <v>52</v>
      </c>
      <c r="B268">
        <v>2</v>
      </c>
      <c r="C268" s="55">
        <v>112402</v>
      </c>
      <c r="D268" t="s">
        <v>3726</v>
      </c>
      <c r="E268" t="s">
        <v>59</v>
      </c>
      <c r="F268"/>
      <c r="G268" s="130" t="str">
        <f t="shared" si="4"/>
        <v>電機一愛</v>
      </c>
    </row>
    <row r="269" spans="1:7">
      <c r="A269" t="s">
        <v>52</v>
      </c>
      <c r="B269">
        <v>3</v>
      </c>
      <c r="C269" s="55">
        <v>112403</v>
      </c>
      <c r="D269" t="s">
        <v>3744</v>
      </c>
      <c r="E269" t="s">
        <v>59</v>
      </c>
      <c r="F269"/>
      <c r="G269" s="130" t="str">
        <f t="shared" si="4"/>
        <v>電機一愛</v>
      </c>
    </row>
    <row r="270" spans="1:7">
      <c r="A270" t="s">
        <v>52</v>
      </c>
      <c r="B270">
        <v>4</v>
      </c>
      <c r="C270" s="55">
        <v>112404</v>
      </c>
      <c r="D270" t="s">
        <v>3763</v>
      </c>
      <c r="E270" t="s">
        <v>59</v>
      </c>
      <c r="F270"/>
      <c r="G270" s="130" t="str">
        <f t="shared" si="4"/>
        <v>電機一愛</v>
      </c>
    </row>
    <row r="271" spans="1:7">
      <c r="A271" t="s">
        <v>52</v>
      </c>
      <c r="B271">
        <v>5</v>
      </c>
      <c r="C271" s="55">
        <v>112405</v>
      </c>
      <c r="D271" t="s">
        <v>3780</v>
      </c>
      <c r="E271" t="s">
        <v>59</v>
      </c>
      <c r="F271"/>
      <c r="G271" s="130" t="str">
        <f t="shared" si="4"/>
        <v>電機一愛</v>
      </c>
    </row>
    <row r="272" spans="1:7">
      <c r="A272" t="s">
        <v>52</v>
      </c>
      <c r="B272">
        <v>6</v>
      </c>
      <c r="C272" s="55">
        <v>112406</v>
      </c>
      <c r="D272" t="s">
        <v>3798</v>
      </c>
      <c r="E272" t="s">
        <v>59</v>
      </c>
      <c r="F272"/>
      <c r="G272" s="130" t="str">
        <f t="shared" si="4"/>
        <v>電機一愛</v>
      </c>
    </row>
    <row r="273" spans="1:7">
      <c r="A273" t="s">
        <v>52</v>
      </c>
      <c r="B273">
        <v>7</v>
      </c>
      <c r="C273" s="55">
        <v>112407</v>
      </c>
      <c r="D273" t="s">
        <v>1479</v>
      </c>
      <c r="E273" t="s">
        <v>59</v>
      </c>
      <c r="F273"/>
      <c r="G273" s="130" t="str">
        <f t="shared" si="4"/>
        <v>電機一愛</v>
      </c>
    </row>
    <row r="274" spans="1:7">
      <c r="A274" t="s">
        <v>52</v>
      </c>
      <c r="B274">
        <v>8</v>
      </c>
      <c r="C274" s="55">
        <v>112408</v>
      </c>
      <c r="D274" t="s">
        <v>3833</v>
      </c>
      <c r="E274" t="s">
        <v>59</v>
      </c>
      <c r="F274"/>
      <c r="G274" s="130" t="str">
        <f t="shared" si="4"/>
        <v>電機一愛</v>
      </c>
    </row>
    <row r="275" spans="1:7">
      <c r="A275" t="s">
        <v>52</v>
      </c>
      <c r="B275">
        <v>9</v>
      </c>
      <c r="C275" s="55">
        <v>112409</v>
      </c>
      <c r="D275" t="s">
        <v>3850</v>
      </c>
      <c r="E275" t="s">
        <v>59</v>
      </c>
      <c r="F275"/>
      <c r="G275" s="130" t="str">
        <f t="shared" si="4"/>
        <v>電機一愛</v>
      </c>
    </row>
    <row r="276" spans="1:7">
      <c r="A276" t="s">
        <v>52</v>
      </c>
      <c r="B276">
        <v>10</v>
      </c>
      <c r="C276" s="55">
        <v>112410</v>
      </c>
      <c r="D276" t="s">
        <v>3869</v>
      </c>
      <c r="E276" t="s">
        <v>59</v>
      </c>
      <c r="F276"/>
      <c r="G276" s="130" t="str">
        <f t="shared" si="4"/>
        <v>電機一愛</v>
      </c>
    </row>
    <row r="277" spans="1:7">
      <c r="A277" t="s">
        <v>52</v>
      </c>
      <c r="B277">
        <v>11</v>
      </c>
      <c r="C277" s="55">
        <v>112411</v>
      </c>
      <c r="D277" t="s">
        <v>3888</v>
      </c>
      <c r="E277" t="s">
        <v>59</v>
      </c>
      <c r="F277"/>
      <c r="G277" s="130" t="str">
        <f t="shared" si="4"/>
        <v>電機一愛</v>
      </c>
    </row>
    <row r="278" spans="1:7">
      <c r="A278" t="s">
        <v>52</v>
      </c>
      <c r="B278">
        <v>12</v>
      </c>
      <c r="C278" s="55">
        <v>112412</v>
      </c>
      <c r="D278" t="s">
        <v>3907</v>
      </c>
      <c r="E278" t="s">
        <v>59</v>
      </c>
      <c r="F278"/>
      <c r="G278" s="130" t="str">
        <f t="shared" si="4"/>
        <v>電機一愛</v>
      </c>
    </row>
    <row r="279" spans="1:7">
      <c r="A279" t="s">
        <v>52</v>
      </c>
      <c r="B279">
        <v>13</v>
      </c>
      <c r="C279" s="55">
        <v>112413</v>
      </c>
      <c r="D279" t="s">
        <v>3925</v>
      </c>
      <c r="E279" t="s">
        <v>59</v>
      </c>
      <c r="F279"/>
      <c r="G279" s="130" t="str">
        <f t="shared" si="4"/>
        <v>電機一愛</v>
      </c>
    </row>
    <row r="280" spans="1:7">
      <c r="A280" t="s">
        <v>52</v>
      </c>
      <c r="B280">
        <v>14</v>
      </c>
      <c r="C280" s="55">
        <v>112414</v>
      </c>
      <c r="D280" t="s">
        <v>3943</v>
      </c>
      <c r="E280" t="s">
        <v>59</v>
      </c>
      <c r="F280"/>
      <c r="G280" s="130" t="str">
        <f t="shared" si="4"/>
        <v>電機一愛</v>
      </c>
    </row>
    <row r="281" spans="1:7">
      <c r="A281" t="s">
        <v>52</v>
      </c>
      <c r="B281">
        <v>15</v>
      </c>
      <c r="C281" s="55">
        <v>112415</v>
      </c>
      <c r="D281" t="s">
        <v>3961</v>
      </c>
      <c r="E281" t="s">
        <v>59</v>
      </c>
      <c r="F281"/>
      <c r="G281" s="130" t="str">
        <f t="shared" si="4"/>
        <v>電機一愛</v>
      </c>
    </row>
    <row r="282" spans="1:7">
      <c r="A282" t="s">
        <v>52</v>
      </c>
      <c r="B282">
        <v>16</v>
      </c>
      <c r="C282" s="55">
        <v>112416</v>
      </c>
      <c r="D282" t="s">
        <v>3979</v>
      </c>
      <c r="E282" t="s">
        <v>59</v>
      </c>
      <c r="F282"/>
      <c r="G282" s="130" t="str">
        <f t="shared" si="4"/>
        <v>電機一愛</v>
      </c>
    </row>
    <row r="283" spans="1:7">
      <c r="A283" t="s">
        <v>52</v>
      </c>
      <c r="B283">
        <v>17</v>
      </c>
      <c r="C283" s="55">
        <v>112417</v>
      </c>
      <c r="D283" t="s">
        <v>3996</v>
      </c>
      <c r="E283" t="s">
        <v>59</v>
      </c>
      <c r="F283"/>
      <c r="G283" s="130" t="str">
        <f t="shared" si="4"/>
        <v>電機一愛</v>
      </c>
    </row>
    <row r="284" spans="1:7">
      <c r="A284" t="s">
        <v>52</v>
      </c>
      <c r="B284">
        <v>18</v>
      </c>
      <c r="C284" s="55">
        <v>112418</v>
      </c>
      <c r="D284" t="s">
        <v>4011</v>
      </c>
      <c r="E284" t="s">
        <v>59</v>
      </c>
      <c r="F284"/>
      <c r="G284" s="130" t="str">
        <f t="shared" si="4"/>
        <v>電機一愛</v>
      </c>
    </row>
    <row r="285" spans="1:7">
      <c r="A285" t="s">
        <v>52</v>
      </c>
      <c r="B285">
        <v>19</v>
      </c>
      <c r="C285" s="55">
        <v>112419</v>
      </c>
      <c r="D285" t="s">
        <v>4028</v>
      </c>
      <c r="E285" t="s">
        <v>59</v>
      </c>
      <c r="F285"/>
      <c r="G285" s="130" t="str">
        <f t="shared" si="4"/>
        <v>電機一愛</v>
      </c>
    </row>
    <row r="286" spans="1:7">
      <c r="A286" t="s">
        <v>52</v>
      </c>
      <c r="B286">
        <v>20</v>
      </c>
      <c r="C286" s="55">
        <v>112420</v>
      </c>
      <c r="D286" t="s">
        <v>3122</v>
      </c>
      <c r="E286" t="s">
        <v>59</v>
      </c>
      <c r="F286"/>
      <c r="G286" s="130" t="str">
        <f t="shared" si="4"/>
        <v>電機一愛</v>
      </c>
    </row>
    <row r="287" spans="1:7">
      <c r="A287" t="s">
        <v>52</v>
      </c>
      <c r="B287">
        <v>21</v>
      </c>
      <c r="C287" s="55">
        <v>112421</v>
      </c>
      <c r="D287" t="s">
        <v>4061</v>
      </c>
      <c r="E287" t="s">
        <v>59</v>
      </c>
      <c r="F287"/>
      <c r="G287" s="130" t="str">
        <f t="shared" si="4"/>
        <v>電機一愛</v>
      </c>
    </row>
    <row r="288" spans="1:7">
      <c r="A288" t="s">
        <v>52</v>
      </c>
      <c r="B288">
        <v>22</v>
      </c>
      <c r="C288" s="55">
        <v>112422</v>
      </c>
      <c r="D288" t="s">
        <v>4075</v>
      </c>
      <c r="E288" t="s">
        <v>59</v>
      </c>
      <c r="F288"/>
      <c r="G288" s="130" t="str">
        <f t="shared" si="4"/>
        <v>電機一愛</v>
      </c>
    </row>
    <row r="289" spans="1:7">
      <c r="A289" t="s">
        <v>52</v>
      </c>
      <c r="B289">
        <v>23</v>
      </c>
      <c r="C289" s="55">
        <v>112423</v>
      </c>
      <c r="D289" t="s">
        <v>2056</v>
      </c>
      <c r="E289" t="s">
        <v>59</v>
      </c>
      <c r="F289"/>
      <c r="G289" s="130" t="str">
        <f t="shared" si="4"/>
        <v>電機一愛</v>
      </c>
    </row>
    <row r="290" spans="1:7">
      <c r="A290" t="s">
        <v>52</v>
      </c>
      <c r="B290">
        <v>24</v>
      </c>
      <c r="C290" s="55">
        <v>112424</v>
      </c>
      <c r="D290" t="s">
        <v>4105</v>
      </c>
      <c r="E290" t="s">
        <v>59</v>
      </c>
      <c r="F290"/>
      <c r="G290" s="130" t="str">
        <f t="shared" si="4"/>
        <v>電機一愛</v>
      </c>
    </row>
    <row r="291" spans="1:7">
      <c r="A291" t="s">
        <v>52</v>
      </c>
      <c r="B291">
        <v>25</v>
      </c>
      <c r="C291" s="55">
        <v>112425</v>
      </c>
      <c r="D291" t="s">
        <v>4121</v>
      </c>
      <c r="E291" t="s">
        <v>59</v>
      </c>
      <c r="F291"/>
      <c r="G291" s="130" t="str">
        <f t="shared" si="4"/>
        <v>電機一愛</v>
      </c>
    </row>
    <row r="292" spans="1:7">
      <c r="A292" t="s">
        <v>52</v>
      </c>
      <c r="B292">
        <v>26</v>
      </c>
      <c r="C292" s="55">
        <v>112426</v>
      </c>
      <c r="D292" t="s">
        <v>4138</v>
      </c>
      <c r="E292" t="s">
        <v>59</v>
      </c>
      <c r="F292"/>
      <c r="G292" s="130" t="str">
        <f t="shared" si="4"/>
        <v>電機一愛</v>
      </c>
    </row>
    <row r="293" spans="1:7">
      <c r="A293" t="s">
        <v>52</v>
      </c>
      <c r="B293">
        <v>27</v>
      </c>
      <c r="C293" s="55">
        <v>112427</v>
      </c>
      <c r="D293" t="s">
        <v>4154</v>
      </c>
      <c r="E293" t="s">
        <v>59</v>
      </c>
      <c r="F293"/>
      <c r="G293" s="130" t="str">
        <f t="shared" si="4"/>
        <v>電機一愛</v>
      </c>
    </row>
    <row r="294" spans="1:7">
      <c r="A294" t="s">
        <v>52</v>
      </c>
      <c r="B294">
        <v>28</v>
      </c>
      <c r="C294" s="55">
        <v>112428</v>
      </c>
      <c r="D294" t="s">
        <v>4171</v>
      </c>
      <c r="E294" t="s">
        <v>59</v>
      </c>
      <c r="F294"/>
      <c r="G294" s="130" t="str">
        <f t="shared" si="4"/>
        <v>電機一愛</v>
      </c>
    </row>
    <row r="295" spans="1:7">
      <c r="A295" t="s">
        <v>52</v>
      </c>
      <c r="B295">
        <v>29</v>
      </c>
      <c r="C295" s="55">
        <v>112429</v>
      </c>
      <c r="D295" t="s">
        <v>4188</v>
      </c>
      <c r="E295" t="s">
        <v>59</v>
      </c>
      <c r="F295"/>
      <c r="G295" s="130" t="str">
        <f t="shared" si="4"/>
        <v>電機一愛</v>
      </c>
    </row>
    <row r="296" spans="1:7">
      <c r="A296" t="s">
        <v>52</v>
      </c>
      <c r="B296">
        <v>30</v>
      </c>
      <c r="C296" s="55">
        <v>112430</v>
      </c>
      <c r="D296" t="s">
        <v>4205</v>
      </c>
      <c r="E296" t="s">
        <v>59</v>
      </c>
      <c r="F296"/>
      <c r="G296" s="130" t="str">
        <f t="shared" si="4"/>
        <v>電機一愛</v>
      </c>
    </row>
    <row r="297" spans="1:7">
      <c r="A297" t="s">
        <v>52</v>
      </c>
      <c r="B297">
        <v>31</v>
      </c>
      <c r="C297" s="55">
        <v>112431</v>
      </c>
      <c r="D297" t="s">
        <v>4222</v>
      </c>
      <c r="E297" t="s">
        <v>59</v>
      </c>
      <c r="F297"/>
      <c r="G297" s="130" t="str">
        <f t="shared" si="4"/>
        <v>電機一愛</v>
      </c>
    </row>
    <row r="298" spans="1:7">
      <c r="A298" t="s">
        <v>52</v>
      </c>
      <c r="B298">
        <v>32</v>
      </c>
      <c r="C298" s="55">
        <v>112432</v>
      </c>
      <c r="D298" t="s">
        <v>4239</v>
      </c>
      <c r="E298" t="s">
        <v>59</v>
      </c>
      <c r="F298"/>
      <c r="G298" s="130" t="str">
        <f t="shared" si="4"/>
        <v>電機一愛</v>
      </c>
    </row>
    <row r="299" spans="1:7">
      <c r="A299" t="s">
        <v>52</v>
      </c>
      <c r="B299">
        <v>33</v>
      </c>
      <c r="C299" s="55">
        <v>112433</v>
      </c>
      <c r="D299" t="s">
        <v>4255</v>
      </c>
      <c r="E299" t="s">
        <v>59</v>
      </c>
      <c r="F299"/>
      <c r="G299" s="130" t="str">
        <f t="shared" si="4"/>
        <v>電機一愛</v>
      </c>
    </row>
    <row r="300" spans="1:7">
      <c r="A300" t="s">
        <v>52</v>
      </c>
      <c r="B300">
        <v>34</v>
      </c>
      <c r="C300" s="55">
        <v>112434</v>
      </c>
      <c r="D300" t="s">
        <v>4271</v>
      </c>
      <c r="E300" t="s">
        <v>59</v>
      </c>
      <c r="F300"/>
      <c r="G300" s="130" t="str">
        <f t="shared" si="4"/>
        <v>電機一愛</v>
      </c>
    </row>
    <row r="301" spans="1:7">
      <c r="A301" t="s">
        <v>52</v>
      </c>
      <c r="B301">
        <v>35</v>
      </c>
      <c r="C301" s="55">
        <v>112435</v>
      </c>
      <c r="D301" t="s">
        <v>4285</v>
      </c>
      <c r="E301" t="s">
        <v>59</v>
      </c>
      <c r="F301"/>
      <c r="G301" s="130" t="str">
        <f t="shared" si="4"/>
        <v>電機一愛</v>
      </c>
    </row>
    <row r="302" spans="1:7">
      <c r="A302" t="s">
        <v>52</v>
      </c>
      <c r="B302">
        <v>36</v>
      </c>
      <c r="C302" s="55">
        <v>112436</v>
      </c>
      <c r="D302" t="s">
        <v>4299</v>
      </c>
      <c r="E302" t="s">
        <v>59</v>
      </c>
      <c r="F302"/>
      <c r="G302" s="130" t="str">
        <f t="shared" si="4"/>
        <v>電機一愛</v>
      </c>
    </row>
    <row r="303" spans="1:7">
      <c r="A303" t="s">
        <v>52</v>
      </c>
      <c r="B303">
        <v>37</v>
      </c>
      <c r="C303" s="55">
        <v>112437</v>
      </c>
      <c r="D303" t="s">
        <v>4312</v>
      </c>
      <c r="E303" t="s">
        <v>59</v>
      </c>
      <c r="F303"/>
      <c r="G303" s="130" t="str">
        <f t="shared" si="4"/>
        <v>電機一愛</v>
      </c>
    </row>
    <row r="304" spans="1:7">
      <c r="A304" t="s">
        <v>52</v>
      </c>
      <c r="B304">
        <v>38</v>
      </c>
      <c r="C304" s="55">
        <v>112438</v>
      </c>
      <c r="D304" t="s">
        <v>4322</v>
      </c>
      <c r="E304" t="s">
        <v>59</v>
      </c>
      <c r="F304"/>
      <c r="G304" s="130" t="str">
        <f t="shared" si="4"/>
        <v>電機一愛</v>
      </c>
    </row>
    <row r="305" spans="1:7">
      <c r="A305" t="s">
        <v>53</v>
      </c>
      <c r="B305">
        <v>1</v>
      </c>
      <c r="C305" s="55">
        <v>113101</v>
      </c>
      <c r="D305" t="s">
        <v>3708</v>
      </c>
      <c r="E305" t="s">
        <v>59</v>
      </c>
      <c r="F305"/>
      <c r="G305" s="130" t="str">
        <f t="shared" si="4"/>
        <v>資訊一忠</v>
      </c>
    </row>
    <row r="306" spans="1:7">
      <c r="A306" t="s">
        <v>53</v>
      </c>
      <c r="B306">
        <v>2</v>
      </c>
      <c r="C306" s="55">
        <v>113102</v>
      </c>
      <c r="D306" t="s">
        <v>3727</v>
      </c>
      <c r="E306" t="s">
        <v>59</v>
      </c>
      <c r="F306"/>
      <c r="G306" s="130" t="str">
        <f t="shared" si="4"/>
        <v>資訊一忠</v>
      </c>
    </row>
    <row r="307" spans="1:7">
      <c r="A307" t="s">
        <v>53</v>
      </c>
      <c r="B307">
        <v>3</v>
      </c>
      <c r="C307" s="55">
        <v>113103</v>
      </c>
      <c r="D307" t="s">
        <v>3745</v>
      </c>
      <c r="E307" t="s">
        <v>59</v>
      </c>
      <c r="F307"/>
      <c r="G307" s="130" t="str">
        <f t="shared" si="4"/>
        <v>資訊一忠</v>
      </c>
    </row>
    <row r="308" spans="1:7">
      <c r="A308" t="s">
        <v>53</v>
      </c>
      <c r="B308">
        <v>4</v>
      </c>
      <c r="C308" s="55">
        <v>113104</v>
      </c>
      <c r="D308" t="s">
        <v>3764</v>
      </c>
      <c r="E308" t="s">
        <v>59</v>
      </c>
      <c r="F308"/>
      <c r="G308" s="130" t="str">
        <f t="shared" si="4"/>
        <v>資訊一忠</v>
      </c>
    </row>
    <row r="309" spans="1:7">
      <c r="A309" t="s">
        <v>53</v>
      </c>
      <c r="B309">
        <v>5</v>
      </c>
      <c r="C309" s="55">
        <v>113105</v>
      </c>
      <c r="D309" t="s">
        <v>3781</v>
      </c>
      <c r="E309" t="s">
        <v>59</v>
      </c>
      <c r="F309"/>
      <c r="G309" s="130" t="str">
        <f t="shared" si="4"/>
        <v>資訊一忠</v>
      </c>
    </row>
    <row r="310" spans="1:7">
      <c r="A310" t="s">
        <v>53</v>
      </c>
      <c r="B310">
        <v>6</v>
      </c>
      <c r="C310" s="55">
        <v>113106</v>
      </c>
      <c r="D310" t="s">
        <v>3799</v>
      </c>
      <c r="E310" t="s">
        <v>59</v>
      </c>
      <c r="F310"/>
      <c r="G310" s="130" t="str">
        <f t="shared" si="4"/>
        <v>資訊一忠</v>
      </c>
    </row>
    <row r="311" spans="1:7">
      <c r="A311" t="s">
        <v>53</v>
      </c>
      <c r="B311">
        <v>7</v>
      </c>
      <c r="C311" s="55">
        <v>113107</v>
      </c>
      <c r="D311" t="s">
        <v>3815</v>
      </c>
      <c r="E311" t="s">
        <v>59</v>
      </c>
      <c r="F311"/>
      <c r="G311" s="130" t="str">
        <f t="shared" si="4"/>
        <v>資訊一忠</v>
      </c>
    </row>
    <row r="312" spans="1:7">
      <c r="A312" t="s">
        <v>53</v>
      </c>
      <c r="B312">
        <v>8</v>
      </c>
      <c r="C312" s="55">
        <v>113108</v>
      </c>
      <c r="D312" t="s">
        <v>3834</v>
      </c>
      <c r="E312" t="s">
        <v>59</v>
      </c>
      <c r="F312"/>
      <c r="G312" s="130" t="str">
        <f t="shared" si="4"/>
        <v>資訊一忠</v>
      </c>
    </row>
    <row r="313" spans="1:7">
      <c r="A313" t="s">
        <v>53</v>
      </c>
      <c r="B313">
        <v>9</v>
      </c>
      <c r="C313" s="55">
        <v>113109</v>
      </c>
      <c r="D313" t="s">
        <v>3851</v>
      </c>
      <c r="E313" t="s">
        <v>59</v>
      </c>
      <c r="F313"/>
      <c r="G313" s="130" t="str">
        <f t="shared" si="4"/>
        <v>資訊一忠</v>
      </c>
    </row>
    <row r="314" spans="1:7">
      <c r="A314" t="s">
        <v>53</v>
      </c>
      <c r="B314">
        <v>10</v>
      </c>
      <c r="C314" s="55">
        <v>113110</v>
      </c>
      <c r="D314" t="s">
        <v>3870</v>
      </c>
      <c r="E314" t="s">
        <v>59</v>
      </c>
      <c r="F314"/>
      <c r="G314" s="130" t="str">
        <f t="shared" si="4"/>
        <v>資訊一忠</v>
      </c>
    </row>
    <row r="315" spans="1:7">
      <c r="A315" t="s">
        <v>53</v>
      </c>
      <c r="B315">
        <v>11</v>
      </c>
      <c r="C315" s="55">
        <v>113111</v>
      </c>
      <c r="D315" t="s">
        <v>3889</v>
      </c>
      <c r="E315" t="s">
        <v>59</v>
      </c>
      <c r="F315"/>
      <c r="G315" s="130" t="str">
        <f t="shared" si="4"/>
        <v>資訊一忠</v>
      </c>
    </row>
    <row r="316" spans="1:7">
      <c r="A316" t="s">
        <v>53</v>
      </c>
      <c r="B316">
        <v>12</v>
      </c>
      <c r="C316" s="55">
        <v>113112</v>
      </c>
      <c r="D316" t="s">
        <v>3908</v>
      </c>
      <c r="E316" t="s">
        <v>59</v>
      </c>
      <c r="F316"/>
      <c r="G316" s="130" t="str">
        <f t="shared" si="4"/>
        <v>資訊一忠</v>
      </c>
    </row>
    <row r="317" spans="1:7">
      <c r="A317" t="s">
        <v>53</v>
      </c>
      <c r="B317">
        <v>13</v>
      </c>
      <c r="C317" s="55">
        <v>113113</v>
      </c>
      <c r="D317" t="s">
        <v>3926</v>
      </c>
      <c r="E317" t="s">
        <v>59</v>
      </c>
      <c r="F317"/>
      <c r="G317" s="130" t="str">
        <f t="shared" si="4"/>
        <v>資訊一忠</v>
      </c>
    </row>
    <row r="318" spans="1:7">
      <c r="A318" t="s">
        <v>53</v>
      </c>
      <c r="B318">
        <v>14</v>
      </c>
      <c r="C318" s="55">
        <v>113114</v>
      </c>
      <c r="D318" t="s">
        <v>3944</v>
      </c>
      <c r="E318" t="s">
        <v>59</v>
      </c>
      <c r="F318"/>
      <c r="G318" s="130" t="str">
        <f t="shared" si="4"/>
        <v>資訊一忠</v>
      </c>
    </row>
    <row r="319" spans="1:7">
      <c r="A319" t="s">
        <v>53</v>
      </c>
      <c r="B319">
        <v>15</v>
      </c>
      <c r="C319" s="55">
        <v>113115</v>
      </c>
      <c r="D319" t="s">
        <v>3962</v>
      </c>
      <c r="E319" t="s">
        <v>59</v>
      </c>
      <c r="F319"/>
      <c r="G319" s="130" t="str">
        <f t="shared" si="4"/>
        <v>資訊一忠</v>
      </c>
    </row>
    <row r="320" spans="1:7">
      <c r="A320" t="s">
        <v>53</v>
      </c>
      <c r="B320">
        <v>16</v>
      </c>
      <c r="C320" s="55">
        <v>113116</v>
      </c>
      <c r="D320" t="s">
        <v>3980</v>
      </c>
      <c r="E320" t="s">
        <v>59</v>
      </c>
      <c r="F320"/>
      <c r="G320" s="130" t="str">
        <f t="shared" si="4"/>
        <v>資訊一忠</v>
      </c>
    </row>
    <row r="321" spans="1:7">
      <c r="A321" t="s">
        <v>53</v>
      </c>
      <c r="B321">
        <v>17</v>
      </c>
      <c r="C321" s="55">
        <v>113117</v>
      </c>
      <c r="D321" t="s">
        <v>3997</v>
      </c>
      <c r="E321" t="s">
        <v>60</v>
      </c>
      <c r="F321"/>
      <c r="G321" s="130" t="str">
        <f t="shared" si="4"/>
        <v>資訊一忠</v>
      </c>
    </row>
    <row r="322" spans="1:7">
      <c r="A322" t="s">
        <v>53</v>
      </c>
      <c r="B322">
        <v>18</v>
      </c>
      <c r="C322" s="55">
        <v>113118</v>
      </c>
      <c r="D322" t="s">
        <v>4012</v>
      </c>
      <c r="E322" t="s">
        <v>60</v>
      </c>
      <c r="F322"/>
      <c r="G322" s="130" t="str">
        <f t="shared" si="4"/>
        <v>資訊一忠</v>
      </c>
    </row>
    <row r="323" spans="1:7">
      <c r="A323" t="s">
        <v>53</v>
      </c>
      <c r="B323">
        <v>19</v>
      </c>
      <c r="C323" s="55">
        <v>113119</v>
      </c>
      <c r="D323" t="s">
        <v>4029</v>
      </c>
      <c r="E323" t="s">
        <v>59</v>
      </c>
      <c r="F323"/>
      <c r="G323" s="130" t="str">
        <f t="shared" ref="G323:G386" si="5">A323&amp;F323</f>
        <v>資訊一忠</v>
      </c>
    </row>
    <row r="324" spans="1:7">
      <c r="A324" t="s">
        <v>53</v>
      </c>
      <c r="B324">
        <v>20</v>
      </c>
      <c r="C324" s="55">
        <v>113120</v>
      </c>
      <c r="D324" t="s">
        <v>4045</v>
      </c>
      <c r="E324" t="s">
        <v>59</v>
      </c>
      <c r="F324"/>
      <c r="G324" s="130" t="str">
        <f t="shared" si="5"/>
        <v>資訊一忠</v>
      </c>
    </row>
    <row r="325" spans="1:7">
      <c r="A325" t="s">
        <v>53</v>
      </c>
      <c r="B325">
        <v>21</v>
      </c>
      <c r="C325" s="55">
        <v>113121</v>
      </c>
      <c r="D325" t="s">
        <v>4062</v>
      </c>
      <c r="E325" t="s">
        <v>59</v>
      </c>
      <c r="F325"/>
      <c r="G325" s="130" t="str">
        <f t="shared" si="5"/>
        <v>資訊一忠</v>
      </c>
    </row>
    <row r="326" spans="1:7">
      <c r="A326" t="s">
        <v>53</v>
      </c>
      <c r="B326">
        <v>22</v>
      </c>
      <c r="C326" s="55">
        <v>113122</v>
      </c>
      <c r="D326" t="s">
        <v>4076</v>
      </c>
      <c r="E326" t="s">
        <v>59</v>
      </c>
      <c r="F326"/>
      <c r="G326" s="130" t="str">
        <f t="shared" si="5"/>
        <v>資訊一忠</v>
      </c>
    </row>
    <row r="327" spans="1:7">
      <c r="A327" t="s">
        <v>53</v>
      </c>
      <c r="B327">
        <v>23</v>
      </c>
      <c r="C327" s="55">
        <v>113123</v>
      </c>
      <c r="D327" t="s">
        <v>4091</v>
      </c>
      <c r="E327" t="s">
        <v>59</v>
      </c>
      <c r="F327"/>
      <c r="G327" s="130" t="str">
        <f t="shared" si="5"/>
        <v>資訊一忠</v>
      </c>
    </row>
    <row r="328" spans="1:7">
      <c r="A328" t="s">
        <v>53</v>
      </c>
      <c r="B328">
        <v>24</v>
      </c>
      <c r="C328" s="55">
        <v>113124</v>
      </c>
      <c r="D328" t="s">
        <v>196</v>
      </c>
      <c r="E328" t="s">
        <v>59</v>
      </c>
      <c r="F328"/>
      <c r="G328" s="130" t="str">
        <f t="shared" si="5"/>
        <v>資訊一忠</v>
      </c>
    </row>
    <row r="329" spans="1:7">
      <c r="A329" t="s">
        <v>53</v>
      </c>
      <c r="B329">
        <v>25</v>
      </c>
      <c r="C329" s="55">
        <v>113125</v>
      </c>
      <c r="D329" t="s">
        <v>4122</v>
      </c>
      <c r="E329" t="s">
        <v>59</v>
      </c>
      <c r="F329"/>
      <c r="G329" s="130" t="str">
        <f t="shared" si="5"/>
        <v>資訊一忠</v>
      </c>
    </row>
    <row r="330" spans="1:7">
      <c r="A330" t="s">
        <v>53</v>
      </c>
      <c r="B330">
        <v>26</v>
      </c>
      <c r="C330" s="55">
        <v>113126</v>
      </c>
      <c r="D330" t="s">
        <v>4139</v>
      </c>
      <c r="E330" t="s">
        <v>59</v>
      </c>
      <c r="F330"/>
      <c r="G330" s="130" t="str">
        <f t="shared" si="5"/>
        <v>資訊一忠</v>
      </c>
    </row>
    <row r="331" spans="1:7">
      <c r="A331" t="s">
        <v>53</v>
      </c>
      <c r="B331">
        <v>27</v>
      </c>
      <c r="C331" s="55">
        <v>113127</v>
      </c>
      <c r="D331" t="s">
        <v>4155</v>
      </c>
      <c r="E331" t="s">
        <v>59</v>
      </c>
      <c r="F331"/>
      <c r="G331" s="130" t="str">
        <f t="shared" si="5"/>
        <v>資訊一忠</v>
      </c>
    </row>
    <row r="332" spans="1:7">
      <c r="A332" t="s">
        <v>53</v>
      </c>
      <c r="B332">
        <v>28</v>
      </c>
      <c r="C332" s="55">
        <v>113128</v>
      </c>
      <c r="D332" t="s">
        <v>4172</v>
      </c>
      <c r="E332" t="s">
        <v>59</v>
      </c>
      <c r="F332"/>
      <c r="G332" s="130" t="str">
        <f t="shared" si="5"/>
        <v>資訊一忠</v>
      </c>
    </row>
    <row r="333" spans="1:7">
      <c r="A333" t="s">
        <v>53</v>
      </c>
      <c r="B333">
        <v>29</v>
      </c>
      <c r="C333" s="55">
        <v>113129</v>
      </c>
      <c r="D333" t="s">
        <v>4189</v>
      </c>
      <c r="E333" t="s">
        <v>59</v>
      </c>
      <c r="F333"/>
      <c r="G333" s="130" t="str">
        <f t="shared" si="5"/>
        <v>資訊一忠</v>
      </c>
    </row>
    <row r="334" spans="1:7">
      <c r="A334" t="s">
        <v>53</v>
      </c>
      <c r="B334">
        <v>30</v>
      </c>
      <c r="C334" s="55">
        <v>113130</v>
      </c>
      <c r="D334" t="s">
        <v>4206</v>
      </c>
      <c r="E334" t="s">
        <v>59</v>
      </c>
      <c r="F334"/>
      <c r="G334" s="130" t="str">
        <f t="shared" si="5"/>
        <v>資訊一忠</v>
      </c>
    </row>
    <row r="335" spans="1:7">
      <c r="A335" t="s">
        <v>53</v>
      </c>
      <c r="B335">
        <v>31</v>
      </c>
      <c r="C335" s="55">
        <v>113131</v>
      </c>
      <c r="D335" t="s">
        <v>4223</v>
      </c>
      <c r="E335" t="s">
        <v>59</v>
      </c>
      <c r="F335"/>
      <c r="G335" s="130" t="str">
        <f t="shared" si="5"/>
        <v>資訊一忠</v>
      </c>
    </row>
    <row r="336" spans="1:7">
      <c r="A336" t="s">
        <v>53</v>
      </c>
      <c r="B336">
        <v>32</v>
      </c>
      <c r="C336" s="55">
        <v>113132</v>
      </c>
      <c r="D336" t="s">
        <v>4240</v>
      </c>
      <c r="E336" t="s">
        <v>60</v>
      </c>
      <c r="F336"/>
      <c r="G336" s="130" t="str">
        <f t="shared" si="5"/>
        <v>資訊一忠</v>
      </c>
    </row>
    <row r="337" spans="1:7">
      <c r="A337" t="s">
        <v>53</v>
      </c>
      <c r="B337">
        <v>33</v>
      </c>
      <c r="C337" s="55">
        <v>113133</v>
      </c>
      <c r="D337" t="s">
        <v>4256</v>
      </c>
      <c r="E337" t="s">
        <v>59</v>
      </c>
      <c r="F337"/>
      <c r="G337" s="130" t="str">
        <f t="shared" si="5"/>
        <v>資訊一忠</v>
      </c>
    </row>
    <row r="338" spans="1:7">
      <c r="A338" t="s">
        <v>53</v>
      </c>
      <c r="B338">
        <v>34</v>
      </c>
      <c r="C338" s="55">
        <v>113134</v>
      </c>
      <c r="D338" t="s">
        <v>4272</v>
      </c>
      <c r="E338" t="s">
        <v>59</v>
      </c>
      <c r="F338"/>
      <c r="G338" s="130" t="str">
        <f t="shared" si="5"/>
        <v>資訊一忠</v>
      </c>
    </row>
    <row r="339" spans="1:7">
      <c r="A339" t="s">
        <v>53</v>
      </c>
      <c r="B339">
        <v>35</v>
      </c>
      <c r="C339" s="55">
        <v>113135</v>
      </c>
      <c r="D339" t="s">
        <v>4286</v>
      </c>
      <c r="E339" t="s">
        <v>59</v>
      </c>
      <c r="F339"/>
      <c r="G339" s="130" t="str">
        <f t="shared" si="5"/>
        <v>資訊一忠</v>
      </c>
    </row>
    <row r="340" spans="1:7">
      <c r="A340" t="s">
        <v>53</v>
      </c>
      <c r="B340">
        <v>36</v>
      </c>
      <c r="C340" s="55">
        <v>113136</v>
      </c>
      <c r="D340" t="s">
        <v>4300</v>
      </c>
      <c r="E340" t="s">
        <v>59</v>
      </c>
      <c r="F340"/>
      <c r="G340" s="130" t="str">
        <f t="shared" si="5"/>
        <v>資訊一忠</v>
      </c>
    </row>
    <row r="341" spans="1:7">
      <c r="A341" t="s">
        <v>53</v>
      </c>
      <c r="B341">
        <v>37</v>
      </c>
      <c r="C341" s="55">
        <v>113137</v>
      </c>
      <c r="D341" t="s">
        <v>4313</v>
      </c>
      <c r="E341" t="s">
        <v>60</v>
      </c>
      <c r="F341"/>
      <c r="G341" s="130" t="str">
        <f t="shared" si="5"/>
        <v>資訊一忠</v>
      </c>
    </row>
    <row r="342" spans="1:7">
      <c r="A342" t="s">
        <v>53</v>
      </c>
      <c r="B342">
        <v>38</v>
      </c>
      <c r="C342" s="55" t="s">
        <v>3667</v>
      </c>
      <c r="D342" t="s">
        <v>2992</v>
      </c>
      <c r="E342" t="s">
        <v>59</v>
      </c>
      <c r="F342"/>
      <c r="G342" s="130" t="str">
        <f t="shared" si="5"/>
        <v>資訊一忠</v>
      </c>
    </row>
    <row r="343" spans="1:7">
      <c r="A343" t="s">
        <v>54</v>
      </c>
      <c r="B343">
        <v>1</v>
      </c>
      <c r="C343" s="55">
        <v>113201</v>
      </c>
      <c r="D343" t="s">
        <v>3709</v>
      </c>
      <c r="E343" t="s">
        <v>59</v>
      </c>
      <c r="F343"/>
      <c r="G343" s="130" t="str">
        <f t="shared" si="5"/>
        <v>資訊一孝</v>
      </c>
    </row>
    <row r="344" spans="1:7">
      <c r="A344" t="s">
        <v>54</v>
      </c>
      <c r="B344">
        <v>2</v>
      </c>
      <c r="C344" s="55">
        <v>113202</v>
      </c>
      <c r="D344" t="s">
        <v>3728</v>
      </c>
      <c r="E344" t="s">
        <v>59</v>
      </c>
      <c r="F344"/>
      <c r="G344" s="130" t="str">
        <f t="shared" si="5"/>
        <v>資訊一孝</v>
      </c>
    </row>
    <row r="345" spans="1:7">
      <c r="A345" t="s">
        <v>54</v>
      </c>
      <c r="B345">
        <v>3</v>
      </c>
      <c r="C345" s="55">
        <v>113203</v>
      </c>
      <c r="D345" t="s">
        <v>3746</v>
      </c>
      <c r="E345" t="s">
        <v>59</v>
      </c>
      <c r="F345"/>
      <c r="G345" s="130" t="str">
        <f t="shared" si="5"/>
        <v>資訊一孝</v>
      </c>
    </row>
    <row r="346" spans="1:7">
      <c r="A346" t="s">
        <v>54</v>
      </c>
      <c r="B346">
        <v>4</v>
      </c>
      <c r="C346" s="55">
        <v>113204</v>
      </c>
      <c r="D346" t="s">
        <v>3765</v>
      </c>
      <c r="E346" t="s">
        <v>60</v>
      </c>
      <c r="F346"/>
      <c r="G346" s="130" t="str">
        <f t="shared" si="5"/>
        <v>資訊一孝</v>
      </c>
    </row>
    <row r="347" spans="1:7">
      <c r="A347" t="s">
        <v>54</v>
      </c>
      <c r="B347">
        <v>5</v>
      </c>
      <c r="C347" s="55">
        <v>113205</v>
      </c>
      <c r="D347" t="s">
        <v>3782</v>
      </c>
      <c r="E347" t="s">
        <v>59</v>
      </c>
      <c r="F347"/>
      <c r="G347" s="130" t="str">
        <f t="shared" si="5"/>
        <v>資訊一孝</v>
      </c>
    </row>
    <row r="348" spans="1:7">
      <c r="A348" t="s">
        <v>54</v>
      </c>
      <c r="B348">
        <v>6</v>
      </c>
      <c r="C348" s="55">
        <v>113206</v>
      </c>
      <c r="D348" t="s">
        <v>3800</v>
      </c>
      <c r="E348" t="s">
        <v>59</v>
      </c>
      <c r="F348"/>
      <c r="G348" s="130" t="str">
        <f t="shared" si="5"/>
        <v>資訊一孝</v>
      </c>
    </row>
    <row r="349" spans="1:7">
      <c r="A349" t="s">
        <v>54</v>
      </c>
      <c r="B349">
        <v>7</v>
      </c>
      <c r="C349" s="55">
        <v>113207</v>
      </c>
      <c r="D349" t="s">
        <v>3816</v>
      </c>
      <c r="E349" t="s">
        <v>59</v>
      </c>
      <c r="F349"/>
      <c r="G349" s="130" t="str">
        <f t="shared" si="5"/>
        <v>資訊一孝</v>
      </c>
    </row>
    <row r="350" spans="1:7">
      <c r="A350" t="s">
        <v>54</v>
      </c>
      <c r="B350">
        <v>8</v>
      </c>
      <c r="C350" s="55">
        <v>113208</v>
      </c>
      <c r="D350" t="s">
        <v>3835</v>
      </c>
      <c r="E350" t="s">
        <v>59</v>
      </c>
      <c r="F350"/>
      <c r="G350" s="130" t="str">
        <f t="shared" si="5"/>
        <v>資訊一孝</v>
      </c>
    </row>
    <row r="351" spans="1:7">
      <c r="A351" t="s">
        <v>54</v>
      </c>
      <c r="B351">
        <v>9</v>
      </c>
      <c r="C351" s="55">
        <v>113209</v>
      </c>
      <c r="D351" t="s">
        <v>3852</v>
      </c>
      <c r="E351" t="s">
        <v>59</v>
      </c>
      <c r="F351"/>
      <c r="G351" s="130" t="str">
        <f t="shared" si="5"/>
        <v>資訊一孝</v>
      </c>
    </row>
    <row r="352" spans="1:7">
      <c r="A352" t="s">
        <v>54</v>
      </c>
      <c r="B352">
        <v>10</v>
      </c>
      <c r="C352" s="55">
        <v>113210</v>
      </c>
      <c r="D352" t="s">
        <v>3871</v>
      </c>
      <c r="E352" t="s">
        <v>59</v>
      </c>
      <c r="F352"/>
      <c r="G352" s="130" t="str">
        <f t="shared" si="5"/>
        <v>資訊一孝</v>
      </c>
    </row>
    <row r="353" spans="1:7">
      <c r="A353" t="s">
        <v>54</v>
      </c>
      <c r="B353">
        <v>11</v>
      </c>
      <c r="C353" s="55">
        <v>113211</v>
      </c>
      <c r="D353" t="s">
        <v>3890</v>
      </c>
      <c r="E353" t="s">
        <v>59</v>
      </c>
      <c r="F353"/>
      <c r="G353" s="130" t="str">
        <f t="shared" si="5"/>
        <v>資訊一孝</v>
      </c>
    </row>
    <row r="354" spans="1:7">
      <c r="A354" t="s">
        <v>54</v>
      </c>
      <c r="B354">
        <v>12</v>
      </c>
      <c r="C354" s="55">
        <v>113212</v>
      </c>
      <c r="D354" t="s">
        <v>3909</v>
      </c>
      <c r="E354" t="s">
        <v>59</v>
      </c>
      <c r="F354"/>
      <c r="G354" s="130" t="str">
        <f t="shared" si="5"/>
        <v>資訊一孝</v>
      </c>
    </row>
    <row r="355" spans="1:7">
      <c r="A355" t="s">
        <v>54</v>
      </c>
      <c r="B355">
        <v>13</v>
      </c>
      <c r="C355" s="55">
        <v>113213</v>
      </c>
      <c r="D355" t="s">
        <v>3927</v>
      </c>
      <c r="E355" t="s">
        <v>59</v>
      </c>
      <c r="F355"/>
      <c r="G355" s="130" t="str">
        <f t="shared" si="5"/>
        <v>資訊一孝</v>
      </c>
    </row>
    <row r="356" spans="1:7">
      <c r="A356" t="s">
        <v>54</v>
      </c>
      <c r="B356">
        <v>14</v>
      </c>
      <c r="C356" s="55">
        <v>113214</v>
      </c>
      <c r="D356" t="s">
        <v>3945</v>
      </c>
      <c r="E356" t="s">
        <v>59</v>
      </c>
      <c r="F356"/>
      <c r="G356" s="130" t="str">
        <f t="shared" si="5"/>
        <v>資訊一孝</v>
      </c>
    </row>
    <row r="357" spans="1:7">
      <c r="A357" t="s">
        <v>54</v>
      </c>
      <c r="B357">
        <v>15</v>
      </c>
      <c r="C357" s="55">
        <v>113215</v>
      </c>
      <c r="D357" t="s">
        <v>3963</v>
      </c>
      <c r="E357" t="s">
        <v>59</v>
      </c>
      <c r="F357"/>
      <c r="G357" s="130" t="str">
        <f t="shared" si="5"/>
        <v>資訊一孝</v>
      </c>
    </row>
    <row r="358" spans="1:7">
      <c r="A358" t="s">
        <v>54</v>
      </c>
      <c r="B358">
        <v>16</v>
      </c>
      <c r="C358" s="55">
        <v>113216</v>
      </c>
      <c r="D358" t="s">
        <v>3981</v>
      </c>
      <c r="E358" t="s">
        <v>59</v>
      </c>
      <c r="F358"/>
      <c r="G358" s="130" t="str">
        <f t="shared" si="5"/>
        <v>資訊一孝</v>
      </c>
    </row>
    <row r="359" spans="1:7">
      <c r="A359" t="s">
        <v>54</v>
      </c>
      <c r="B359">
        <v>17</v>
      </c>
      <c r="C359" s="55">
        <v>113217</v>
      </c>
      <c r="D359" t="s">
        <v>3998</v>
      </c>
      <c r="E359" t="s">
        <v>59</v>
      </c>
      <c r="F359"/>
      <c r="G359" s="130" t="str">
        <f t="shared" si="5"/>
        <v>資訊一孝</v>
      </c>
    </row>
    <row r="360" spans="1:7">
      <c r="A360" t="s">
        <v>54</v>
      </c>
      <c r="B360">
        <v>18</v>
      </c>
      <c r="C360" s="55">
        <v>113218</v>
      </c>
      <c r="D360" t="s">
        <v>4013</v>
      </c>
      <c r="E360" t="s">
        <v>59</v>
      </c>
      <c r="F360"/>
      <c r="G360" s="130" t="str">
        <f t="shared" si="5"/>
        <v>資訊一孝</v>
      </c>
    </row>
    <row r="361" spans="1:7">
      <c r="A361" t="s">
        <v>54</v>
      </c>
      <c r="B361">
        <v>19</v>
      </c>
      <c r="C361" s="55">
        <v>113219</v>
      </c>
      <c r="D361" t="s">
        <v>4030</v>
      </c>
      <c r="E361" t="s">
        <v>59</v>
      </c>
      <c r="F361"/>
      <c r="G361" s="130" t="str">
        <f t="shared" si="5"/>
        <v>資訊一孝</v>
      </c>
    </row>
    <row r="362" spans="1:7">
      <c r="A362" t="s">
        <v>54</v>
      </c>
      <c r="B362">
        <v>20</v>
      </c>
      <c r="C362" s="55">
        <v>113220</v>
      </c>
      <c r="D362" t="s">
        <v>4046</v>
      </c>
      <c r="E362" t="s">
        <v>59</v>
      </c>
      <c r="F362"/>
      <c r="G362" s="130" t="str">
        <f t="shared" si="5"/>
        <v>資訊一孝</v>
      </c>
    </row>
    <row r="363" spans="1:7">
      <c r="A363" t="s">
        <v>54</v>
      </c>
      <c r="B363">
        <v>21</v>
      </c>
      <c r="C363" s="55">
        <v>113221</v>
      </c>
      <c r="D363" t="s">
        <v>4063</v>
      </c>
      <c r="E363" t="s">
        <v>59</v>
      </c>
      <c r="F363"/>
      <c r="G363" s="130" t="str">
        <f t="shared" si="5"/>
        <v>資訊一孝</v>
      </c>
    </row>
    <row r="364" spans="1:7">
      <c r="A364" t="s">
        <v>54</v>
      </c>
      <c r="B364">
        <v>22</v>
      </c>
      <c r="C364" s="55">
        <v>113222</v>
      </c>
      <c r="D364" t="s">
        <v>4077</v>
      </c>
      <c r="E364" t="s">
        <v>59</v>
      </c>
      <c r="F364"/>
      <c r="G364" s="130" t="str">
        <f t="shared" si="5"/>
        <v>資訊一孝</v>
      </c>
    </row>
    <row r="365" spans="1:7">
      <c r="A365" t="s">
        <v>54</v>
      </c>
      <c r="B365">
        <v>23</v>
      </c>
      <c r="C365" s="55">
        <v>113223</v>
      </c>
      <c r="D365" t="s">
        <v>4092</v>
      </c>
      <c r="E365" t="s">
        <v>60</v>
      </c>
      <c r="F365"/>
      <c r="G365" s="130" t="str">
        <f t="shared" si="5"/>
        <v>資訊一孝</v>
      </c>
    </row>
    <row r="366" spans="1:7">
      <c r="A366" t="s">
        <v>54</v>
      </c>
      <c r="B366">
        <v>24</v>
      </c>
      <c r="C366" s="55">
        <v>113224</v>
      </c>
      <c r="D366" t="s">
        <v>4106</v>
      </c>
      <c r="E366" t="s">
        <v>59</v>
      </c>
      <c r="F366"/>
      <c r="G366" s="130" t="str">
        <f t="shared" si="5"/>
        <v>資訊一孝</v>
      </c>
    </row>
    <row r="367" spans="1:7">
      <c r="A367" t="s">
        <v>54</v>
      </c>
      <c r="B367">
        <v>25</v>
      </c>
      <c r="C367" s="55">
        <v>113225</v>
      </c>
      <c r="D367" t="s">
        <v>4123</v>
      </c>
      <c r="E367" t="s">
        <v>59</v>
      </c>
      <c r="F367"/>
      <c r="G367" s="130" t="str">
        <f t="shared" si="5"/>
        <v>資訊一孝</v>
      </c>
    </row>
    <row r="368" spans="1:7">
      <c r="A368" t="s">
        <v>54</v>
      </c>
      <c r="B368">
        <v>26</v>
      </c>
      <c r="C368" s="55" t="s">
        <v>4419</v>
      </c>
      <c r="D368" t="s">
        <v>4140</v>
      </c>
      <c r="E368" t="s">
        <v>59</v>
      </c>
      <c r="F368"/>
      <c r="G368" s="130" t="str">
        <f t="shared" si="5"/>
        <v>資訊一孝</v>
      </c>
    </row>
    <row r="369" spans="1:7">
      <c r="A369" t="s">
        <v>54</v>
      </c>
      <c r="B369">
        <v>27</v>
      </c>
      <c r="C369" s="55">
        <v>113227</v>
      </c>
      <c r="D369" t="s">
        <v>4156</v>
      </c>
      <c r="E369" t="s">
        <v>60</v>
      </c>
      <c r="F369"/>
      <c r="G369" s="130" t="str">
        <f t="shared" si="5"/>
        <v>資訊一孝</v>
      </c>
    </row>
    <row r="370" spans="1:7">
      <c r="A370" t="s">
        <v>54</v>
      </c>
      <c r="B370">
        <v>28</v>
      </c>
      <c r="C370" s="55">
        <v>113228</v>
      </c>
      <c r="D370" t="s">
        <v>4173</v>
      </c>
      <c r="E370" t="s">
        <v>59</v>
      </c>
      <c r="F370"/>
      <c r="G370" s="130" t="str">
        <f t="shared" si="5"/>
        <v>資訊一孝</v>
      </c>
    </row>
    <row r="371" spans="1:7">
      <c r="A371" t="s">
        <v>54</v>
      </c>
      <c r="B371">
        <v>29</v>
      </c>
      <c r="C371" s="55">
        <v>113229</v>
      </c>
      <c r="D371" t="s">
        <v>4190</v>
      </c>
      <c r="E371" t="s">
        <v>59</v>
      </c>
      <c r="F371"/>
      <c r="G371" s="130" t="str">
        <f t="shared" si="5"/>
        <v>資訊一孝</v>
      </c>
    </row>
    <row r="372" spans="1:7">
      <c r="A372" t="s">
        <v>54</v>
      </c>
      <c r="B372">
        <v>30</v>
      </c>
      <c r="C372" s="55">
        <v>113230</v>
      </c>
      <c r="D372" t="s">
        <v>4207</v>
      </c>
      <c r="E372" t="s">
        <v>59</v>
      </c>
      <c r="F372"/>
      <c r="G372" s="130" t="str">
        <f t="shared" si="5"/>
        <v>資訊一孝</v>
      </c>
    </row>
    <row r="373" spans="1:7">
      <c r="A373" t="s">
        <v>54</v>
      </c>
      <c r="B373">
        <v>31</v>
      </c>
      <c r="C373" s="55">
        <v>113231</v>
      </c>
      <c r="D373" t="s">
        <v>4224</v>
      </c>
      <c r="E373" t="s">
        <v>59</v>
      </c>
      <c r="F373"/>
      <c r="G373" s="130" t="str">
        <f t="shared" si="5"/>
        <v>資訊一孝</v>
      </c>
    </row>
    <row r="374" spans="1:7">
      <c r="A374" t="s">
        <v>54</v>
      </c>
      <c r="B374">
        <v>32</v>
      </c>
      <c r="C374" s="55">
        <v>113232</v>
      </c>
      <c r="D374" t="s">
        <v>4241</v>
      </c>
      <c r="E374" t="s">
        <v>59</v>
      </c>
      <c r="F374"/>
      <c r="G374" s="130" t="str">
        <f t="shared" si="5"/>
        <v>資訊一孝</v>
      </c>
    </row>
    <row r="375" spans="1:7">
      <c r="A375" t="s">
        <v>54</v>
      </c>
      <c r="B375">
        <v>33</v>
      </c>
      <c r="C375" s="55">
        <v>113233</v>
      </c>
      <c r="D375" t="s">
        <v>4257</v>
      </c>
      <c r="E375" t="s">
        <v>59</v>
      </c>
      <c r="F375"/>
      <c r="G375" s="130" t="str">
        <f t="shared" si="5"/>
        <v>資訊一孝</v>
      </c>
    </row>
    <row r="376" spans="1:7">
      <c r="A376" t="s">
        <v>54</v>
      </c>
      <c r="B376">
        <v>34</v>
      </c>
      <c r="C376" s="55">
        <v>113234</v>
      </c>
      <c r="D376" t="s">
        <v>4273</v>
      </c>
      <c r="E376" t="s">
        <v>59</v>
      </c>
      <c r="F376"/>
      <c r="G376" s="130" t="str">
        <f t="shared" si="5"/>
        <v>資訊一孝</v>
      </c>
    </row>
    <row r="377" spans="1:7">
      <c r="A377" t="s">
        <v>54</v>
      </c>
      <c r="B377">
        <v>35</v>
      </c>
      <c r="C377" s="55">
        <v>113235</v>
      </c>
      <c r="D377" t="s">
        <v>4287</v>
      </c>
      <c r="E377" t="s">
        <v>59</v>
      </c>
      <c r="F377"/>
      <c r="G377" s="130" t="str">
        <f t="shared" si="5"/>
        <v>資訊一孝</v>
      </c>
    </row>
    <row r="378" spans="1:7">
      <c r="A378" t="s">
        <v>54</v>
      </c>
      <c r="B378">
        <v>36</v>
      </c>
      <c r="C378" s="55">
        <v>113236</v>
      </c>
      <c r="D378" t="s">
        <v>4301</v>
      </c>
      <c r="E378" t="s">
        <v>59</v>
      </c>
      <c r="F378"/>
      <c r="G378" s="130" t="str">
        <f t="shared" si="5"/>
        <v>資訊一孝</v>
      </c>
    </row>
    <row r="379" spans="1:7">
      <c r="A379" t="s">
        <v>54</v>
      </c>
      <c r="B379">
        <v>37</v>
      </c>
      <c r="C379" s="55">
        <v>113237</v>
      </c>
      <c r="D379" t="s">
        <v>4314</v>
      </c>
      <c r="E379" t="s">
        <v>59</v>
      </c>
      <c r="F379"/>
      <c r="G379" s="130" t="str">
        <f t="shared" si="5"/>
        <v>資訊一孝</v>
      </c>
    </row>
    <row r="380" spans="1:7">
      <c r="A380" t="s">
        <v>61</v>
      </c>
      <c r="B380">
        <v>1</v>
      </c>
      <c r="C380" s="55">
        <v>113301</v>
      </c>
      <c r="D380" t="s">
        <v>3710</v>
      </c>
      <c r="E380" t="s">
        <v>59</v>
      </c>
      <c r="F380"/>
      <c r="G380" s="130" t="str">
        <f t="shared" si="5"/>
        <v>資訊一仁</v>
      </c>
    </row>
    <row r="381" spans="1:7">
      <c r="A381" t="s">
        <v>61</v>
      </c>
      <c r="B381">
        <v>2</v>
      </c>
      <c r="C381" s="55">
        <v>113302</v>
      </c>
      <c r="D381" t="s">
        <v>3729</v>
      </c>
      <c r="E381" t="s">
        <v>59</v>
      </c>
      <c r="F381"/>
      <c r="G381" s="130" t="str">
        <f t="shared" si="5"/>
        <v>資訊一仁</v>
      </c>
    </row>
    <row r="382" spans="1:7">
      <c r="A382" t="s">
        <v>61</v>
      </c>
      <c r="B382">
        <v>3</v>
      </c>
      <c r="C382" s="55">
        <v>113303</v>
      </c>
      <c r="D382" t="s">
        <v>3747</v>
      </c>
      <c r="E382" t="s">
        <v>60</v>
      </c>
      <c r="F382"/>
      <c r="G382" s="130" t="str">
        <f t="shared" si="5"/>
        <v>資訊一仁</v>
      </c>
    </row>
    <row r="383" spans="1:7">
      <c r="A383" t="s">
        <v>61</v>
      </c>
      <c r="B383">
        <v>4</v>
      </c>
      <c r="C383" s="55">
        <v>113304</v>
      </c>
      <c r="D383" t="s">
        <v>3766</v>
      </c>
      <c r="E383" t="s">
        <v>59</v>
      </c>
      <c r="F383"/>
      <c r="G383" s="130" t="str">
        <f t="shared" si="5"/>
        <v>資訊一仁</v>
      </c>
    </row>
    <row r="384" spans="1:7">
      <c r="A384" t="s">
        <v>61</v>
      </c>
      <c r="B384">
        <v>5</v>
      </c>
      <c r="C384" s="55">
        <v>113305</v>
      </c>
      <c r="D384" t="s">
        <v>3783</v>
      </c>
      <c r="E384" t="s">
        <v>59</v>
      </c>
      <c r="F384"/>
      <c r="G384" s="130" t="str">
        <f t="shared" si="5"/>
        <v>資訊一仁</v>
      </c>
    </row>
    <row r="385" spans="1:7">
      <c r="A385" t="s">
        <v>61</v>
      </c>
      <c r="B385">
        <v>6</v>
      </c>
      <c r="C385" s="55">
        <v>113306</v>
      </c>
      <c r="D385" t="s">
        <v>3801</v>
      </c>
      <c r="E385" t="s">
        <v>59</v>
      </c>
      <c r="F385"/>
      <c r="G385" s="130" t="str">
        <f t="shared" si="5"/>
        <v>資訊一仁</v>
      </c>
    </row>
    <row r="386" spans="1:7">
      <c r="A386" t="s">
        <v>61</v>
      </c>
      <c r="B386">
        <v>7</v>
      </c>
      <c r="C386" s="55">
        <v>113307</v>
      </c>
      <c r="D386" t="s">
        <v>3817</v>
      </c>
      <c r="E386" t="s">
        <v>59</v>
      </c>
      <c r="F386"/>
      <c r="G386" s="130" t="str">
        <f t="shared" si="5"/>
        <v>資訊一仁</v>
      </c>
    </row>
    <row r="387" spans="1:7">
      <c r="A387" t="s">
        <v>61</v>
      </c>
      <c r="B387">
        <v>8</v>
      </c>
      <c r="C387" s="55">
        <v>113308</v>
      </c>
      <c r="D387" t="s">
        <v>3836</v>
      </c>
      <c r="E387" t="s">
        <v>59</v>
      </c>
      <c r="F387"/>
      <c r="G387" s="130" t="str">
        <f t="shared" ref="G387:G450" si="6">A387&amp;F387</f>
        <v>資訊一仁</v>
      </c>
    </row>
    <row r="388" spans="1:7">
      <c r="A388" t="s">
        <v>61</v>
      </c>
      <c r="B388">
        <v>9</v>
      </c>
      <c r="C388" s="55">
        <v>113309</v>
      </c>
      <c r="D388" t="s">
        <v>3853</v>
      </c>
      <c r="E388" t="s">
        <v>59</v>
      </c>
      <c r="F388"/>
      <c r="G388" s="130" t="str">
        <f t="shared" si="6"/>
        <v>資訊一仁</v>
      </c>
    </row>
    <row r="389" spans="1:7">
      <c r="A389" t="s">
        <v>61</v>
      </c>
      <c r="B389">
        <v>10</v>
      </c>
      <c r="C389" s="55">
        <v>113310</v>
      </c>
      <c r="D389" t="s">
        <v>3872</v>
      </c>
      <c r="E389" t="s">
        <v>59</v>
      </c>
      <c r="F389"/>
      <c r="G389" s="130" t="str">
        <f t="shared" si="6"/>
        <v>資訊一仁</v>
      </c>
    </row>
    <row r="390" spans="1:7">
      <c r="A390" t="s">
        <v>61</v>
      </c>
      <c r="B390">
        <v>11</v>
      </c>
      <c r="C390" s="55">
        <v>113311</v>
      </c>
      <c r="D390" t="s">
        <v>3891</v>
      </c>
      <c r="E390" t="s">
        <v>59</v>
      </c>
      <c r="F390"/>
      <c r="G390" s="130" t="str">
        <f t="shared" si="6"/>
        <v>資訊一仁</v>
      </c>
    </row>
    <row r="391" spans="1:7">
      <c r="A391" t="s">
        <v>61</v>
      </c>
      <c r="B391">
        <v>12</v>
      </c>
      <c r="C391" s="55">
        <v>113312</v>
      </c>
      <c r="D391" t="s">
        <v>3910</v>
      </c>
      <c r="E391" t="s">
        <v>59</v>
      </c>
      <c r="F391"/>
      <c r="G391" s="130" t="str">
        <f t="shared" si="6"/>
        <v>資訊一仁</v>
      </c>
    </row>
    <row r="392" spans="1:7">
      <c r="A392" t="s">
        <v>61</v>
      </c>
      <c r="B392">
        <v>13</v>
      </c>
      <c r="C392" s="55">
        <v>113313</v>
      </c>
      <c r="D392" t="s">
        <v>3928</v>
      </c>
      <c r="E392" t="s">
        <v>60</v>
      </c>
      <c r="F392"/>
      <c r="G392" s="130" t="str">
        <f t="shared" si="6"/>
        <v>資訊一仁</v>
      </c>
    </row>
    <row r="393" spans="1:7">
      <c r="A393" t="s">
        <v>61</v>
      </c>
      <c r="B393">
        <v>14</v>
      </c>
      <c r="C393" s="55">
        <v>113314</v>
      </c>
      <c r="D393" t="s">
        <v>3946</v>
      </c>
      <c r="E393" t="s">
        <v>59</v>
      </c>
      <c r="F393"/>
      <c r="G393" s="130" t="str">
        <f t="shared" si="6"/>
        <v>資訊一仁</v>
      </c>
    </row>
    <row r="394" spans="1:7">
      <c r="A394" t="s">
        <v>61</v>
      </c>
      <c r="B394">
        <v>15</v>
      </c>
      <c r="C394" s="55">
        <v>113315</v>
      </c>
      <c r="D394" t="s">
        <v>3964</v>
      </c>
      <c r="E394" t="s">
        <v>59</v>
      </c>
      <c r="F394"/>
      <c r="G394" s="130" t="str">
        <f t="shared" si="6"/>
        <v>資訊一仁</v>
      </c>
    </row>
    <row r="395" spans="1:7">
      <c r="A395" t="s">
        <v>61</v>
      </c>
      <c r="B395">
        <v>16</v>
      </c>
      <c r="C395" s="55">
        <v>113316</v>
      </c>
      <c r="D395" t="s">
        <v>3982</v>
      </c>
      <c r="E395" t="s">
        <v>59</v>
      </c>
      <c r="F395"/>
      <c r="G395" s="130" t="str">
        <f t="shared" si="6"/>
        <v>資訊一仁</v>
      </c>
    </row>
    <row r="396" spans="1:7">
      <c r="A396" t="s">
        <v>61</v>
      </c>
      <c r="B396">
        <v>17</v>
      </c>
      <c r="C396" s="55">
        <v>113317</v>
      </c>
      <c r="D396" t="s">
        <v>3999</v>
      </c>
      <c r="E396" t="s">
        <v>59</v>
      </c>
      <c r="F396"/>
      <c r="G396" s="130" t="str">
        <f t="shared" si="6"/>
        <v>資訊一仁</v>
      </c>
    </row>
    <row r="397" spans="1:7">
      <c r="A397" t="s">
        <v>61</v>
      </c>
      <c r="B397">
        <v>18</v>
      </c>
      <c r="C397" s="55">
        <v>113318</v>
      </c>
      <c r="D397" t="s">
        <v>4014</v>
      </c>
      <c r="E397" t="s">
        <v>59</v>
      </c>
      <c r="F397"/>
      <c r="G397" s="130" t="str">
        <f t="shared" si="6"/>
        <v>資訊一仁</v>
      </c>
    </row>
    <row r="398" spans="1:7">
      <c r="A398" t="s">
        <v>61</v>
      </c>
      <c r="B398">
        <v>19</v>
      </c>
      <c r="C398" s="55">
        <v>113319</v>
      </c>
      <c r="D398" t="s">
        <v>4031</v>
      </c>
      <c r="E398" t="s">
        <v>59</v>
      </c>
      <c r="F398"/>
      <c r="G398" s="130" t="str">
        <f t="shared" si="6"/>
        <v>資訊一仁</v>
      </c>
    </row>
    <row r="399" spans="1:7">
      <c r="A399" t="s">
        <v>61</v>
      </c>
      <c r="B399">
        <v>20</v>
      </c>
      <c r="C399" s="55">
        <v>113320</v>
      </c>
      <c r="D399" t="s">
        <v>4047</v>
      </c>
      <c r="E399" t="s">
        <v>59</v>
      </c>
      <c r="F399"/>
      <c r="G399" s="130" t="str">
        <f t="shared" si="6"/>
        <v>資訊一仁</v>
      </c>
    </row>
    <row r="400" spans="1:7">
      <c r="A400" t="s">
        <v>61</v>
      </c>
      <c r="B400">
        <v>21</v>
      </c>
      <c r="C400" s="55">
        <v>113321</v>
      </c>
      <c r="D400" t="s">
        <v>4064</v>
      </c>
      <c r="E400" t="s">
        <v>59</v>
      </c>
      <c r="F400"/>
      <c r="G400" s="130" t="str">
        <f t="shared" si="6"/>
        <v>資訊一仁</v>
      </c>
    </row>
    <row r="401" spans="1:7">
      <c r="A401" t="s">
        <v>61</v>
      </c>
      <c r="B401">
        <v>22</v>
      </c>
      <c r="C401" s="55">
        <v>113322</v>
      </c>
      <c r="D401" t="s">
        <v>4078</v>
      </c>
      <c r="E401" t="s">
        <v>59</v>
      </c>
      <c r="F401"/>
      <c r="G401" s="130" t="str">
        <f t="shared" si="6"/>
        <v>資訊一仁</v>
      </c>
    </row>
    <row r="402" spans="1:7">
      <c r="A402" t="s">
        <v>61</v>
      </c>
      <c r="B402">
        <v>23</v>
      </c>
      <c r="C402" s="55">
        <v>113323</v>
      </c>
      <c r="D402" t="s">
        <v>4093</v>
      </c>
      <c r="E402" t="s">
        <v>59</v>
      </c>
      <c r="F402"/>
      <c r="G402" s="130" t="str">
        <f t="shared" si="6"/>
        <v>資訊一仁</v>
      </c>
    </row>
    <row r="403" spans="1:7">
      <c r="A403" t="s">
        <v>61</v>
      </c>
      <c r="B403">
        <v>24</v>
      </c>
      <c r="C403" s="55">
        <v>113324</v>
      </c>
      <c r="D403" t="s">
        <v>4107</v>
      </c>
      <c r="E403" t="s">
        <v>59</v>
      </c>
      <c r="F403"/>
      <c r="G403" s="130" t="str">
        <f t="shared" si="6"/>
        <v>資訊一仁</v>
      </c>
    </row>
    <row r="404" spans="1:7">
      <c r="A404" t="s">
        <v>61</v>
      </c>
      <c r="B404">
        <v>25</v>
      </c>
      <c r="C404" s="55">
        <v>113325</v>
      </c>
      <c r="D404" t="s">
        <v>4124</v>
      </c>
      <c r="E404" t="s">
        <v>59</v>
      </c>
      <c r="F404"/>
      <c r="G404" s="130" t="str">
        <f t="shared" si="6"/>
        <v>資訊一仁</v>
      </c>
    </row>
    <row r="405" spans="1:7">
      <c r="A405" t="s">
        <v>61</v>
      </c>
      <c r="B405">
        <v>26</v>
      </c>
      <c r="C405" s="55">
        <v>113326</v>
      </c>
      <c r="D405" t="s">
        <v>4141</v>
      </c>
      <c r="E405" t="s">
        <v>59</v>
      </c>
      <c r="F405"/>
      <c r="G405" s="130" t="str">
        <f t="shared" si="6"/>
        <v>資訊一仁</v>
      </c>
    </row>
    <row r="406" spans="1:7">
      <c r="A406" t="s">
        <v>61</v>
      </c>
      <c r="B406">
        <v>27</v>
      </c>
      <c r="C406" s="55">
        <v>113327</v>
      </c>
      <c r="D406" t="s">
        <v>4157</v>
      </c>
      <c r="E406" t="s">
        <v>59</v>
      </c>
      <c r="F406"/>
      <c r="G406" s="130" t="str">
        <f t="shared" si="6"/>
        <v>資訊一仁</v>
      </c>
    </row>
    <row r="407" spans="1:7">
      <c r="A407" t="s">
        <v>61</v>
      </c>
      <c r="B407">
        <v>28</v>
      </c>
      <c r="C407" s="55">
        <v>113328</v>
      </c>
      <c r="D407" t="s">
        <v>4174</v>
      </c>
      <c r="E407" t="s">
        <v>59</v>
      </c>
      <c r="F407"/>
      <c r="G407" s="130" t="str">
        <f t="shared" si="6"/>
        <v>資訊一仁</v>
      </c>
    </row>
    <row r="408" spans="1:7">
      <c r="A408" t="s">
        <v>61</v>
      </c>
      <c r="B408">
        <v>29</v>
      </c>
      <c r="C408" s="55">
        <v>113329</v>
      </c>
      <c r="D408" t="s">
        <v>4191</v>
      </c>
      <c r="E408" t="s">
        <v>59</v>
      </c>
      <c r="F408"/>
      <c r="G408" s="130" t="str">
        <f t="shared" si="6"/>
        <v>資訊一仁</v>
      </c>
    </row>
    <row r="409" spans="1:7">
      <c r="A409" t="s">
        <v>61</v>
      </c>
      <c r="B409">
        <v>30</v>
      </c>
      <c r="C409" s="55">
        <v>113330</v>
      </c>
      <c r="D409" t="s">
        <v>4208</v>
      </c>
      <c r="E409" t="s">
        <v>59</v>
      </c>
      <c r="F409"/>
      <c r="G409" s="130" t="str">
        <f t="shared" si="6"/>
        <v>資訊一仁</v>
      </c>
    </row>
    <row r="410" spans="1:7">
      <c r="A410" t="s">
        <v>61</v>
      </c>
      <c r="B410">
        <v>31</v>
      </c>
      <c r="C410" s="55">
        <v>113331</v>
      </c>
      <c r="D410" t="s">
        <v>4225</v>
      </c>
      <c r="E410" t="s">
        <v>59</v>
      </c>
      <c r="F410"/>
      <c r="G410" s="130" t="str">
        <f t="shared" si="6"/>
        <v>資訊一仁</v>
      </c>
    </row>
    <row r="411" spans="1:7">
      <c r="A411" t="s">
        <v>61</v>
      </c>
      <c r="B411">
        <v>32</v>
      </c>
      <c r="C411" s="55">
        <v>113332</v>
      </c>
      <c r="D411" t="s">
        <v>4242</v>
      </c>
      <c r="E411" t="s">
        <v>59</v>
      </c>
      <c r="F411"/>
      <c r="G411" s="130" t="str">
        <f t="shared" si="6"/>
        <v>資訊一仁</v>
      </c>
    </row>
    <row r="412" spans="1:7">
      <c r="A412" t="s">
        <v>61</v>
      </c>
      <c r="B412">
        <v>33</v>
      </c>
      <c r="C412" s="55">
        <v>113333</v>
      </c>
      <c r="D412" t="s">
        <v>4258</v>
      </c>
      <c r="E412" t="s">
        <v>59</v>
      </c>
      <c r="F412"/>
      <c r="G412" s="130" t="str">
        <f t="shared" si="6"/>
        <v>資訊一仁</v>
      </c>
    </row>
    <row r="413" spans="1:7">
      <c r="A413" t="s">
        <v>61</v>
      </c>
      <c r="B413">
        <v>34</v>
      </c>
      <c r="C413" s="55">
        <v>113334</v>
      </c>
      <c r="D413" t="s">
        <v>4274</v>
      </c>
      <c r="E413" t="s">
        <v>59</v>
      </c>
      <c r="F413"/>
      <c r="G413" s="130" t="str">
        <f t="shared" si="6"/>
        <v>資訊一仁</v>
      </c>
    </row>
    <row r="414" spans="1:7">
      <c r="A414" t="s">
        <v>61</v>
      </c>
      <c r="B414">
        <v>35</v>
      </c>
      <c r="C414" s="55">
        <v>113335</v>
      </c>
      <c r="D414" t="s">
        <v>4288</v>
      </c>
      <c r="E414" t="s">
        <v>60</v>
      </c>
      <c r="F414"/>
      <c r="G414" s="130" t="str">
        <f t="shared" si="6"/>
        <v>資訊一仁</v>
      </c>
    </row>
    <row r="415" spans="1:7">
      <c r="A415" t="s">
        <v>61</v>
      </c>
      <c r="B415">
        <v>36</v>
      </c>
      <c r="C415" s="55">
        <v>113336</v>
      </c>
      <c r="D415" t="s">
        <v>4302</v>
      </c>
      <c r="E415" t="s">
        <v>59</v>
      </c>
      <c r="F415"/>
      <c r="G415" s="130" t="str">
        <f t="shared" si="6"/>
        <v>資訊一仁</v>
      </c>
    </row>
    <row r="416" spans="1:7">
      <c r="A416" t="s">
        <v>61</v>
      </c>
      <c r="B416">
        <v>37</v>
      </c>
      <c r="C416" s="55">
        <v>113337</v>
      </c>
      <c r="D416" t="s">
        <v>4315</v>
      </c>
      <c r="E416" t="s">
        <v>59</v>
      </c>
      <c r="F416"/>
      <c r="G416" s="130" t="str">
        <f t="shared" si="6"/>
        <v>資訊一仁</v>
      </c>
    </row>
    <row r="417" spans="1:7">
      <c r="A417" t="s">
        <v>61</v>
      </c>
      <c r="B417">
        <v>38</v>
      </c>
      <c r="C417" s="55">
        <v>113338</v>
      </c>
      <c r="D417" t="s">
        <v>2480</v>
      </c>
      <c r="E417" t="s">
        <v>59</v>
      </c>
      <c r="F417"/>
      <c r="G417" s="130" t="str">
        <f t="shared" si="6"/>
        <v>資訊一仁</v>
      </c>
    </row>
    <row r="418" spans="1:7">
      <c r="A418" t="s">
        <v>55</v>
      </c>
      <c r="B418">
        <v>1</v>
      </c>
      <c r="C418" s="55">
        <v>114101</v>
      </c>
      <c r="D418" t="s">
        <v>3730</v>
      </c>
      <c r="E418" t="s">
        <v>59</v>
      </c>
      <c r="F418"/>
      <c r="G418" s="130" t="str">
        <f t="shared" si="6"/>
        <v>控制一忠</v>
      </c>
    </row>
    <row r="419" spans="1:7">
      <c r="A419" t="s">
        <v>55</v>
      </c>
      <c r="B419">
        <v>2</v>
      </c>
      <c r="C419" s="55">
        <v>114102</v>
      </c>
      <c r="D419" t="s">
        <v>3748</v>
      </c>
      <c r="E419" t="s">
        <v>59</v>
      </c>
      <c r="F419"/>
      <c r="G419" s="130" t="str">
        <f t="shared" si="6"/>
        <v>控制一忠</v>
      </c>
    </row>
    <row r="420" spans="1:7">
      <c r="A420" t="s">
        <v>55</v>
      </c>
      <c r="B420">
        <v>3</v>
      </c>
      <c r="C420" s="55">
        <v>114103</v>
      </c>
      <c r="D420" t="s">
        <v>3767</v>
      </c>
      <c r="E420" t="s">
        <v>59</v>
      </c>
      <c r="F420"/>
      <c r="G420" s="130" t="str">
        <f t="shared" si="6"/>
        <v>控制一忠</v>
      </c>
    </row>
    <row r="421" spans="1:7">
      <c r="A421" t="s">
        <v>55</v>
      </c>
      <c r="B421">
        <v>4</v>
      </c>
      <c r="C421" s="55">
        <v>114104</v>
      </c>
      <c r="D421" t="s">
        <v>3784</v>
      </c>
      <c r="E421" t="s">
        <v>59</v>
      </c>
      <c r="F421"/>
      <c r="G421" s="130" t="str">
        <f t="shared" si="6"/>
        <v>控制一忠</v>
      </c>
    </row>
    <row r="422" spans="1:7">
      <c r="A422" t="s">
        <v>55</v>
      </c>
      <c r="B422">
        <v>5</v>
      </c>
      <c r="C422" s="55">
        <v>114105</v>
      </c>
      <c r="D422" t="s">
        <v>3802</v>
      </c>
      <c r="E422" t="s">
        <v>59</v>
      </c>
      <c r="F422"/>
      <c r="G422" s="130" t="str">
        <f t="shared" si="6"/>
        <v>控制一忠</v>
      </c>
    </row>
    <row r="423" spans="1:7">
      <c r="A423" t="s">
        <v>55</v>
      </c>
      <c r="B423">
        <v>6</v>
      </c>
      <c r="C423" s="55">
        <v>114106</v>
      </c>
      <c r="D423" t="s">
        <v>3818</v>
      </c>
      <c r="E423" t="s">
        <v>59</v>
      </c>
      <c r="F423"/>
      <c r="G423" s="130" t="str">
        <f t="shared" si="6"/>
        <v>控制一忠</v>
      </c>
    </row>
    <row r="424" spans="1:7">
      <c r="A424" t="s">
        <v>55</v>
      </c>
      <c r="B424">
        <v>7</v>
      </c>
      <c r="C424" s="55">
        <v>114107</v>
      </c>
      <c r="D424" t="s">
        <v>3803</v>
      </c>
      <c r="E424" t="s">
        <v>59</v>
      </c>
      <c r="F424"/>
      <c r="G424" s="130" t="str">
        <f t="shared" si="6"/>
        <v>控制一忠</v>
      </c>
    </row>
    <row r="425" spans="1:7">
      <c r="A425" t="s">
        <v>55</v>
      </c>
      <c r="B425">
        <v>8</v>
      </c>
      <c r="C425" s="55">
        <v>114108</v>
      </c>
      <c r="D425" t="s">
        <v>3854</v>
      </c>
      <c r="E425" t="s">
        <v>60</v>
      </c>
      <c r="F425"/>
      <c r="G425" s="130" t="str">
        <f t="shared" si="6"/>
        <v>控制一忠</v>
      </c>
    </row>
    <row r="426" spans="1:7">
      <c r="A426" t="s">
        <v>55</v>
      </c>
      <c r="B426">
        <v>9</v>
      </c>
      <c r="C426" s="55">
        <v>114109</v>
      </c>
      <c r="D426" t="s">
        <v>3873</v>
      </c>
      <c r="E426" t="s">
        <v>59</v>
      </c>
      <c r="F426"/>
      <c r="G426" s="130" t="str">
        <f t="shared" si="6"/>
        <v>控制一忠</v>
      </c>
    </row>
    <row r="427" spans="1:7">
      <c r="A427" t="s">
        <v>55</v>
      </c>
      <c r="B427">
        <v>10</v>
      </c>
      <c r="C427" s="55">
        <v>114110</v>
      </c>
      <c r="D427" t="s">
        <v>3892</v>
      </c>
      <c r="E427" t="s">
        <v>59</v>
      </c>
      <c r="F427"/>
      <c r="G427" s="130" t="str">
        <f t="shared" si="6"/>
        <v>控制一忠</v>
      </c>
    </row>
    <row r="428" spans="1:7">
      <c r="A428" t="s">
        <v>55</v>
      </c>
      <c r="B428">
        <v>11</v>
      </c>
      <c r="C428" s="55">
        <v>114111</v>
      </c>
      <c r="D428" t="s">
        <v>3911</v>
      </c>
      <c r="E428" t="s">
        <v>59</v>
      </c>
      <c r="F428"/>
      <c r="G428" s="130" t="str">
        <f t="shared" si="6"/>
        <v>控制一忠</v>
      </c>
    </row>
    <row r="429" spans="1:7">
      <c r="A429" t="s">
        <v>55</v>
      </c>
      <c r="B429">
        <v>12</v>
      </c>
      <c r="C429" s="55">
        <v>114112</v>
      </c>
      <c r="D429" t="s">
        <v>3874</v>
      </c>
      <c r="E429" t="s">
        <v>59</v>
      </c>
      <c r="F429"/>
      <c r="G429" s="130" t="str">
        <f t="shared" si="6"/>
        <v>控制一忠</v>
      </c>
    </row>
    <row r="430" spans="1:7">
      <c r="A430" t="s">
        <v>55</v>
      </c>
      <c r="B430">
        <v>13</v>
      </c>
      <c r="C430" s="55">
        <v>114113</v>
      </c>
      <c r="D430" t="s">
        <v>3929</v>
      </c>
      <c r="E430" t="s">
        <v>59</v>
      </c>
      <c r="F430"/>
      <c r="G430" s="130" t="str">
        <f t="shared" si="6"/>
        <v>控制一忠</v>
      </c>
    </row>
    <row r="431" spans="1:7">
      <c r="A431" t="s">
        <v>55</v>
      </c>
      <c r="B431">
        <v>14</v>
      </c>
      <c r="C431" s="55">
        <v>114114</v>
      </c>
      <c r="D431" t="s">
        <v>3947</v>
      </c>
      <c r="E431" t="s">
        <v>59</v>
      </c>
      <c r="F431"/>
      <c r="G431" s="130" t="str">
        <f t="shared" si="6"/>
        <v>控制一忠</v>
      </c>
    </row>
    <row r="432" spans="1:7">
      <c r="A432" t="s">
        <v>55</v>
      </c>
      <c r="B432">
        <v>15</v>
      </c>
      <c r="C432" s="55">
        <v>114115</v>
      </c>
      <c r="D432" t="s">
        <v>3965</v>
      </c>
      <c r="E432" t="s">
        <v>59</v>
      </c>
      <c r="F432"/>
      <c r="G432" s="130" t="str">
        <f t="shared" si="6"/>
        <v>控制一忠</v>
      </c>
    </row>
    <row r="433" spans="1:7">
      <c r="A433" t="s">
        <v>55</v>
      </c>
      <c r="B433">
        <v>16</v>
      </c>
      <c r="C433" s="55">
        <v>114116</v>
      </c>
      <c r="D433" t="s">
        <v>3983</v>
      </c>
      <c r="E433" t="s">
        <v>60</v>
      </c>
      <c r="F433"/>
      <c r="G433" s="130" t="str">
        <f t="shared" si="6"/>
        <v>控制一忠</v>
      </c>
    </row>
    <row r="434" spans="1:7">
      <c r="A434" t="s">
        <v>55</v>
      </c>
      <c r="B434">
        <v>17</v>
      </c>
      <c r="C434" s="55">
        <v>114117</v>
      </c>
      <c r="D434" t="s">
        <v>4000</v>
      </c>
      <c r="E434" t="s">
        <v>59</v>
      </c>
      <c r="F434"/>
      <c r="G434" s="130" t="str">
        <f t="shared" si="6"/>
        <v>控制一忠</v>
      </c>
    </row>
    <row r="435" spans="1:7">
      <c r="A435" t="s">
        <v>55</v>
      </c>
      <c r="B435">
        <v>18</v>
      </c>
      <c r="C435" s="55">
        <v>114118</v>
      </c>
      <c r="D435" t="s">
        <v>4015</v>
      </c>
      <c r="E435" t="s">
        <v>59</v>
      </c>
      <c r="F435"/>
      <c r="G435" s="130" t="str">
        <f t="shared" si="6"/>
        <v>控制一忠</v>
      </c>
    </row>
    <row r="436" spans="1:7">
      <c r="A436" t="s">
        <v>55</v>
      </c>
      <c r="B436">
        <v>19</v>
      </c>
      <c r="C436" s="55">
        <v>114119</v>
      </c>
      <c r="D436" t="s">
        <v>4032</v>
      </c>
      <c r="E436" t="s">
        <v>59</v>
      </c>
      <c r="F436"/>
      <c r="G436" s="130" t="str">
        <f t="shared" si="6"/>
        <v>控制一忠</v>
      </c>
    </row>
    <row r="437" spans="1:7">
      <c r="A437" t="s">
        <v>55</v>
      </c>
      <c r="B437">
        <v>20</v>
      </c>
      <c r="C437" s="55">
        <v>114120</v>
      </c>
      <c r="D437" t="s">
        <v>4048</v>
      </c>
      <c r="E437" t="s">
        <v>59</v>
      </c>
      <c r="F437"/>
      <c r="G437" s="130" t="str">
        <f t="shared" si="6"/>
        <v>控制一忠</v>
      </c>
    </row>
    <row r="438" spans="1:7">
      <c r="A438" t="s">
        <v>55</v>
      </c>
      <c r="B438">
        <v>21</v>
      </c>
      <c r="C438" s="55">
        <v>114121</v>
      </c>
      <c r="D438" t="s">
        <v>4065</v>
      </c>
      <c r="E438" t="s">
        <v>59</v>
      </c>
      <c r="F438"/>
      <c r="G438" s="130" t="str">
        <f t="shared" si="6"/>
        <v>控制一忠</v>
      </c>
    </row>
    <row r="439" spans="1:7">
      <c r="A439" t="s">
        <v>55</v>
      </c>
      <c r="B439">
        <v>22</v>
      </c>
      <c r="C439" s="55">
        <v>114122</v>
      </c>
      <c r="D439" t="s">
        <v>4094</v>
      </c>
      <c r="E439" t="s">
        <v>59</v>
      </c>
      <c r="F439"/>
      <c r="G439" s="130" t="str">
        <f t="shared" si="6"/>
        <v>控制一忠</v>
      </c>
    </row>
    <row r="440" spans="1:7">
      <c r="A440" t="s">
        <v>55</v>
      </c>
      <c r="B440">
        <v>23</v>
      </c>
      <c r="C440" s="55">
        <v>114123</v>
      </c>
      <c r="D440" t="s">
        <v>4108</v>
      </c>
      <c r="E440" t="s">
        <v>59</v>
      </c>
      <c r="F440"/>
      <c r="G440" s="130" t="str">
        <f t="shared" si="6"/>
        <v>控制一忠</v>
      </c>
    </row>
    <row r="441" spans="1:7">
      <c r="A441" t="s">
        <v>55</v>
      </c>
      <c r="B441">
        <v>24</v>
      </c>
      <c r="C441" s="55">
        <v>114124</v>
      </c>
      <c r="D441" t="s">
        <v>4125</v>
      </c>
      <c r="E441" t="s">
        <v>59</v>
      </c>
      <c r="F441"/>
      <c r="G441" s="130" t="str">
        <f t="shared" si="6"/>
        <v>控制一忠</v>
      </c>
    </row>
    <row r="442" spans="1:7">
      <c r="A442" t="s">
        <v>55</v>
      </c>
      <c r="B442">
        <v>25</v>
      </c>
      <c r="C442" s="55">
        <v>114125</v>
      </c>
      <c r="D442" t="s">
        <v>4142</v>
      </c>
      <c r="E442" t="s">
        <v>59</v>
      </c>
      <c r="F442"/>
      <c r="G442" s="130" t="str">
        <f t="shared" si="6"/>
        <v>控制一忠</v>
      </c>
    </row>
    <row r="443" spans="1:7">
      <c r="A443" t="s">
        <v>55</v>
      </c>
      <c r="B443">
        <v>26</v>
      </c>
      <c r="C443" s="55">
        <v>114126</v>
      </c>
      <c r="D443" t="s">
        <v>4158</v>
      </c>
      <c r="E443" t="s">
        <v>59</v>
      </c>
      <c r="F443"/>
      <c r="G443" s="130" t="str">
        <f t="shared" si="6"/>
        <v>控制一忠</v>
      </c>
    </row>
    <row r="444" spans="1:7">
      <c r="A444" t="s">
        <v>55</v>
      </c>
      <c r="B444">
        <v>27</v>
      </c>
      <c r="C444" s="55">
        <v>114127</v>
      </c>
      <c r="D444" t="s">
        <v>4175</v>
      </c>
      <c r="E444" t="s">
        <v>59</v>
      </c>
      <c r="F444"/>
      <c r="G444" s="130" t="str">
        <f t="shared" si="6"/>
        <v>控制一忠</v>
      </c>
    </row>
    <row r="445" spans="1:7">
      <c r="A445" t="s">
        <v>55</v>
      </c>
      <c r="B445">
        <v>28</v>
      </c>
      <c r="C445" s="55">
        <v>114128</v>
      </c>
      <c r="D445" t="s">
        <v>4126</v>
      </c>
      <c r="E445" t="s">
        <v>59</v>
      </c>
      <c r="F445"/>
      <c r="G445" s="130" t="str">
        <f t="shared" si="6"/>
        <v>控制一忠</v>
      </c>
    </row>
    <row r="446" spans="1:7">
      <c r="A446" t="s">
        <v>55</v>
      </c>
      <c r="B446">
        <v>29</v>
      </c>
      <c r="C446" s="55">
        <v>114129</v>
      </c>
      <c r="D446" t="s">
        <v>4192</v>
      </c>
      <c r="E446" t="s">
        <v>59</v>
      </c>
      <c r="F446"/>
      <c r="G446" s="130" t="str">
        <f t="shared" si="6"/>
        <v>控制一忠</v>
      </c>
    </row>
    <row r="447" spans="1:7">
      <c r="A447" t="s">
        <v>55</v>
      </c>
      <c r="B447">
        <v>30</v>
      </c>
      <c r="C447" s="55">
        <v>114130</v>
      </c>
      <c r="D447" t="s">
        <v>4209</v>
      </c>
      <c r="E447" t="s">
        <v>59</v>
      </c>
      <c r="F447"/>
      <c r="G447" s="130" t="str">
        <f t="shared" si="6"/>
        <v>控制一忠</v>
      </c>
    </row>
    <row r="448" spans="1:7">
      <c r="A448" t="s">
        <v>55</v>
      </c>
      <c r="B448">
        <v>31</v>
      </c>
      <c r="C448" s="55">
        <v>114131</v>
      </c>
      <c r="D448" t="s">
        <v>4227</v>
      </c>
      <c r="E448" t="s">
        <v>59</v>
      </c>
      <c r="F448"/>
      <c r="G448" s="130" t="str">
        <f t="shared" si="6"/>
        <v>控制一忠</v>
      </c>
    </row>
    <row r="449" spans="1:7">
      <c r="A449" t="s">
        <v>55</v>
      </c>
      <c r="B449">
        <v>32</v>
      </c>
      <c r="C449" s="55">
        <v>114132</v>
      </c>
      <c r="D449" t="s">
        <v>4226</v>
      </c>
      <c r="E449" t="s">
        <v>59</v>
      </c>
      <c r="F449"/>
      <c r="G449" s="130" t="str">
        <f t="shared" si="6"/>
        <v>控制一忠</v>
      </c>
    </row>
    <row r="450" spans="1:7">
      <c r="A450" t="s">
        <v>55</v>
      </c>
      <c r="B450">
        <v>33</v>
      </c>
      <c r="C450" s="55">
        <v>114133</v>
      </c>
      <c r="D450" t="s">
        <v>4243</v>
      </c>
      <c r="E450" t="s">
        <v>59</v>
      </c>
      <c r="F450"/>
      <c r="G450" s="130" t="str">
        <f t="shared" si="6"/>
        <v>控制一忠</v>
      </c>
    </row>
    <row r="451" spans="1:7">
      <c r="A451" t="s">
        <v>55</v>
      </c>
      <c r="B451">
        <v>34</v>
      </c>
      <c r="C451" s="55">
        <v>114134</v>
      </c>
      <c r="D451" t="s">
        <v>4259</v>
      </c>
      <c r="E451" t="s">
        <v>60</v>
      </c>
      <c r="F451"/>
      <c r="G451" s="130" t="str">
        <f t="shared" ref="G451:G514" si="7">A451&amp;F451</f>
        <v>控制一忠</v>
      </c>
    </row>
    <row r="452" spans="1:7">
      <c r="A452" t="s">
        <v>55</v>
      </c>
      <c r="B452">
        <v>35</v>
      </c>
      <c r="C452" s="55">
        <v>114135</v>
      </c>
      <c r="D452" t="s">
        <v>4275</v>
      </c>
      <c r="E452" t="s">
        <v>59</v>
      </c>
      <c r="F452"/>
      <c r="G452" s="130" t="str">
        <f t="shared" si="7"/>
        <v>控制一忠</v>
      </c>
    </row>
    <row r="453" spans="1:7">
      <c r="A453" t="s">
        <v>55</v>
      </c>
      <c r="B453">
        <v>36</v>
      </c>
      <c r="C453" s="55">
        <v>114136</v>
      </c>
      <c r="D453" t="s">
        <v>4289</v>
      </c>
      <c r="E453" t="s">
        <v>59</v>
      </c>
      <c r="F453"/>
      <c r="G453" s="130" t="str">
        <f t="shared" si="7"/>
        <v>控制一忠</v>
      </c>
    </row>
    <row r="454" spans="1:7">
      <c r="A454" t="s">
        <v>55</v>
      </c>
      <c r="B454">
        <v>37</v>
      </c>
      <c r="C454" s="55">
        <v>114137</v>
      </c>
      <c r="D454" t="s">
        <v>4303</v>
      </c>
      <c r="E454" t="s">
        <v>59</v>
      </c>
      <c r="F454"/>
      <c r="G454" s="130" t="str">
        <f t="shared" si="7"/>
        <v>控制一忠</v>
      </c>
    </row>
    <row r="455" spans="1:7">
      <c r="A455" t="s">
        <v>55</v>
      </c>
      <c r="B455">
        <v>38</v>
      </c>
      <c r="C455" s="55" t="s">
        <v>3668</v>
      </c>
      <c r="D455" t="s">
        <v>3084</v>
      </c>
      <c r="E455" t="s">
        <v>59</v>
      </c>
      <c r="F455"/>
      <c r="G455" s="130" t="str">
        <f t="shared" si="7"/>
        <v>控制一忠</v>
      </c>
    </row>
    <row r="456" spans="1:7">
      <c r="A456" t="s">
        <v>56</v>
      </c>
      <c r="B456">
        <v>1</v>
      </c>
      <c r="C456" s="55">
        <v>114201</v>
      </c>
      <c r="D456" t="s">
        <v>3711</v>
      </c>
      <c r="E456" t="s">
        <v>59</v>
      </c>
      <c r="F456"/>
      <c r="G456" s="130" t="str">
        <f t="shared" si="7"/>
        <v>控制一孝</v>
      </c>
    </row>
    <row r="457" spans="1:7">
      <c r="A457" t="s">
        <v>56</v>
      </c>
      <c r="B457">
        <v>2</v>
      </c>
      <c r="C457" s="55">
        <v>114202</v>
      </c>
      <c r="D457" t="s">
        <v>3712</v>
      </c>
      <c r="E457" t="s">
        <v>59</v>
      </c>
      <c r="F457"/>
      <c r="G457" s="130" t="str">
        <f t="shared" si="7"/>
        <v>控制一孝</v>
      </c>
    </row>
    <row r="458" spans="1:7">
      <c r="A458" t="s">
        <v>56</v>
      </c>
      <c r="B458">
        <v>3</v>
      </c>
      <c r="C458" s="55">
        <v>114203</v>
      </c>
      <c r="D458" t="s">
        <v>3731</v>
      </c>
      <c r="E458" t="s">
        <v>59</v>
      </c>
      <c r="F458"/>
      <c r="G458" s="130" t="str">
        <f t="shared" si="7"/>
        <v>控制一孝</v>
      </c>
    </row>
    <row r="459" spans="1:7">
      <c r="A459" t="s">
        <v>56</v>
      </c>
      <c r="B459">
        <v>4</v>
      </c>
      <c r="C459" s="55">
        <v>114204</v>
      </c>
      <c r="D459" t="s">
        <v>3749</v>
      </c>
      <c r="E459" t="s">
        <v>59</v>
      </c>
      <c r="F459"/>
      <c r="G459" s="130" t="str">
        <f t="shared" si="7"/>
        <v>控制一孝</v>
      </c>
    </row>
    <row r="460" spans="1:7">
      <c r="A460" t="s">
        <v>56</v>
      </c>
      <c r="B460">
        <v>5</v>
      </c>
      <c r="C460" s="55">
        <v>114205</v>
      </c>
      <c r="D460" t="s">
        <v>3768</v>
      </c>
      <c r="E460" t="s">
        <v>59</v>
      </c>
      <c r="F460"/>
      <c r="G460" s="130" t="str">
        <f t="shared" si="7"/>
        <v>控制一孝</v>
      </c>
    </row>
    <row r="461" spans="1:7">
      <c r="A461" t="s">
        <v>56</v>
      </c>
      <c r="B461">
        <v>6</v>
      </c>
      <c r="C461" s="55">
        <v>114206</v>
      </c>
      <c r="D461" t="s">
        <v>3837</v>
      </c>
      <c r="E461" t="s">
        <v>60</v>
      </c>
      <c r="F461"/>
      <c r="G461" s="130" t="str">
        <f t="shared" si="7"/>
        <v>控制一孝</v>
      </c>
    </row>
    <row r="462" spans="1:7">
      <c r="A462" t="s">
        <v>56</v>
      </c>
      <c r="B462">
        <v>7</v>
      </c>
      <c r="C462" s="55">
        <v>114207</v>
      </c>
      <c r="D462" t="s">
        <v>3785</v>
      </c>
      <c r="E462" t="s">
        <v>59</v>
      </c>
      <c r="F462"/>
      <c r="G462" s="130" t="str">
        <f t="shared" si="7"/>
        <v>控制一孝</v>
      </c>
    </row>
    <row r="463" spans="1:7">
      <c r="A463" t="s">
        <v>56</v>
      </c>
      <c r="B463">
        <v>8</v>
      </c>
      <c r="C463" s="55">
        <v>114208</v>
      </c>
      <c r="D463" t="s">
        <v>3819</v>
      </c>
      <c r="E463" t="s">
        <v>59</v>
      </c>
      <c r="F463"/>
      <c r="G463" s="130" t="str">
        <f t="shared" si="7"/>
        <v>控制一孝</v>
      </c>
    </row>
    <row r="464" spans="1:7">
      <c r="A464" t="s">
        <v>56</v>
      </c>
      <c r="B464">
        <v>9</v>
      </c>
      <c r="C464" s="55">
        <v>114209</v>
      </c>
      <c r="D464" t="s">
        <v>3838</v>
      </c>
      <c r="E464" t="s">
        <v>59</v>
      </c>
      <c r="F464"/>
      <c r="G464" s="130" t="str">
        <f t="shared" si="7"/>
        <v>控制一孝</v>
      </c>
    </row>
    <row r="465" spans="1:7">
      <c r="A465" t="s">
        <v>56</v>
      </c>
      <c r="B465">
        <v>10</v>
      </c>
      <c r="C465" s="55">
        <v>114210</v>
      </c>
      <c r="D465" t="s">
        <v>3855</v>
      </c>
      <c r="E465" t="s">
        <v>59</v>
      </c>
      <c r="F465"/>
      <c r="G465" s="130" t="str">
        <f t="shared" si="7"/>
        <v>控制一孝</v>
      </c>
    </row>
    <row r="466" spans="1:7">
      <c r="A466" t="s">
        <v>56</v>
      </c>
      <c r="B466">
        <v>11</v>
      </c>
      <c r="C466" s="55">
        <v>114211</v>
      </c>
      <c r="D466" t="s">
        <v>3893</v>
      </c>
      <c r="E466" t="s">
        <v>59</v>
      </c>
      <c r="F466"/>
      <c r="G466" s="130" t="str">
        <f t="shared" si="7"/>
        <v>控制一孝</v>
      </c>
    </row>
    <row r="467" spans="1:7">
      <c r="A467" t="s">
        <v>56</v>
      </c>
      <c r="B467">
        <v>12</v>
      </c>
      <c r="C467" s="55">
        <v>114212</v>
      </c>
      <c r="D467" t="s">
        <v>3912</v>
      </c>
      <c r="E467" t="s">
        <v>59</v>
      </c>
      <c r="F467"/>
      <c r="G467" s="130" t="str">
        <f t="shared" si="7"/>
        <v>控制一孝</v>
      </c>
    </row>
    <row r="468" spans="1:7">
      <c r="A468" t="s">
        <v>56</v>
      </c>
      <c r="B468">
        <v>13</v>
      </c>
      <c r="C468" s="55">
        <v>114213</v>
      </c>
      <c r="D468" t="s">
        <v>3930</v>
      </c>
      <c r="E468" t="s">
        <v>59</v>
      </c>
      <c r="F468"/>
      <c r="G468" s="130" t="str">
        <f t="shared" si="7"/>
        <v>控制一孝</v>
      </c>
    </row>
    <row r="469" spans="1:7">
      <c r="A469" t="s">
        <v>56</v>
      </c>
      <c r="B469">
        <v>14</v>
      </c>
      <c r="C469" s="55">
        <v>114214</v>
      </c>
      <c r="D469" t="s">
        <v>3948</v>
      </c>
      <c r="E469" t="s">
        <v>59</v>
      </c>
      <c r="F469"/>
      <c r="G469" s="130" t="str">
        <f t="shared" si="7"/>
        <v>控制一孝</v>
      </c>
    </row>
    <row r="470" spans="1:7">
      <c r="A470" t="s">
        <v>56</v>
      </c>
      <c r="B470">
        <v>15</v>
      </c>
      <c r="C470" s="55">
        <v>114215</v>
      </c>
      <c r="D470" t="s">
        <v>3966</v>
      </c>
      <c r="E470" t="s">
        <v>59</v>
      </c>
      <c r="F470"/>
      <c r="G470" s="130" t="str">
        <f t="shared" si="7"/>
        <v>控制一孝</v>
      </c>
    </row>
    <row r="471" spans="1:7">
      <c r="A471" t="s">
        <v>56</v>
      </c>
      <c r="B471">
        <v>16</v>
      </c>
      <c r="C471" s="55">
        <v>114216</v>
      </c>
      <c r="D471" t="s">
        <v>3984</v>
      </c>
      <c r="E471" t="s">
        <v>59</v>
      </c>
      <c r="F471"/>
      <c r="G471" s="130" t="str">
        <f t="shared" si="7"/>
        <v>控制一孝</v>
      </c>
    </row>
    <row r="472" spans="1:7">
      <c r="A472" t="s">
        <v>56</v>
      </c>
      <c r="B472">
        <v>17</v>
      </c>
      <c r="C472" s="55">
        <v>114217</v>
      </c>
      <c r="D472" t="s">
        <v>4001</v>
      </c>
      <c r="E472" t="s">
        <v>59</v>
      </c>
      <c r="F472"/>
      <c r="G472" s="130" t="str">
        <f t="shared" si="7"/>
        <v>控制一孝</v>
      </c>
    </row>
    <row r="473" spans="1:7">
      <c r="A473" t="s">
        <v>56</v>
      </c>
      <c r="B473">
        <v>18</v>
      </c>
      <c r="C473" s="55">
        <v>114218</v>
      </c>
      <c r="D473" t="s">
        <v>4016</v>
      </c>
      <c r="E473" t="s">
        <v>59</v>
      </c>
      <c r="F473"/>
      <c r="G473" s="130" t="str">
        <f t="shared" si="7"/>
        <v>控制一孝</v>
      </c>
    </row>
    <row r="474" spans="1:7">
      <c r="A474" t="s">
        <v>56</v>
      </c>
      <c r="B474">
        <v>19</v>
      </c>
      <c r="C474" s="55">
        <v>114219</v>
      </c>
      <c r="D474" t="s">
        <v>4033</v>
      </c>
      <c r="E474" t="s">
        <v>59</v>
      </c>
      <c r="F474"/>
      <c r="G474" s="130" t="str">
        <f t="shared" si="7"/>
        <v>控制一孝</v>
      </c>
    </row>
    <row r="475" spans="1:7">
      <c r="A475" t="s">
        <v>56</v>
      </c>
      <c r="B475">
        <v>20</v>
      </c>
      <c r="C475" s="55">
        <v>114220</v>
      </c>
      <c r="D475" t="s">
        <v>4079</v>
      </c>
      <c r="E475" t="s">
        <v>60</v>
      </c>
      <c r="F475"/>
      <c r="G475" s="130" t="str">
        <f t="shared" si="7"/>
        <v>控制一孝</v>
      </c>
    </row>
    <row r="476" spans="1:7">
      <c r="A476" t="s">
        <v>56</v>
      </c>
      <c r="B476">
        <v>21</v>
      </c>
      <c r="C476" s="55">
        <v>114221</v>
      </c>
      <c r="D476" t="s">
        <v>4049</v>
      </c>
      <c r="E476" t="s">
        <v>59</v>
      </c>
      <c r="F476"/>
      <c r="G476" s="130" t="str">
        <f t="shared" si="7"/>
        <v>控制一孝</v>
      </c>
    </row>
    <row r="477" spans="1:7">
      <c r="A477" t="s">
        <v>56</v>
      </c>
      <c r="B477">
        <v>22</v>
      </c>
      <c r="C477" s="55">
        <v>114222</v>
      </c>
      <c r="D477" t="s">
        <v>150</v>
      </c>
      <c r="E477" t="s">
        <v>59</v>
      </c>
      <c r="F477"/>
      <c r="G477" s="130" t="str">
        <f t="shared" si="7"/>
        <v>控制一孝</v>
      </c>
    </row>
    <row r="478" spans="1:7">
      <c r="A478" t="s">
        <v>56</v>
      </c>
      <c r="B478">
        <v>23</v>
      </c>
      <c r="C478" s="55">
        <v>114223</v>
      </c>
      <c r="D478" t="s">
        <v>4080</v>
      </c>
      <c r="E478" t="s">
        <v>59</v>
      </c>
      <c r="F478"/>
      <c r="G478" s="130" t="str">
        <f t="shared" si="7"/>
        <v>控制一孝</v>
      </c>
    </row>
    <row r="479" spans="1:7">
      <c r="A479" t="s">
        <v>56</v>
      </c>
      <c r="B479">
        <v>24</v>
      </c>
      <c r="C479" s="55">
        <v>114224</v>
      </c>
      <c r="D479" t="s">
        <v>4095</v>
      </c>
      <c r="E479" t="s">
        <v>59</v>
      </c>
      <c r="F479"/>
      <c r="G479" s="130" t="str">
        <f t="shared" si="7"/>
        <v>控制一孝</v>
      </c>
    </row>
    <row r="480" spans="1:7">
      <c r="A480" t="s">
        <v>56</v>
      </c>
      <c r="B480">
        <v>25</v>
      </c>
      <c r="C480" s="55">
        <v>114225</v>
      </c>
      <c r="D480" t="s">
        <v>4109</v>
      </c>
      <c r="E480" t="s">
        <v>59</v>
      </c>
      <c r="F480"/>
      <c r="G480" s="130" t="str">
        <f t="shared" si="7"/>
        <v>控制一孝</v>
      </c>
    </row>
    <row r="481" spans="1:7">
      <c r="A481" t="s">
        <v>56</v>
      </c>
      <c r="B481">
        <v>26</v>
      </c>
      <c r="C481" s="55">
        <v>114226</v>
      </c>
      <c r="D481" t="s">
        <v>4394</v>
      </c>
      <c r="E481" t="s">
        <v>59</v>
      </c>
      <c r="F481"/>
      <c r="G481" s="130" t="str">
        <f t="shared" si="7"/>
        <v>控制一孝</v>
      </c>
    </row>
    <row r="482" spans="1:7">
      <c r="A482" t="s">
        <v>56</v>
      </c>
      <c r="B482">
        <v>27</v>
      </c>
      <c r="C482" s="55">
        <v>114227</v>
      </c>
      <c r="D482" t="s">
        <v>4159</v>
      </c>
      <c r="E482" t="s">
        <v>59</v>
      </c>
      <c r="F482"/>
      <c r="G482" s="130" t="str">
        <f t="shared" si="7"/>
        <v>控制一孝</v>
      </c>
    </row>
    <row r="483" spans="1:7">
      <c r="A483" t="s">
        <v>56</v>
      </c>
      <c r="B483">
        <v>28</v>
      </c>
      <c r="C483" s="55">
        <v>114228</v>
      </c>
      <c r="D483" t="s">
        <v>4176</v>
      </c>
      <c r="E483" t="s">
        <v>59</v>
      </c>
      <c r="F483"/>
      <c r="G483" s="130" t="str">
        <f t="shared" si="7"/>
        <v>控制一孝</v>
      </c>
    </row>
    <row r="484" spans="1:7">
      <c r="A484" t="s">
        <v>56</v>
      </c>
      <c r="B484">
        <v>29</v>
      </c>
      <c r="C484" s="55">
        <v>114229</v>
      </c>
      <c r="D484" t="s">
        <v>4193</v>
      </c>
      <c r="E484" t="s">
        <v>59</v>
      </c>
      <c r="F484"/>
      <c r="G484" s="130" t="str">
        <f t="shared" si="7"/>
        <v>控制一孝</v>
      </c>
    </row>
    <row r="485" spans="1:7">
      <c r="A485" t="s">
        <v>56</v>
      </c>
      <c r="B485">
        <v>30</v>
      </c>
      <c r="C485" s="55">
        <v>114230</v>
      </c>
      <c r="D485" t="s">
        <v>4210</v>
      </c>
      <c r="E485" t="s">
        <v>59</v>
      </c>
      <c r="F485"/>
      <c r="G485" s="130" t="str">
        <f t="shared" si="7"/>
        <v>控制一孝</v>
      </c>
    </row>
    <row r="486" spans="1:7">
      <c r="A486" t="s">
        <v>56</v>
      </c>
      <c r="B486">
        <v>31</v>
      </c>
      <c r="C486" s="55">
        <v>114231</v>
      </c>
      <c r="D486" t="s">
        <v>4244</v>
      </c>
      <c r="E486" t="s">
        <v>59</v>
      </c>
      <c r="F486"/>
      <c r="G486" s="130" t="str">
        <f t="shared" si="7"/>
        <v>控制一孝</v>
      </c>
    </row>
    <row r="487" spans="1:7">
      <c r="A487" t="s">
        <v>56</v>
      </c>
      <c r="B487">
        <v>32</v>
      </c>
      <c r="C487" s="55">
        <v>114232</v>
      </c>
      <c r="D487" t="s">
        <v>4316</v>
      </c>
      <c r="E487" t="s">
        <v>60</v>
      </c>
      <c r="F487"/>
      <c r="G487" s="130" t="str">
        <f t="shared" si="7"/>
        <v>控制一孝</v>
      </c>
    </row>
    <row r="488" spans="1:7">
      <c r="A488" t="s">
        <v>56</v>
      </c>
      <c r="B488">
        <v>33</v>
      </c>
      <c r="C488" s="55">
        <v>114233</v>
      </c>
      <c r="D488" t="s">
        <v>4276</v>
      </c>
      <c r="E488" t="s">
        <v>59</v>
      </c>
      <c r="F488"/>
      <c r="G488" s="130" t="str">
        <f t="shared" si="7"/>
        <v>控制一孝</v>
      </c>
    </row>
    <row r="489" spans="1:7">
      <c r="A489" t="s">
        <v>56</v>
      </c>
      <c r="B489">
        <v>34</v>
      </c>
      <c r="C489" s="55">
        <v>114234</v>
      </c>
      <c r="D489" t="s">
        <v>2468</v>
      </c>
      <c r="E489" t="s">
        <v>59</v>
      </c>
      <c r="F489"/>
      <c r="G489" s="130" t="str">
        <f t="shared" si="7"/>
        <v>控制一孝</v>
      </c>
    </row>
    <row r="490" spans="1:7">
      <c r="A490" t="s">
        <v>56</v>
      </c>
      <c r="B490">
        <v>35</v>
      </c>
      <c r="C490" s="55">
        <v>114235</v>
      </c>
      <c r="D490" t="s">
        <v>4304</v>
      </c>
      <c r="E490" t="s">
        <v>59</v>
      </c>
      <c r="F490"/>
      <c r="G490" s="130" t="str">
        <f t="shared" si="7"/>
        <v>控制一孝</v>
      </c>
    </row>
    <row r="491" spans="1:7">
      <c r="A491" t="s">
        <v>56</v>
      </c>
      <c r="B491">
        <v>36</v>
      </c>
      <c r="C491" s="55">
        <v>114236</v>
      </c>
      <c r="D491" t="s">
        <v>4317</v>
      </c>
      <c r="E491" t="s">
        <v>59</v>
      </c>
      <c r="F491"/>
      <c r="G491" s="130" t="str">
        <f t="shared" si="7"/>
        <v>控制一孝</v>
      </c>
    </row>
    <row r="492" spans="1:7">
      <c r="A492" t="s">
        <v>56</v>
      </c>
      <c r="B492">
        <v>37</v>
      </c>
      <c r="C492" s="55">
        <v>114237</v>
      </c>
      <c r="D492" t="s">
        <v>4323</v>
      </c>
      <c r="E492" t="s">
        <v>59</v>
      </c>
      <c r="F492"/>
      <c r="G492" s="130" t="str">
        <f t="shared" si="7"/>
        <v>控制一孝</v>
      </c>
    </row>
    <row r="493" spans="1:7">
      <c r="A493" t="s">
        <v>56</v>
      </c>
      <c r="B493">
        <v>38</v>
      </c>
      <c r="C493" s="55" t="s">
        <v>4376</v>
      </c>
      <c r="D493" t="s">
        <v>4374</v>
      </c>
      <c r="E493" t="s">
        <v>60</v>
      </c>
      <c r="F493"/>
      <c r="G493" s="130" t="str">
        <f t="shared" si="7"/>
        <v>控制一孝</v>
      </c>
    </row>
    <row r="494" spans="1:7">
      <c r="A494" t="s">
        <v>57</v>
      </c>
      <c r="B494">
        <v>1</v>
      </c>
      <c r="C494" s="55">
        <v>115101</v>
      </c>
      <c r="D494" t="s">
        <v>3713</v>
      </c>
      <c r="E494" t="s">
        <v>59</v>
      </c>
      <c r="F494"/>
      <c r="G494" s="130" t="str">
        <f t="shared" si="7"/>
        <v>冷凍一忠</v>
      </c>
    </row>
    <row r="495" spans="1:7">
      <c r="A495" t="s">
        <v>57</v>
      </c>
      <c r="B495">
        <v>2</v>
      </c>
      <c r="C495" s="55">
        <v>115102</v>
      </c>
      <c r="D495" t="s">
        <v>3732</v>
      </c>
      <c r="E495" t="s">
        <v>59</v>
      </c>
      <c r="F495"/>
      <c r="G495" s="130" t="str">
        <f t="shared" si="7"/>
        <v>冷凍一忠</v>
      </c>
    </row>
    <row r="496" spans="1:7">
      <c r="A496" t="s">
        <v>57</v>
      </c>
      <c r="B496">
        <v>3</v>
      </c>
      <c r="C496" s="55">
        <v>115103</v>
      </c>
      <c r="D496" t="s">
        <v>3714</v>
      </c>
      <c r="E496" t="s">
        <v>59</v>
      </c>
      <c r="F496"/>
      <c r="G496" s="130" t="str">
        <f t="shared" si="7"/>
        <v>冷凍一忠</v>
      </c>
    </row>
    <row r="497" spans="1:7">
      <c r="A497" t="s">
        <v>57</v>
      </c>
      <c r="B497">
        <v>4</v>
      </c>
      <c r="C497" s="55">
        <v>115104</v>
      </c>
      <c r="D497" t="s">
        <v>3750</v>
      </c>
      <c r="E497" t="s">
        <v>59</v>
      </c>
      <c r="F497"/>
      <c r="G497" s="130" t="str">
        <f t="shared" si="7"/>
        <v>冷凍一忠</v>
      </c>
    </row>
    <row r="498" spans="1:7">
      <c r="A498" t="s">
        <v>57</v>
      </c>
      <c r="B498">
        <v>5</v>
      </c>
      <c r="C498" s="55">
        <v>115105</v>
      </c>
      <c r="D498" t="s">
        <v>1588</v>
      </c>
      <c r="E498" t="s">
        <v>59</v>
      </c>
      <c r="F498"/>
      <c r="G498" s="130" t="str">
        <f t="shared" si="7"/>
        <v>冷凍一忠</v>
      </c>
    </row>
    <row r="499" spans="1:7">
      <c r="A499" t="s">
        <v>57</v>
      </c>
      <c r="B499">
        <v>6</v>
      </c>
      <c r="C499" s="55">
        <v>115106</v>
      </c>
      <c r="D499" t="s">
        <v>3786</v>
      </c>
      <c r="E499" t="s">
        <v>59</v>
      </c>
      <c r="F499"/>
      <c r="G499" s="130" t="str">
        <f t="shared" si="7"/>
        <v>冷凍一忠</v>
      </c>
    </row>
    <row r="500" spans="1:7">
      <c r="A500" t="s">
        <v>57</v>
      </c>
      <c r="B500">
        <v>7</v>
      </c>
      <c r="C500" s="55">
        <v>115107</v>
      </c>
      <c r="D500" t="s">
        <v>3804</v>
      </c>
      <c r="E500" t="s">
        <v>59</v>
      </c>
      <c r="F500"/>
      <c r="G500" s="130" t="str">
        <f t="shared" si="7"/>
        <v>冷凍一忠</v>
      </c>
    </row>
    <row r="501" spans="1:7">
      <c r="A501" t="s">
        <v>57</v>
      </c>
      <c r="B501">
        <v>8</v>
      </c>
      <c r="C501" s="55">
        <v>115108</v>
      </c>
      <c r="D501" t="s">
        <v>3820</v>
      </c>
      <c r="E501" t="s">
        <v>59</v>
      </c>
      <c r="F501"/>
      <c r="G501" s="130" t="str">
        <f t="shared" si="7"/>
        <v>冷凍一忠</v>
      </c>
    </row>
    <row r="502" spans="1:7">
      <c r="A502" t="s">
        <v>57</v>
      </c>
      <c r="B502">
        <v>9</v>
      </c>
      <c r="C502" s="55">
        <v>115109</v>
      </c>
      <c r="D502" t="s">
        <v>3856</v>
      </c>
      <c r="E502" t="s">
        <v>59</v>
      </c>
      <c r="F502"/>
      <c r="G502" s="130" t="str">
        <f t="shared" si="7"/>
        <v>冷凍一忠</v>
      </c>
    </row>
    <row r="503" spans="1:7">
      <c r="A503" t="s">
        <v>57</v>
      </c>
      <c r="B503">
        <v>10</v>
      </c>
      <c r="C503" s="55">
        <v>115110</v>
      </c>
      <c r="D503" t="s">
        <v>3840</v>
      </c>
      <c r="E503" t="s">
        <v>59</v>
      </c>
      <c r="F503"/>
      <c r="G503" s="130" t="str">
        <f t="shared" si="7"/>
        <v>冷凍一忠</v>
      </c>
    </row>
    <row r="504" spans="1:7">
      <c r="A504" t="s">
        <v>57</v>
      </c>
      <c r="B504">
        <v>11</v>
      </c>
      <c r="C504" s="55">
        <v>115111</v>
      </c>
      <c r="D504" t="s">
        <v>3875</v>
      </c>
      <c r="E504" t="s">
        <v>59</v>
      </c>
      <c r="F504"/>
      <c r="G504" s="130" t="str">
        <f t="shared" si="7"/>
        <v>冷凍一忠</v>
      </c>
    </row>
    <row r="505" spans="1:7">
      <c r="A505" t="s">
        <v>57</v>
      </c>
      <c r="B505">
        <v>12</v>
      </c>
      <c r="C505" s="55">
        <v>115112</v>
      </c>
      <c r="D505" t="s">
        <v>3894</v>
      </c>
      <c r="E505" t="s">
        <v>59</v>
      </c>
      <c r="F505"/>
      <c r="G505" s="130" t="str">
        <f t="shared" si="7"/>
        <v>冷凍一忠</v>
      </c>
    </row>
    <row r="506" spans="1:7">
      <c r="A506" t="s">
        <v>57</v>
      </c>
      <c r="B506">
        <v>13</v>
      </c>
      <c r="C506" s="55">
        <v>115113</v>
      </c>
      <c r="D506" t="s">
        <v>3913</v>
      </c>
      <c r="E506" t="s">
        <v>59</v>
      </c>
      <c r="F506"/>
      <c r="G506" s="130" t="str">
        <f t="shared" si="7"/>
        <v>冷凍一忠</v>
      </c>
    </row>
    <row r="507" spans="1:7">
      <c r="A507" t="s">
        <v>57</v>
      </c>
      <c r="B507">
        <v>14</v>
      </c>
      <c r="C507" s="55">
        <v>115114</v>
      </c>
      <c r="D507" t="s">
        <v>3968</v>
      </c>
      <c r="E507" t="s">
        <v>59</v>
      </c>
      <c r="F507"/>
      <c r="G507" s="130" t="str">
        <f t="shared" si="7"/>
        <v>冷凍一忠</v>
      </c>
    </row>
    <row r="508" spans="1:7">
      <c r="A508" t="s">
        <v>57</v>
      </c>
      <c r="B508">
        <v>15</v>
      </c>
      <c r="C508" s="55">
        <v>115115</v>
      </c>
      <c r="D508" t="s">
        <v>3931</v>
      </c>
      <c r="E508" t="s">
        <v>59</v>
      </c>
      <c r="F508"/>
      <c r="G508" s="130" t="str">
        <f t="shared" si="7"/>
        <v>冷凍一忠</v>
      </c>
    </row>
    <row r="509" spans="1:7">
      <c r="A509" t="s">
        <v>57</v>
      </c>
      <c r="B509">
        <v>16</v>
      </c>
      <c r="C509" s="55">
        <v>115116</v>
      </c>
      <c r="D509" t="s">
        <v>3949</v>
      </c>
      <c r="E509" t="s">
        <v>59</v>
      </c>
      <c r="F509"/>
      <c r="G509" s="130" t="str">
        <f t="shared" si="7"/>
        <v>冷凍一忠</v>
      </c>
    </row>
    <row r="510" spans="1:7">
      <c r="A510" t="s">
        <v>57</v>
      </c>
      <c r="B510">
        <v>17</v>
      </c>
      <c r="C510" s="55">
        <v>115117</v>
      </c>
      <c r="D510" t="s">
        <v>3967</v>
      </c>
      <c r="E510" t="s">
        <v>59</v>
      </c>
      <c r="F510"/>
      <c r="G510" s="130" t="str">
        <f t="shared" si="7"/>
        <v>冷凍一忠</v>
      </c>
    </row>
    <row r="511" spans="1:7">
      <c r="A511" t="s">
        <v>57</v>
      </c>
      <c r="B511">
        <v>18</v>
      </c>
      <c r="C511" s="55">
        <v>115118</v>
      </c>
      <c r="D511" t="s">
        <v>3985</v>
      </c>
      <c r="E511" t="s">
        <v>59</v>
      </c>
      <c r="F511"/>
      <c r="G511" s="130" t="str">
        <f t="shared" si="7"/>
        <v>冷凍一忠</v>
      </c>
    </row>
    <row r="512" spans="1:7">
      <c r="A512" t="s">
        <v>57</v>
      </c>
      <c r="B512">
        <v>19</v>
      </c>
      <c r="C512" s="55">
        <v>115119</v>
      </c>
      <c r="D512" t="s">
        <v>4017</v>
      </c>
      <c r="E512" t="s">
        <v>59</v>
      </c>
      <c r="F512"/>
      <c r="G512" s="130" t="str">
        <f t="shared" si="7"/>
        <v>冷凍一忠</v>
      </c>
    </row>
    <row r="513" spans="1:7">
      <c r="A513" t="s">
        <v>57</v>
      </c>
      <c r="B513">
        <v>20</v>
      </c>
      <c r="C513" s="55">
        <v>115120</v>
      </c>
      <c r="D513" t="s">
        <v>4034</v>
      </c>
      <c r="E513" t="s">
        <v>59</v>
      </c>
      <c r="F513"/>
      <c r="G513" s="130" t="str">
        <f t="shared" si="7"/>
        <v>冷凍一忠</v>
      </c>
    </row>
    <row r="514" spans="1:7">
      <c r="A514" t="s">
        <v>57</v>
      </c>
      <c r="B514">
        <v>21</v>
      </c>
      <c r="C514" s="55">
        <v>115121</v>
      </c>
      <c r="D514" t="s">
        <v>4050</v>
      </c>
      <c r="E514" t="s">
        <v>59</v>
      </c>
      <c r="F514"/>
      <c r="G514" s="130" t="str">
        <f t="shared" si="7"/>
        <v>冷凍一忠</v>
      </c>
    </row>
    <row r="515" spans="1:7">
      <c r="A515" t="s">
        <v>57</v>
      </c>
      <c r="B515">
        <v>22</v>
      </c>
      <c r="C515" s="55">
        <v>115122</v>
      </c>
      <c r="D515" t="s">
        <v>4066</v>
      </c>
      <c r="E515" t="s">
        <v>59</v>
      </c>
      <c r="F515"/>
      <c r="G515" s="130" t="str">
        <f t="shared" ref="G515:G578" si="8">A515&amp;F515</f>
        <v>冷凍一忠</v>
      </c>
    </row>
    <row r="516" spans="1:7">
      <c r="A516" t="s">
        <v>57</v>
      </c>
      <c r="B516">
        <v>23</v>
      </c>
      <c r="C516" s="55">
        <v>115123</v>
      </c>
      <c r="D516" t="s">
        <v>4081</v>
      </c>
      <c r="E516" t="s">
        <v>60</v>
      </c>
      <c r="F516"/>
      <c r="G516" s="130" t="str">
        <f t="shared" si="8"/>
        <v>冷凍一忠</v>
      </c>
    </row>
    <row r="517" spans="1:7">
      <c r="A517" t="s">
        <v>57</v>
      </c>
      <c r="B517">
        <v>24</v>
      </c>
      <c r="C517" s="55">
        <v>115124</v>
      </c>
      <c r="D517" t="s">
        <v>4383</v>
      </c>
      <c r="E517" t="s">
        <v>60</v>
      </c>
      <c r="F517"/>
      <c r="G517" s="130" t="str">
        <f t="shared" si="8"/>
        <v>冷凍一忠</v>
      </c>
    </row>
    <row r="518" spans="1:7">
      <c r="A518" t="s">
        <v>57</v>
      </c>
      <c r="B518">
        <v>25</v>
      </c>
      <c r="C518" s="55">
        <v>115125</v>
      </c>
      <c r="D518" t="s">
        <v>4110</v>
      </c>
      <c r="E518" t="s">
        <v>59</v>
      </c>
      <c r="F518"/>
      <c r="G518" s="130" t="str">
        <f t="shared" si="8"/>
        <v>冷凍一忠</v>
      </c>
    </row>
    <row r="519" spans="1:7">
      <c r="A519" t="s">
        <v>57</v>
      </c>
      <c r="B519">
        <v>26</v>
      </c>
      <c r="C519" s="55">
        <v>115126</v>
      </c>
      <c r="D519" t="s">
        <v>4127</v>
      </c>
      <c r="E519" t="s">
        <v>60</v>
      </c>
      <c r="F519"/>
      <c r="G519" s="130" t="str">
        <f t="shared" si="8"/>
        <v>冷凍一忠</v>
      </c>
    </row>
    <row r="520" spans="1:7">
      <c r="A520" t="s">
        <v>57</v>
      </c>
      <c r="B520">
        <v>27</v>
      </c>
      <c r="C520" s="55">
        <v>115127</v>
      </c>
      <c r="D520" t="s">
        <v>4143</v>
      </c>
      <c r="E520" t="s">
        <v>59</v>
      </c>
      <c r="F520"/>
      <c r="G520" s="130" t="str">
        <f t="shared" si="8"/>
        <v>冷凍一忠</v>
      </c>
    </row>
    <row r="521" spans="1:7">
      <c r="A521" t="s">
        <v>57</v>
      </c>
      <c r="B521">
        <v>28</v>
      </c>
      <c r="C521" s="55">
        <v>115128</v>
      </c>
      <c r="D521" t="s">
        <v>4160</v>
      </c>
      <c r="E521" t="s">
        <v>59</v>
      </c>
      <c r="F521"/>
      <c r="G521" s="130" t="str">
        <f t="shared" si="8"/>
        <v>冷凍一忠</v>
      </c>
    </row>
    <row r="522" spans="1:7">
      <c r="A522" t="s">
        <v>57</v>
      </c>
      <c r="B522">
        <v>29</v>
      </c>
      <c r="C522" s="55">
        <v>115129</v>
      </c>
      <c r="D522" t="s">
        <v>4177</v>
      </c>
      <c r="E522" t="s">
        <v>59</v>
      </c>
      <c r="F522"/>
      <c r="G522" s="130" t="str">
        <f t="shared" si="8"/>
        <v>冷凍一忠</v>
      </c>
    </row>
    <row r="523" spans="1:7">
      <c r="A523" t="s">
        <v>57</v>
      </c>
      <c r="B523">
        <v>30</v>
      </c>
      <c r="C523" s="55">
        <v>115130</v>
      </c>
      <c r="D523" t="s">
        <v>4194</v>
      </c>
      <c r="E523" t="s">
        <v>60</v>
      </c>
      <c r="F523"/>
      <c r="G523" s="130" t="str">
        <f t="shared" si="8"/>
        <v>冷凍一忠</v>
      </c>
    </row>
    <row r="524" spans="1:7">
      <c r="A524" t="s">
        <v>57</v>
      </c>
      <c r="B524">
        <v>31</v>
      </c>
      <c r="C524" s="55">
        <v>115131</v>
      </c>
      <c r="D524" t="s">
        <v>4211</v>
      </c>
      <c r="E524" t="s">
        <v>59</v>
      </c>
      <c r="F524"/>
      <c r="G524" s="130" t="str">
        <f t="shared" si="8"/>
        <v>冷凍一忠</v>
      </c>
    </row>
    <row r="525" spans="1:7">
      <c r="A525" t="s">
        <v>57</v>
      </c>
      <c r="B525">
        <v>32</v>
      </c>
      <c r="C525" s="55">
        <v>115132</v>
      </c>
      <c r="D525" t="s">
        <v>4228</v>
      </c>
      <c r="E525" t="s">
        <v>59</v>
      </c>
      <c r="F525"/>
      <c r="G525" s="130" t="str">
        <f t="shared" si="8"/>
        <v>冷凍一忠</v>
      </c>
    </row>
    <row r="526" spans="1:7">
      <c r="A526" t="s">
        <v>57</v>
      </c>
      <c r="B526">
        <v>33</v>
      </c>
      <c r="C526" s="55">
        <v>115133</v>
      </c>
      <c r="D526" t="s">
        <v>4245</v>
      </c>
      <c r="E526" t="s">
        <v>59</v>
      </c>
      <c r="F526"/>
      <c r="G526" s="130" t="str">
        <f t="shared" si="8"/>
        <v>冷凍一忠</v>
      </c>
    </row>
    <row r="527" spans="1:7">
      <c r="A527" t="s">
        <v>57</v>
      </c>
      <c r="B527">
        <v>34</v>
      </c>
      <c r="C527" s="55">
        <v>115134</v>
      </c>
      <c r="D527" t="s">
        <v>4260</v>
      </c>
      <c r="E527" t="s">
        <v>59</v>
      </c>
      <c r="F527"/>
      <c r="G527" s="130" t="str">
        <f t="shared" si="8"/>
        <v>冷凍一忠</v>
      </c>
    </row>
    <row r="528" spans="1:7">
      <c r="A528" t="s">
        <v>57</v>
      </c>
      <c r="B528">
        <v>35</v>
      </c>
      <c r="C528" s="55">
        <v>115135</v>
      </c>
      <c r="D528" t="s">
        <v>4290</v>
      </c>
      <c r="E528" t="s">
        <v>59</v>
      </c>
      <c r="F528"/>
      <c r="G528" s="130" t="str">
        <f t="shared" si="8"/>
        <v>冷凍一忠</v>
      </c>
    </row>
    <row r="529" spans="1:7">
      <c r="A529" t="s">
        <v>57</v>
      </c>
      <c r="B529">
        <v>36</v>
      </c>
      <c r="C529" s="55">
        <v>115136</v>
      </c>
      <c r="D529" t="s">
        <v>4305</v>
      </c>
      <c r="E529" t="s">
        <v>59</v>
      </c>
      <c r="F529"/>
      <c r="G529" s="130" t="str">
        <f t="shared" si="8"/>
        <v>冷凍一忠</v>
      </c>
    </row>
    <row r="530" spans="1:7">
      <c r="A530" t="s">
        <v>57</v>
      </c>
      <c r="B530">
        <v>37</v>
      </c>
      <c r="C530" s="55">
        <v>115137</v>
      </c>
      <c r="D530" t="s">
        <v>4318</v>
      </c>
      <c r="E530" t="s">
        <v>59</v>
      </c>
      <c r="F530"/>
      <c r="G530" s="130" t="str">
        <f t="shared" si="8"/>
        <v>冷凍一忠</v>
      </c>
    </row>
    <row r="531" spans="1:7">
      <c r="A531" t="s">
        <v>57</v>
      </c>
      <c r="B531">
        <v>38</v>
      </c>
      <c r="C531" s="55">
        <v>115138</v>
      </c>
      <c r="D531" t="s">
        <v>4324</v>
      </c>
      <c r="E531" t="s">
        <v>59</v>
      </c>
      <c r="F531"/>
      <c r="G531" s="130" t="str">
        <f t="shared" si="8"/>
        <v>冷凍一忠</v>
      </c>
    </row>
    <row r="532" spans="1:7">
      <c r="A532" t="s">
        <v>57</v>
      </c>
      <c r="B532">
        <v>39</v>
      </c>
      <c r="C532" s="55" t="s">
        <v>1443</v>
      </c>
      <c r="D532" t="s">
        <v>1444</v>
      </c>
      <c r="E532" t="s">
        <v>59</v>
      </c>
      <c r="F532"/>
      <c r="G532" s="130" t="str">
        <f t="shared" si="8"/>
        <v>冷凍一忠</v>
      </c>
    </row>
    <row r="533" spans="1:7">
      <c r="A533" t="s">
        <v>58</v>
      </c>
      <c r="B533">
        <v>1</v>
      </c>
      <c r="C533" s="55">
        <v>115201</v>
      </c>
      <c r="D533" t="s">
        <v>3733</v>
      </c>
      <c r="E533" t="s">
        <v>59</v>
      </c>
      <c r="F533"/>
      <c r="G533" s="130" t="str">
        <f t="shared" si="8"/>
        <v>冷凍一孝</v>
      </c>
    </row>
    <row r="534" spans="1:7">
      <c r="A534" t="s">
        <v>58</v>
      </c>
      <c r="B534">
        <v>2</v>
      </c>
      <c r="C534" s="55">
        <v>115202</v>
      </c>
      <c r="D534" t="s">
        <v>3751</v>
      </c>
      <c r="E534" t="s">
        <v>59</v>
      </c>
      <c r="F534"/>
      <c r="G534" s="130" t="str">
        <f t="shared" si="8"/>
        <v>冷凍一孝</v>
      </c>
    </row>
    <row r="535" spans="1:7">
      <c r="A535" t="s">
        <v>58</v>
      </c>
      <c r="B535">
        <v>3</v>
      </c>
      <c r="C535" s="55">
        <v>115203</v>
      </c>
      <c r="D535" t="s">
        <v>3769</v>
      </c>
      <c r="E535" t="s">
        <v>59</v>
      </c>
      <c r="F535"/>
      <c r="G535" s="130" t="str">
        <f t="shared" si="8"/>
        <v>冷凍一孝</v>
      </c>
    </row>
    <row r="536" spans="1:7">
      <c r="A536" t="s">
        <v>58</v>
      </c>
      <c r="B536">
        <v>4</v>
      </c>
      <c r="C536" s="55">
        <v>115204</v>
      </c>
      <c r="D536" t="s">
        <v>3758</v>
      </c>
      <c r="E536" t="s">
        <v>59</v>
      </c>
      <c r="F536"/>
      <c r="G536" s="130" t="str">
        <f t="shared" si="8"/>
        <v>冷凍一孝</v>
      </c>
    </row>
    <row r="537" spans="1:7">
      <c r="A537" t="s">
        <v>58</v>
      </c>
      <c r="B537">
        <v>5</v>
      </c>
      <c r="C537" s="55">
        <v>115205</v>
      </c>
      <c r="D537" t="s">
        <v>3839</v>
      </c>
      <c r="E537" t="s">
        <v>59</v>
      </c>
      <c r="F537"/>
      <c r="G537" s="130" t="str">
        <f t="shared" si="8"/>
        <v>冷凍一孝</v>
      </c>
    </row>
    <row r="538" spans="1:7">
      <c r="A538" t="s">
        <v>58</v>
      </c>
      <c r="B538">
        <v>6</v>
      </c>
      <c r="C538" s="55">
        <v>115206</v>
      </c>
      <c r="D538" t="s">
        <v>3805</v>
      </c>
      <c r="E538" t="s">
        <v>59</v>
      </c>
      <c r="F538"/>
      <c r="G538" s="130" t="str">
        <f t="shared" si="8"/>
        <v>冷凍一孝</v>
      </c>
    </row>
    <row r="539" spans="1:7">
      <c r="A539" t="s">
        <v>58</v>
      </c>
      <c r="B539">
        <v>7</v>
      </c>
      <c r="C539" s="55">
        <v>115207</v>
      </c>
      <c r="D539" t="s">
        <v>3821</v>
      </c>
      <c r="E539" t="s">
        <v>59</v>
      </c>
      <c r="F539"/>
      <c r="G539" s="130" t="str">
        <f t="shared" si="8"/>
        <v>冷凍一孝</v>
      </c>
    </row>
    <row r="540" spans="1:7">
      <c r="A540" t="s">
        <v>58</v>
      </c>
      <c r="B540">
        <v>8</v>
      </c>
      <c r="C540" s="55">
        <v>115208</v>
      </c>
      <c r="D540" t="s">
        <v>3857</v>
      </c>
      <c r="E540" t="s">
        <v>59</v>
      </c>
      <c r="F540"/>
      <c r="G540" s="130" t="str">
        <f t="shared" si="8"/>
        <v>冷凍一孝</v>
      </c>
    </row>
    <row r="541" spans="1:7">
      <c r="A541" t="s">
        <v>58</v>
      </c>
      <c r="B541">
        <v>9</v>
      </c>
      <c r="C541" s="55">
        <v>115209</v>
      </c>
      <c r="D541" t="s">
        <v>3876</v>
      </c>
      <c r="E541" t="s">
        <v>59</v>
      </c>
      <c r="F541"/>
      <c r="G541" s="130" t="str">
        <f t="shared" si="8"/>
        <v>冷凍一孝</v>
      </c>
    </row>
    <row r="542" spans="1:7">
      <c r="A542" t="s">
        <v>58</v>
      </c>
      <c r="B542">
        <v>10</v>
      </c>
      <c r="C542" s="55">
        <v>115210</v>
      </c>
      <c r="D542" t="s">
        <v>3895</v>
      </c>
      <c r="E542" t="s">
        <v>59</v>
      </c>
      <c r="F542"/>
      <c r="G542" s="130" t="str">
        <f t="shared" si="8"/>
        <v>冷凍一孝</v>
      </c>
    </row>
    <row r="543" spans="1:7">
      <c r="A543" t="s">
        <v>58</v>
      </c>
      <c r="B543">
        <v>11</v>
      </c>
      <c r="C543" s="55">
        <v>115211</v>
      </c>
      <c r="D543" t="s">
        <v>3914</v>
      </c>
      <c r="E543" t="s">
        <v>59</v>
      </c>
      <c r="F543"/>
      <c r="G543" s="130" t="str">
        <f t="shared" si="8"/>
        <v>冷凍一孝</v>
      </c>
    </row>
    <row r="544" spans="1:7">
      <c r="A544" t="s">
        <v>58</v>
      </c>
      <c r="B544">
        <v>12</v>
      </c>
      <c r="C544" s="55">
        <v>115212</v>
      </c>
      <c r="D544" t="s">
        <v>3932</v>
      </c>
      <c r="E544" t="s">
        <v>59</v>
      </c>
      <c r="F544"/>
      <c r="G544" s="130" t="str">
        <f t="shared" si="8"/>
        <v>冷凍一孝</v>
      </c>
    </row>
    <row r="545" spans="1:7">
      <c r="A545" t="s">
        <v>58</v>
      </c>
      <c r="B545">
        <v>13</v>
      </c>
      <c r="C545" s="55">
        <v>115213</v>
      </c>
      <c r="D545" t="s">
        <v>3950</v>
      </c>
      <c r="E545" t="s">
        <v>59</v>
      </c>
      <c r="F545"/>
      <c r="G545" s="130" t="str">
        <f t="shared" si="8"/>
        <v>冷凍一孝</v>
      </c>
    </row>
    <row r="546" spans="1:7">
      <c r="A546" t="s">
        <v>58</v>
      </c>
      <c r="B546">
        <v>14</v>
      </c>
      <c r="C546" s="55">
        <v>115214</v>
      </c>
      <c r="D546" t="s">
        <v>3986</v>
      </c>
      <c r="E546" t="s">
        <v>59</v>
      </c>
      <c r="F546"/>
      <c r="G546" s="130" t="str">
        <f t="shared" si="8"/>
        <v>冷凍一孝</v>
      </c>
    </row>
    <row r="547" spans="1:7">
      <c r="A547" t="s">
        <v>58</v>
      </c>
      <c r="B547">
        <v>15</v>
      </c>
      <c r="C547" s="55">
        <v>115215</v>
      </c>
      <c r="D547" t="s">
        <v>4003</v>
      </c>
      <c r="E547" t="s">
        <v>59</v>
      </c>
      <c r="F547"/>
      <c r="G547" s="130" t="str">
        <f t="shared" si="8"/>
        <v>冷凍一孝</v>
      </c>
    </row>
    <row r="548" spans="1:7">
      <c r="A548" t="s">
        <v>58</v>
      </c>
      <c r="B548">
        <v>16</v>
      </c>
      <c r="C548" s="55">
        <v>115216</v>
      </c>
      <c r="D548" t="s">
        <v>4002</v>
      </c>
      <c r="E548" t="s">
        <v>59</v>
      </c>
      <c r="F548"/>
      <c r="G548" s="130" t="str">
        <f t="shared" si="8"/>
        <v>冷凍一孝</v>
      </c>
    </row>
    <row r="549" spans="1:7">
      <c r="A549" t="s">
        <v>58</v>
      </c>
      <c r="B549">
        <v>17</v>
      </c>
      <c r="C549" s="55">
        <v>115217</v>
      </c>
      <c r="D549" t="s">
        <v>4018</v>
      </c>
      <c r="E549" t="s">
        <v>59</v>
      </c>
      <c r="F549"/>
      <c r="G549" s="130" t="str">
        <f t="shared" si="8"/>
        <v>冷凍一孝</v>
      </c>
    </row>
    <row r="550" spans="1:7">
      <c r="A550" t="s">
        <v>58</v>
      </c>
      <c r="B550">
        <v>18</v>
      </c>
      <c r="C550" s="55">
        <v>115218</v>
      </c>
      <c r="D550" t="s">
        <v>4035</v>
      </c>
      <c r="E550" t="s">
        <v>59</v>
      </c>
      <c r="F550"/>
      <c r="G550" s="130" t="str">
        <f t="shared" si="8"/>
        <v>冷凍一孝</v>
      </c>
    </row>
    <row r="551" spans="1:7">
      <c r="A551" t="s">
        <v>58</v>
      </c>
      <c r="B551">
        <v>19</v>
      </c>
      <c r="C551" s="55">
        <v>115219</v>
      </c>
      <c r="D551" t="s">
        <v>4051</v>
      </c>
      <c r="E551" t="s">
        <v>59</v>
      </c>
      <c r="F551"/>
      <c r="G551" s="130" t="str">
        <f t="shared" si="8"/>
        <v>冷凍一孝</v>
      </c>
    </row>
    <row r="552" spans="1:7">
      <c r="A552" t="s">
        <v>58</v>
      </c>
      <c r="B552">
        <v>20</v>
      </c>
      <c r="C552" s="55">
        <v>115220</v>
      </c>
      <c r="D552" t="s">
        <v>4067</v>
      </c>
      <c r="E552" t="s">
        <v>59</v>
      </c>
      <c r="F552"/>
      <c r="G552" s="130" t="str">
        <f t="shared" si="8"/>
        <v>冷凍一孝</v>
      </c>
    </row>
    <row r="553" spans="1:7">
      <c r="A553" t="s">
        <v>58</v>
      </c>
      <c r="B553">
        <v>21</v>
      </c>
      <c r="C553" s="55">
        <v>115221</v>
      </c>
      <c r="D553" t="s">
        <v>4082</v>
      </c>
      <c r="E553" t="s">
        <v>59</v>
      </c>
      <c r="F553"/>
      <c r="G553" s="130" t="str">
        <f t="shared" si="8"/>
        <v>冷凍一孝</v>
      </c>
    </row>
    <row r="554" spans="1:7">
      <c r="A554" t="s">
        <v>58</v>
      </c>
      <c r="B554">
        <v>22</v>
      </c>
      <c r="C554" s="55">
        <v>115222</v>
      </c>
      <c r="D554" t="s">
        <v>4096</v>
      </c>
      <c r="E554" t="s">
        <v>59</v>
      </c>
      <c r="F554"/>
      <c r="G554" s="130" t="str">
        <f t="shared" si="8"/>
        <v>冷凍一孝</v>
      </c>
    </row>
    <row r="555" spans="1:7">
      <c r="A555" t="s">
        <v>58</v>
      </c>
      <c r="B555">
        <v>23</v>
      </c>
      <c r="C555" s="55">
        <v>115223</v>
      </c>
      <c r="D555" t="s">
        <v>4111</v>
      </c>
      <c r="E555" t="s">
        <v>59</v>
      </c>
      <c r="F555"/>
      <c r="G555" s="130" t="str">
        <f t="shared" si="8"/>
        <v>冷凍一孝</v>
      </c>
    </row>
    <row r="556" spans="1:7">
      <c r="A556" t="s">
        <v>58</v>
      </c>
      <c r="B556">
        <v>24</v>
      </c>
      <c r="C556" s="55">
        <v>115224</v>
      </c>
      <c r="D556" t="s">
        <v>4128</v>
      </c>
      <c r="E556" t="s">
        <v>59</v>
      </c>
      <c r="F556"/>
      <c r="G556" s="130" t="str">
        <f t="shared" si="8"/>
        <v>冷凍一孝</v>
      </c>
    </row>
    <row r="557" spans="1:7">
      <c r="A557" t="s">
        <v>58</v>
      </c>
      <c r="B557">
        <v>25</v>
      </c>
      <c r="C557" s="55">
        <v>115225</v>
      </c>
      <c r="D557" t="s">
        <v>4144</v>
      </c>
      <c r="E557" t="s">
        <v>59</v>
      </c>
      <c r="F557"/>
      <c r="G557" s="130" t="str">
        <f t="shared" si="8"/>
        <v>冷凍一孝</v>
      </c>
    </row>
    <row r="558" spans="1:7">
      <c r="A558" t="s">
        <v>58</v>
      </c>
      <c r="B558">
        <v>26</v>
      </c>
      <c r="C558" s="55">
        <v>115226</v>
      </c>
      <c r="D558" t="s">
        <v>4161</v>
      </c>
      <c r="E558" t="s">
        <v>59</v>
      </c>
      <c r="F558"/>
      <c r="G558" s="130" t="str">
        <f t="shared" si="8"/>
        <v>冷凍一孝</v>
      </c>
    </row>
    <row r="559" spans="1:7">
      <c r="A559" t="s">
        <v>58</v>
      </c>
      <c r="B559">
        <v>27</v>
      </c>
      <c r="C559" s="55">
        <v>115227</v>
      </c>
      <c r="D559" t="s">
        <v>4178</v>
      </c>
      <c r="E559" t="s">
        <v>59</v>
      </c>
      <c r="F559"/>
      <c r="G559" s="130" t="str">
        <f t="shared" si="8"/>
        <v>冷凍一孝</v>
      </c>
    </row>
    <row r="560" spans="1:7">
      <c r="A560" t="s">
        <v>58</v>
      </c>
      <c r="B560">
        <v>28</v>
      </c>
      <c r="C560" s="55">
        <v>115228</v>
      </c>
      <c r="D560" t="s">
        <v>4277</v>
      </c>
      <c r="E560" t="s">
        <v>59</v>
      </c>
      <c r="F560"/>
      <c r="G560" s="130" t="str">
        <f t="shared" si="8"/>
        <v>冷凍一孝</v>
      </c>
    </row>
    <row r="561" spans="1:7">
      <c r="A561" t="s">
        <v>58</v>
      </c>
      <c r="B561">
        <v>29</v>
      </c>
      <c r="C561" s="55">
        <v>115229</v>
      </c>
      <c r="D561" t="s">
        <v>4195</v>
      </c>
      <c r="E561" t="s">
        <v>59</v>
      </c>
      <c r="F561"/>
      <c r="G561" s="130" t="str">
        <f t="shared" si="8"/>
        <v>冷凍一孝</v>
      </c>
    </row>
    <row r="562" spans="1:7">
      <c r="A562" t="s">
        <v>58</v>
      </c>
      <c r="B562">
        <v>30</v>
      </c>
      <c r="C562" s="55">
        <v>115230</v>
      </c>
      <c r="D562" t="s">
        <v>4212</v>
      </c>
      <c r="E562" t="s">
        <v>59</v>
      </c>
      <c r="F562"/>
      <c r="G562" s="130" t="str">
        <f t="shared" si="8"/>
        <v>冷凍一孝</v>
      </c>
    </row>
    <row r="563" spans="1:7">
      <c r="A563" t="s">
        <v>58</v>
      </c>
      <c r="B563">
        <v>31</v>
      </c>
      <c r="C563" s="55">
        <v>115231</v>
      </c>
      <c r="D563" t="s">
        <v>4229</v>
      </c>
      <c r="E563" t="s">
        <v>59</v>
      </c>
      <c r="F563"/>
      <c r="G563" s="130" t="str">
        <f t="shared" si="8"/>
        <v>冷凍一孝</v>
      </c>
    </row>
    <row r="564" spans="1:7">
      <c r="A564" t="s">
        <v>58</v>
      </c>
      <c r="B564">
        <v>32</v>
      </c>
      <c r="C564" s="55">
        <v>115232</v>
      </c>
      <c r="D564" t="s">
        <v>4246</v>
      </c>
      <c r="E564" t="s">
        <v>59</v>
      </c>
      <c r="F564"/>
      <c r="G564" s="130" t="str">
        <f t="shared" si="8"/>
        <v>冷凍一孝</v>
      </c>
    </row>
    <row r="565" spans="1:7">
      <c r="A565" t="s">
        <v>58</v>
      </c>
      <c r="B565">
        <v>33</v>
      </c>
      <c r="C565" s="55">
        <v>115233</v>
      </c>
      <c r="D565" t="s">
        <v>4261</v>
      </c>
      <c r="E565" t="s">
        <v>59</v>
      </c>
      <c r="F565"/>
      <c r="G565" s="130" t="str">
        <f t="shared" si="8"/>
        <v>冷凍一孝</v>
      </c>
    </row>
    <row r="566" spans="1:7">
      <c r="A566" t="s">
        <v>58</v>
      </c>
      <c r="B566">
        <v>34</v>
      </c>
      <c r="C566" s="55">
        <v>115234</v>
      </c>
      <c r="D566" t="s">
        <v>4397</v>
      </c>
      <c r="E566" t="s">
        <v>59</v>
      </c>
      <c r="F566"/>
      <c r="G566" s="130" t="str">
        <f t="shared" si="8"/>
        <v>冷凍一孝</v>
      </c>
    </row>
    <row r="567" spans="1:7">
      <c r="A567" t="s">
        <v>58</v>
      </c>
      <c r="B567">
        <v>35</v>
      </c>
      <c r="C567" s="55">
        <v>115235</v>
      </c>
      <c r="D567" t="s">
        <v>4291</v>
      </c>
      <c r="E567" t="s">
        <v>59</v>
      </c>
      <c r="F567"/>
      <c r="G567" s="130" t="str">
        <f t="shared" si="8"/>
        <v>冷凍一孝</v>
      </c>
    </row>
    <row r="568" spans="1:7">
      <c r="A568" t="s">
        <v>58</v>
      </c>
      <c r="B568">
        <v>36</v>
      </c>
      <c r="C568" s="55">
        <v>115236</v>
      </c>
      <c r="D568" t="s">
        <v>4306</v>
      </c>
      <c r="E568" t="s">
        <v>59</v>
      </c>
      <c r="F568"/>
      <c r="G568" s="130" t="str">
        <f t="shared" si="8"/>
        <v>冷凍一孝</v>
      </c>
    </row>
    <row r="569" spans="1:7">
      <c r="A569" t="s">
        <v>58</v>
      </c>
      <c r="B569">
        <v>37</v>
      </c>
      <c r="C569" s="55">
        <v>115237</v>
      </c>
      <c r="D569" t="s">
        <v>4319</v>
      </c>
      <c r="E569" t="s">
        <v>59</v>
      </c>
      <c r="F569"/>
      <c r="G569" s="130" t="str">
        <f t="shared" si="8"/>
        <v>冷凍一孝</v>
      </c>
    </row>
    <row r="570" spans="1:7">
      <c r="A570" t="s">
        <v>58</v>
      </c>
      <c r="B570">
        <v>38</v>
      </c>
      <c r="C570" s="55">
        <v>115238</v>
      </c>
      <c r="D570" t="s">
        <v>4325</v>
      </c>
      <c r="E570" t="s">
        <v>59</v>
      </c>
      <c r="F570"/>
      <c r="G570" s="130" t="str">
        <f t="shared" si="8"/>
        <v>冷凍一孝</v>
      </c>
    </row>
    <row r="571" spans="1:7">
      <c r="A571" t="s">
        <v>1080</v>
      </c>
      <c r="B571">
        <v>1</v>
      </c>
      <c r="C571" s="55">
        <v>118101</v>
      </c>
      <c r="D571" t="s">
        <v>3715</v>
      </c>
      <c r="E571" t="s">
        <v>59</v>
      </c>
      <c r="F571"/>
      <c r="G571" s="130" t="str">
        <f t="shared" si="8"/>
        <v>應英一忠</v>
      </c>
    </row>
    <row r="572" spans="1:7">
      <c r="A572" t="s">
        <v>1080</v>
      </c>
      <c r="B572">
        <v>2</v>
      </c>
      <c r="C572" s="55">
        <v>118102</v>
      </c>
      <c r="D572" t="s">
        <v>3734</v>
      </c>
      <c r="E572" t="s">
        <v>59</v>
      </c>
      <c r="F572"/>
      <c r="G572" s="130" t="str">
        <f t="shared" si="8"/>
        <v>應英一忠</v>
      </c>
    </row>
    <row r="573" spans="1:7">
      <c r="A573" t="s">
        <v>1080</v>
      </c>
      <c r="B573">
        <v>3</v>
      </c>
      <c r="C573" s="55">
        <v>118103</v>
      </c>
      <c r="D573" t="s">
        <v>3735</v>
      </c>
      <c r="E573" t="s">
        <v>60</v>
      </c>
      <c r="F573"/>
      <c r="G573" s="130" t="str">
        <f t="shared" si="8"/>
        <v>應英一忠</v>
      </c>
    </row>
    <row r="574" spans="1:7">
      <c r="A574" t="s">
        <v>1080</v>
      </c>
      <c r="B574">
        <v>4</v>
      </c>
      <c r="C574" s="55">
        <v>118104</v>
      </c>
      <c r="D574" t="s">
        <v>3771</v>
      </c>
      <c r="E574" t="s">
        <v>59</v>
      </c>
      <c r="F574"/>
      <c r="G574" s="130" t="str">
        <f t="shared" si="8"/>
        <v>應英一忠</v>
      </c>
    </row>
    <row r="575" spans="1:7">
      <c r="A575" t="s">
        <v>1080</v>
      </c>
      <c r="B575">
        <v>5</v>
      </c>
      <c r="C575" s="55">
        <v>118105</v>
      </c>
      <c r="D575" t="s">
        <v>3788</v>
      </c>
      <c r="E575" t="s">
        <v>60</v>
      </c>
      <c r="F575"/>
      <c r="G575" s="130" t="str">
        <f t="shared" si="8"/>
        <v>應英一忠</v>
      </c>
    </row>
    <row r="576" spans="1:7">
      <c r="A576" t="s">
        <v>1080</v>
      </c>
      <c r="B576">
        <v>6</v>
      </c>
      <c r="C576" s="55">
        <v>118106</v>
      </c>
      <c r="D576" t="s">
        <v>3787</v>
      </c>
      <c r="E576" t="s">
        <v>59</v>
      </c>
      <c r="F576"/>
      <c r="G576" s="130" t="str">
        <f t="shared" si="8"/>
        <v>應英一忠</v>
      </c>
    </row>
    <row r="577" spans="1:7">
      <c r="A577" t="s">
        <v>1080</v>
      </c>
      <c r="B577">
        <v>7</v>
      </c>
      <c r="C577" s="55">
        <v>118107</v>
      </c>
      <c r="D577" t="s">
        <v>3806</v>
      </c>
      <c r="E577" t="s">
        <v>59</v>
      </c>
      <c r="F577"/>
      <c r="G577" s="130" t="str">
        <f t="shared" si="8"/>
        <v>應英一忠</v>
      </c>
    </row>
    <row r="578" spans="1:7">
      <c r="A578" t="s">
        <v>1080</v>
      </c>
      <c r="B578">
        <v>8</v>
      </c>
      <c r="C578" s="55">
        <v>118108</v>
      </c>
      <c r="D578" t="s">
        <v>3823</v>
      </c>
      <c r="E578" t="s">
        <v>60</v>
      </c>
      <c r="F578"/>
      <c r="G578" s="130" t="str">
        <f t="shared" si="8"/>
        <v>應英一忠</v>
      </c>
    </row>
    <row r="579" spans="1:7">
      <c r="A579" t="s">
        <v>1080</v>
      </c>
      <c r="B579">
        <v>9</v>
      </c>
      <c r="C579" s="55">
        <v>118109</v>
      </c>
      <c r="D579" t="s">
        <v>3822</v>
      </c>
      <c r="E579" t="s">
        <v>59</v>
      </c>
      <c r="F579"/>
      <c r="G579" s="130" t="str">
        <f t="shared" ref="G579:G642" si="9">A579&amp;F579</f>
        <v>應英一忠</v>
      </c>
    </row>
    <row r="580" spans="1:7">
      <c r="A580" t="s">
        <v>1080</v>
      </c>
      <c r="B580">
        <v>10</v>
      </c>
      <c r="C580" s="55">
        <v>118110</v>
      </c>
      <c r="D580" t="s">
        <v>3841</v>
      </c>
      <c r="E580" t="s">
        <v>60</v>
      </c>
      <c r="F580"/>
      <c r="G580" s="130" t="str">
        <f t="shared" si="9"/>
        <v>應英一忠</v>
      </c>
    </row>
    <row r="581" spans="1:7">
      <c r="A581" t="s">
        <v>1080</v>
      </c>
      <c r="B581">
        <v>11</v>
      </c>
      <c r="C581" s="55">
        <v>118111</v>
      </c>
      <c r="D581" t="s">
        <v>3859</v>
      </c>
      <c r="E581" t="s">
        <v>60</v>
      </c>
      <c r="F581"/>
      <c r="G581" s="130" t="str">
        <f t="shared" si="9"/>
        <v>應英一忠</v>
      </c>
    </row>
    <row r="582" spans="1:7">
      <c r="A582" t="s">
        <v>1080</v>
      </c>
      <c r="B582">
        <v>12</v>
      </c>
      <c r="C582" s="55">
        <v>118112</v>
      </c>
      <c r="D582" t="s">
        <v>3877</v>
      </c>
      <c r="E582" t="s">
        <v>60</v>
      </c>
      <c r="F582"/>
      <c r="G582" s="130" t="str">
        <f t="shared" si="9"/>
        <v>應英一忠</v>
      </c>
    </row>
    <row r="583" spans="1:7">
      <c r="A583" t="s">
        <v>1080</v>
      </c>
      <c r="B583">
        <v>13</v>
      </c>
      <c r="C583" s="55">
        <v>118113</v>
      </c>
      <c r="D583" t="s">
        <v>3897</v>
      </c>
      <c r="E583" t="s">
        <v>59</v>
      </c>
      <c r="F583"/>
      <c r="G583" s="130" t="str">
        <f t="shared" si="9"/>
        <v>應英一忠</v>
      </c>
    </row>
    <row r="584" spans="1:7">
      <c r="A584" t="s">
        <v>1080</v>
      </c>
      <c r="B584">
        <v>14</v>
      </c>
      <c r="C584" s="55">
        <v>118114</v>
      </c>
      <c r="D584" t="s">
        <v>3915</v>
      </c>
      <c r="E584" t="s">
        <v>60</v>
      </c>
      <c r="F584"/>
      <c r="G584" s="130" t="str">
        <f t="shared" si="9"/>
        <v>應英一忠</v>
      </c>
    </row>
    <row r="585" spans="1:7">
      <c r="A585" t="s">
        <v>1080</v>
      </c>
      <c r="B585">
        <v>15</v>
      </c>
      <c r="C585" s="55">
        <v>118115</v>
      </c>
      <c r="D585" t="s">
        <v>3933</v>
      </c>
      <c r="E585" t="s">
        <v>60</v>
      </c>
      <c r="F585"/>
      <c r="G585" s="130" t="str">
        <f t="shared" si="9"/>
        <v>應英一忠</v>
      </c>
    </row>
    <row r="586" spans="1:7">
      <c r="A586" t="s">
        <v>1080</v>
      </c>
      <c r="B586">
        <v>16</v>
      </c>
      <c r="C586" s="55">
        <v>118116</v>
      </c>
      <c r="D586" t="s">
        <v>3952</v>
      </c>
      <c r="E586" t="s">
        <v>59</v>
      </c>
      <c r="F586"/>
      <c r="G586" s="130" t="str">
        <f t="shared" si="9"/>
        <v>應英一忠</v>
      </c>
    </row>
    <row r="587" spans="1:7">
      <c r="A587" t="s">
        <v>1080</v>
      </c>
      <c r="B587">
        <v>17</v>
      </c>
      <c r="C587" s="55">
        <v>118117</v>
      </c>
      <c r="D587" t="s">
        <v>3970</v>
      </c>
      <c r="E587" t="s">
        <v>60</v>
      </c>
      <c r="F587"/>
      <c r="G587" s="130" t="str">
        <f t="shared" si="9"/>
        <v>應英一忠</v>
      </c>
    </row>
    <row r="588" spans="1:7">
      <c r="A588" t="s">
        <v>1080</v>
      </c>
      <c r="B588">
        <v>18</v>
      </c>
      <c r="C588" s="55">
        <v>118118</v>
      </c>
      <c r="D588" t="s">
        <v>4004</v>
      </c>
      <c r="E588" t="s">
        <v>59</v>
      </c>
      <c r="F588"/>
      <c r="G588" s="130" t="str">
        <f t="shared" si="9"/>
        <v>應英一忠</v>
      </c>
    </row>
    <row r="589" spans="1:7">
      <c r="A589" t="s">
        <v>1080</v>
      </c>
      <c r="B589">
        <v>19</v>
      </c>
      <c r="C589" s="55">
        <v>118119</v>
      </c>
      <c r="D589" t="s">
        <v>4052</v>
      </c>
      <c r="E589" t="s">
        <v>60</v>
      </c>
      <c r="F589"/>
      <c r="G589" s="130" t="str">
        <f t="shared" si="9"/>
        <v>應英一忠</v>
      </c>
    </row>
    <row r="590" spans="1:7">
      <c r="A590" t="s">
        <v>1080</v>
      </c>
      <c r="B590">
        <v>20</v>
      </c>
      <c r="C590" s="55">
        <v>118120</v>
      </c>
      <c r="D590" t="s">
        <v>4020</v>
      </c>
      <c r="E590" t="s">
        <v>60</v>
      </c>
      <c r="F590"/>
      <c r="G590" s="130" t="str">
        <f t="shared" si="9"/>
        <v>應英一忠</v>
      </c>
    </row>
    <row r="591" spans="1:7">
      <c r="A591" t="s">
        <v>1080</v>
      </c>
      <c r="B591">
        <v>21</v>
      </c>
      <c r="C591" s="55">
        <v>118121</v>
      </c>
      <c r="D591" t="s">
        <v>4053</v>
      </c>
      <c r="E591" t="s">
        <v>59</v>
      </c>
      <c r="F591"/>
      <c r="G591" s="130" t="str">
        <f t="shared" si="9"/>
        <v>應英一忠</v>
      </c>
    </row>
    <row r="592" spans="1:7">
      <c r="A592" t="s">
        <v>1080</v>
      </c>
      <c r="B592">
        <v>22</v>
      </c>
      <c r="C592" s="55">
        <v>118122</v>
      </c>
      <c r="D592" t="s">
        <v>4084</v>
      </c>
      <c r="E592" t="s">
        <v>59</v>
      </c>
      <c r="F592"/>
      <c r="G592" s="130" t="str">
        <f t="shared" si="9"/>
        <v>應英一忠</v>
      </c>
    </row>
    <row r="593" spans="1:7">
      <c r="A593" t="s">
        <v>1080</v>
      </c>
      <c r="B593">
        <v>23</v>
      </c>
      <c r="C593" s="55">
        <v>118123</v>
      </c>
      <c r="D593" t="s">
        <v>4068</v>
      </c>
      <c r="E593" t="s">
        <v>60</v>
      </c>
      <c r="F593"/>
      <c r="G593" s="130" t="str">
        <f t="shared" si="9"/>
        <v>應英一忠</v>
      </c>
    </row>
    <row r="594" spans="1:7">
      <c r="A594" t="s">
        <v>1080</v>
      </c>
      <c r="B594">
        <v>24</v>
      </c>
      <c r="C594" s="55">
        <v>118124</v>
      </c>
      <c r="D594" t="s">
        <v>4113</v>
      </c>
      <c r="E594" t="s">
        <v>60</v>
      </c>
      <c r="F594"/>
      <c r="G594" s="130" t="str">
        <f t="shared" si="9"/>
        <v>應英一忠</v>
      </c>
    </row>
    <row r="595" spans="1:7">
      <c r="A595" t="s">
        <v>1080</v>
      </c>
      <c r="B595">
        <v>25</v>
      </c>
      <c r="C595" s="55">
        <v>118125</v>
      </c>
      <c r="D595" t="s">
        <v>4097</v>
      </c>
      <c r="E595" t="s">
        <v>60</v>
      </c>
      <c r="F595"/>
      <c r="G595" s="130" t="str">
        <f t="shared" si="9"/>
        <v>應英一忠</v>
      </c>
    </row>
    <row r="596" spans="1:7">
      <c r="A596" t="s">
        <v>1080</v>
      </c>
      <c r="B596">
        <v>26</v>
      </c>
      <c r="C596" s="55">
        <v>118126</v>
      </c>
      <c r="D596" t="s">
        <v>4163</v>
      </c>
      <c r="E596" t="s">
        <v>60</v>
      </c>
      <c r="F596"/>
      <c r="G596" s="130" t="str">
        <f t="shared" si="9"/>
        <v>應英一忠</v>
      </c>
    </row>
    <row r="597" spans="1:7">
      <c r="A597" t="s">
        <v>1080</v>
      </c>
      <c r="B597">
        <v>27</v>
      </c>
      <c r="C597" s="55">
        <v>118127</v>
      </c>
      <c r="D597" t="s">
        <v>4112</v>
      </c>
      <c r="E597" t="s">
        <v>59</v>
      </c>
      <c r="F597"/>
      <c r="G597" s="130" t="str">
        <f t="shared" si="9"/>
        <v>應英一忠</v>
      </c>
    </row>
    <row r="598" spans="1:7">
      <c r="A598" t="s">
        <v>1080</v>
      </c>
      <c r="B598">
        <v>28</v>
      </c>
      <c r="C598" s="55">
        <v>118128</v>
      </c>
      <c r="D598" t="s">
        <v>4145</v>
      </c>
      <c r="E598" t="s">
        <v>59</v>
      </c>
      <c r="F598"/>
      <c r="G598" s="130" t="str">
        <f t="shared" si="9"/>
        <v>應英一忠</v>
      </c>
    </row>
    <row r="599" spans="1:7">
      <c r="A599" t="s">
        <v>1080</v>
      </c>
      <c r="B599">
        <v>29</v>
      </c>
      <c r="C599" s="55">
        <v>118129</v>
      </c>
      <c r="D599" t="s">
        <v>4180</v>
      </c>
      <c r="E599" t="s">
        <v>60</v>
      </c>
      <c r="F599"/>
      <c r="G599" s="130" t="str">
        <f t="shared" si="9"/>
        <v>應英一忠</v>
      </c>
    </row>
    <row r="600" spans="1:7">
      <c r="A600" t="s">
        <v>1080</v>
      </c>
      <c r="B600">
        <v>30</v>
      </c>
      <c r="C600" s="55">
        <v>118130</v>
      </c>
      <c r="D600" t="s">
        <v>4179</v>
      </c>
      <c r="E600" t="s">
        <v>60</v>
      </c>
      <c r="F600"/>
      <c r="G600" s="130" t="str">
        <f t="shared" si="9"/>
        <v>應英一忠</v>
      </c>
    </row>
    <row r="601" spans="1:7">
      <c r="A601" t="s">
        <v>1080</v>
      </c>
      <c r="B601">
        <v>31</v>
      </c>
      <c r="C601" s="55">
        <v>118131</v>
      </c>
      <c r="D601" t="s">
        <v>4196</v>
      </c>
      <c r="E601" t="s">
        <v>60</v>
      </c>
      <c r="F601"/>
      <c r="G601" s="130" t="str">
        <f t="shared" si="9"/>
        <v>應英一忠</v>
      </c>
    </row>
    <row r="602" spans="1:7">
      <c r="A602" t="s">
        <v>1080</v>
      </c>
      <c r="B602">
        <v>32</v>
      </c>
      <c r="C602" s="55">
        <v>118132</v>
      </c>
      <c r="D602" t="s">
        <v>4230</v>
      </c>
      <c r="E602" t="s">
        <v>60</v>
      </c>
      <c r="F602"/>
      <c r="G602" s="130" t="str">
        <f t="shared" si="9"/>
        <v>應英一忠</v>
      </c>
    </row>
    <row r="603" spans="1:7">
      <c r="A603" t="s">
        <v>1080</v>
      </c>
      <c r="B603">
        <v>33</v>
      </c>
      <c r="C603" s="55">
        <v>118133</v>
      </c>
      <c r="D603" t="s">
        <v>4263</v>
      </c>
      <c r="E603" t="s">
        <v>59</v>
      </c>
      <c r="F603"/>
      <c r="G603" s="130" t="str">
        <f t="shared" si="9"/>
        <v>應英一忠</v>
      </c>
    </row>
    <row r="604" spans="1:7">
      <c r="A604" t="s">
        <v>1082</v>
      </c>
      <c r="B604">
        <v>1</v>
      </c>
      <c r="C604" s="55">
        <v>118201</v>
      </c>
      <c r="D604" t="s">
        <v>3716</v>
      </c>
      <c r="E604" t="s">
        <v>59</v>
      </c>
      <c r="F604"/>
      <c r="G604" s="130" t="str">
        <f t="shared" si="9"/>
        <v>應英一孝</v>
      </c>
    </row>
    <row r="605" spans="1:7">
      <c r="A605" t="s">
        <v>1082</v>
      </c>
      <c r="B605">
        <v>2</v>
      </c>
      <c r="C605" s="55">
        <v>118202</v>
      </c>
      <c r="D605" t="s">
        <v>3753</v>
      </c>
      <c r="E605" t="s">
        <v>59</v>
      </c>
      <c r="F605"/>
      <c r="G605" s="130" t="str">
        <f t="shared" si="9"/>
        <v>應英一孝</v>
      </c>
    </row>
    <row r="606" spans="1:7">
      <c r="A606" t="s">
        <v>1082</v>
      </c>
      <c r="B606">
        <v>3</v>
      </c>
      <c r="C606" s="55">
        <v>118203</v>
      </c>
      <c r="D606" t="s">
        <v>3752</v>
      </c>
      <c r="E606" t="s">
        <v>59</v>
      </c>
      <c r="F606"/>
      <c r="G606" s="130" t="str">
        <f t="shared" si="9"/>
        <v>應英一孝</v>
      </c>
    </row>
    <row r="607" spans="1:7">
      <c r="A607" t="s">
        <v>1082</v>
      </c>
      <c r="B607">
        <v>4</v>
      </c>
      <c r="C607" s="55">
        <v>118204</v>
      </c>
      <c r="D607" t="s">
        <v>3770</v>
      </c>
      <c r="E607" t="s">
        <v>59</v>
      </c>
      <c r="F607"/>
      <c r="G607" s="130" t="str">
        <f t="shared" si="9"/>
        <v>應英一孝</v>
      </c>
    </row>
    <row r="608" spans="1:7">
      <c r="A608" t="s">
        <v>1082</v>
      </c>
      <c r="B608">
        <v>5</v>
      </c>
      <c r="C608" s="55">
        <v>118205</v>
      </c>
      <c r="D608" t="s">
        <v>1353</v>
      </c>
      <c r="E608" t="s">
        <v>59</v>
      </c>
      <c r="F608"/>
      <c r="G608" s="130" t="str">
        <f t="shared" si="9"/>
        <v>應英一孝</v>
      </c>
    </row>
    <row r="609" spans="1:7">
      <c r="A609" t="s">
        <v>1082</v>
      </c>
      <c r="B609">
        <v>6</v>
      </c>
      <c r="C609" s="55">
        <v>118206</v>
      </c>
      <c r="D609" t="s">
        <v>3842</v>
      </c>
      <c r="E609" t="s">
        <v>60</v>
      </c>
      <c r="F609"/>
      <c r="G609" s="130" t="str">
        <f t="shared" si="9"/>
        <v>應英一孝</v>
      </c>
    </row>
    <row r="610" spans="1:7">
      <c r="A610" t="s">
        <v>1082</v>
      </c>
      <c r="B610">
        <v>7</v>
      </c>
      <c r="C610" s="55">
        <v>118207</v>
      </c>
      <c r="D610" t="s">
        <v>3858</v>
      </c>
      <c r="E610" t="s">
        <v>59</v>
      </c>
      <c r="F610"/>
      <c r="G610" s="130" t="str">
        <f t="shared" si="9"/>
        <v>應英一孝</v>
      </c>
    </row>
    <row r="611" spans="1:7">
      <c r="A611" t="s">
        <v>1082</v>
      </c>
      <c r="B611">
        <v>8</v>
      </c>
      <c r="C611" s="55">
        <v>118208</v>
      </c>
      <c r="D611" t="s">
        <v>3896</v>
      </c>
      <c r="E611" t="s">
        <v>60</v>
      </c>
      <c r="F611"/>
      <c r="G611" s="130" t="str">
        <f t="shared" si="9"/>
        <v>應英一孝</v>
      </c>
    </row>
    <row r="612" spans="1:7">
      <c r="A612" t="s">
        <v>1082</v>
      </c>
      <c r="B612">
        <v>9</v>
      </c>
      <c r="C612" s="55">
        <v>118209</v>
      </c>
      <c r="D612" t="s">
        <v>3878</v>
      </c>
      <c r="E612" t="s">
        <v>60</v>
      </c>
      <c r="F612"/>
      <c r="G612" s="130" t="str">
        <f t="shared" si="9"/>
        <v>應英一孝</v>
      </c>
    </row>
    <row r="613" spans="1:7">
      <c r="A613" t="s">
        <v>1082</v>
      </c>
      <c r="B613">
        <v>10</v>
      </c>
      <c r="C613" s="55">
        <v>118210</v>
      </c>
      <c r="D613" t="s">
        <v>3916</v>
      </c>
      <c r="E613" t="s">
        <v>60</v>
      </c>
      <c r="F613"/>
      <c r="G613" s="130" t="str">
        <f t="shared" si="9"/>
        <v>應英一孝</v>
      </c>
    </row>
    <row r="614" spans="1:7">
      <c r="A614" t="s">
        <v>1082</v>
      </c>
      <c r="B614">
        <v>11</v>
      </c>
      <c r="C614" s="55">
        <v>118211</v>
      </c>
      <c r="D614" t="s">
        <v>3934</v>
      </c>
      <c r="E614" t="s">
        <v>60</v>
      </c>
      <c r="F614"/>
      <c r="G614" s="130" t="str">
        <f t="shared" si="9"/>
        <v>應英一孝</v>
      </c>
    </row>
    <row r="615" spans="1:7">
      <c r="A615" t="s">
        <v>1082</v>
      </c>
      <c r="B615">
        <v>12</v>
      </c>
      <c r="C615" s="55">
        <v>118212</v>
      </c>
      <c r="D615" t="s">
        <v>3951</v>
      </c>
      <c r="E615" t="s">
        <v>59</v>
      </c>
      <c r="F615"/>
      <c r="G615" s="130" t="str">
        <f t="shared" si="9"/>
        <v>應英一孝</v>
      </c>
    </row>
    <row r="616" spans="1:7">
      <c r="A616" t="s">
        <v>1082</v>
      </c>
      <c r="B616">
        <v>13</v>
      </c>
      <c r="C616" s="55">
        <v>118213</v>
      </c>
      <c r="D616" t="s">
        <v>3969</v>
      </c>
      <c r="E616" t="s">
        <v>60</v>
      </c>
      <c r="F616"/>
      <c r="G616" s="130" t="str">
        <f t="shared" si="9"/>
        <v>應英一孝</v>
      </c>
    </row>
    <row r="617" spans="1:7">
      <c r="A617" t="s">
        <v>1082</v>
      </c>
      <c r="B617">
        <v>14</v>
      </c>
      <c r="C617" s="55">
        <v>118214</v>
      </c>
      <c r="D617" t="s">
        <v>3987</v>
      </c>
      <c r="E617" t="s">
        <v>60</v>
      </c>
      <c r="F617"/>
      <c r="G617" s="130" t="str">
        <f t="shared" si="9"/>
        <v>應英一孝</v>
      </c>
    </row>
    <row r="618" spans="1:7">
      <c r="A618" t="s">
        <v>1082</v>
      </c>
      <c r="B618">
        <v>15</v>
      </c>
      <c r="C618" s="55">
        <v>118215</v>
      </c>
      <c r="D618" t="s">
        <v>3988</v>
      </c>
      <c r="E618" t="s">
        <v>60</v>
      </c>
      <c r="F618"/>
      <c r="G618" s="130" t="str">
        <f t="shared" si="9"/>
        <v>應英一孝</v>
      </c>
    </row>
    <row r="619" spans="1:7">
      <c r="A619" t="s">
        <v>1082</v>
      </c>
      <c r="B619">
        <v>16</v>
      </c>
      <c r="C619" s="55">
        <v>118216</v>
      </c>
      <c r="D619" t="s">
        <v>4019</v>
      </c>
      <c r="E619" t="s">
        <v>60</v>
      </c>
      <c r="F619"/>
      <c r="G619" s="130" t="str">
        <f t="shared" si="9"/>
        <v>應英一孝</v>
      </c>
    </row>
    <row r="620" spans="1:7">
      <c r="A620" t="s">
        <v>1082</v>
      </c>
      <c r="B620">
        <v>17</v>
      </c>
      <c r="C620" s="55">
        <v>118217</v>
      </c>
      <c r="D620" t="s">
        <v>4036</v>
      </c>
      <c r="E620" t="s">
        <v>59</v>
      </c>
      <c r="F620"/>
      <c r="G620" s="130" t="str">
        <f t="shared" si="9"/>
        <v>應英一孝</v>
      </c>
    </row>
    <row r="621" spans="1:7">
      <c r="A621" t="s">
        <v>1082</v>
      </c>
      <c r="B621">
        <v>18</v>
      </c>
      <c r="C621" s="55">
        <v>118218</v>
      </c>
      <c r="D621" t="s">
        <v>4037</v>
      </c>
      <c r="E621" t="s">
        <v>59</v>
      </c>
      <c r="F621"/>
      <c r="G621" s="130" t="str">
        <f t="shared" si="9"/>
        <v>應英一孝</v>
      </c>
    </row>
    <row r="622" spans="1:7">
      <c r="A622" t="s">
        <v>1082</v>
      </c>
      <c r="B622">
        <v>19</v>
      </c>
      <c r="C622" s="55">
        <v>118219</v>
      </c>
      <c r="D622" t="s">
        <v>150</v>
      </c>
      <c r="E622" t="s">
        <v>59</v>
      </c>
      <c r="F622"/>
      <c r="G622" s="130" t="str">
        <f t="shared" si="9"/>
        <v>應英一孝</v>
      </c>
    </row>
    <row r="623" spans="1:7">
      <c r="A623" t="s">
        <v>1082</v>
      </c>
      <c r="B623">
        <v>20</v>
      </c>
      <c r="C623" s="55">
        <v>118220</v>
      </c>
      <c r="D623" t="s">
        <v>4098</v>
      </c>
      <c r="E623" t="s">
        <v>59</v>
      </c>
      <c r="F623"/>
      <c r="G623" s="130" t="str">
        <f t="shared" si="9"/>
        <v>應英一孝</v>
      </c>
    </row>
    <row r="624" spans="1:7">
      <c r="A624" t="s">
        <v>1082</v>
      </c>
      <c r="B624">
        <v>21</v>
      </c>
      <c r="C624" s="55">
        <v>118221</v>
      </c>
      <c r="D624" t="s">
        <v>4083</v>
      </c>
      <c r="E624" t="s">
        <v>60</v>
      </c>
      <c r="F624"/>
      <c r="G624" s="130" t="str">
        <f t="shared" si="9"/>
        <v>應英一孝</v>
      </c>
    </row>
    <row r="625" spans="1:7">
      <c r="A625" t="s">
        <v>1082</v>
      </c>
      <c r="B625">
        <v>22</v>
      </c>
      <c r="C625" s="55">
        <v>118222</v>
      </c>
      <c r="D625" t="s">
        <v>4130</v>
      </c>
      <c r="E625" t="s">
        <v>60</v>
      </c>
      <c r="F625"/>
      <c r="G625" s="130" t="str">
        <f t="shared" si="9"/>
        <v>應英一孝</v>
      </c>
    </row>
    <row r="626" spans="1:7">
      <c r="A626" t="s">
        <v>1082</v>
      </c>
      <c r="B626">
        <v>23</v>
      </c>
      <c r="C626" s="55">
        <v>118223</v>
      </c>
      <c r="D626" t="s">
        <v>4146</v>
      </c>
      <c r="E626" t="s">
        <v>60</v>
      </c>
      <c r="F626"/>
      <c r="G626" s="130" t="str">
        <f t="shared" si="9"/>
        <v>應英一孝</v>
      </c>
    </row>
    <row r="627" spans="1:7">
      <c r="A627" t="s">
        <v>1082</v>
      </c>
      <c r="B627">
        <v>24</v>
      </c>
      <c r="C627" s="55">
        <v>118224</v>
      </c>
      <c r="D627" t="s">
        <v>4129</v>
      </c>
      <c r="E627" t="s">
        <v>59</v>
      </c>
      <c r="F627"/>
      <c r="G627" s="130" t="str">
        <f t="shared" si="9"/>
        <v>應英一孝</v>
      </c>
    </row>
    <row r="628" spans="1:7">
      <c r="A628" t="s">
        <v>1082</v>
      </c>
      <c r="B628">
        <v>25</v>
      </c>
      <c r="C628" s="55">
        <v>118225</v>
      </c>
      <c r="D628" t="s">
        <v>4162</v>
      </c>
      <c r="E628" t="s">
        <v>59</v>
      </c>
      <c r="F628"/>
      <c r="G628" s="130" t="str">
        <f t="shared" si="9"/>
        <v>應英一孝</v>
      </c>
    </row>
    <row r="629" spans="1:7">
      <c r="A629" t="s">
        <v>1082</v>
      </c>
      <c r="B629">
        <v>26</v>
      </c>
      <c r="C629" s="55">
        <v>118226</v>
      </c>
      <c r="D629" t="s">
        <v>4197</v>
      </c>
      <c r="E629" t="s">
        <v>60</v>
      </c>
      <c r="F629"/>
      <c r="G629" s="130" t="str">
        <f t="shared" si="9"/>
        <v>應英一孝</v>
      </c>
    </row>
    <row r="630" spans="1:7">
      <c r="A630" t="s">
        <v>1082</v>
      </c>
      <c r="B630">
        <v>27</v>
      </c>
      <c r="C630" s="55">
        <v>118227</v>
      </c>
      <c r="D630" t="s">
        <v>4213</v>
      </c>
      <c r="E630" t="s">
        <v>60</v>
      </c>
      <c r="F630"/>
      <c r="G630" s="130" t="str">
        <f t="shared" si="9"/>
        <v>應英一孝</v>
      </c>
    </row>
    <row r="631" spans="1:7">
      <c r="A631" t="s">
        <v>1082</v>
      </c>
      <c r="B631">
        <v>28</v>
      </c>
      <c r="C631" s="55">
        <v>118228</v>
      </c>
      <c r="D631" t="s">
        <v>4214</v>
      </c>
      <c r="E631" t="s">
        <v>59</v>
      </c>
      <c r="F631"/>
      <c r="G631" s="130" t="str">
        <f t="shared" si="9"/>
        <v>應英一孝</v>
      </c>
    </row>
    <row r="632" spans="1:7">
      <c r="A632" t="s">
        <v>1082</v>
      </c>
      <c r="B632">
        <v>29</v>
      </c>
      <c r="C632" s="55">
        <v>118229</v>
      </c>
      <c r="D632" t="s">
        <v>4231</v>
      </c>
      <c r="E632" t="s">
        <v>60</v>
      </c>
      <c r="F632"/>
      <c r="G632" s="130" t="str">
        <f t="shared" si="9"/>
        <v>應英一孝</v>
      </c>
    </row>
    <row r="633" spans="1:7">
      <c r="A633" t="s">
        <v>1082</v>
      </c>
      <c r="B633">
        <v>30</v>
      </c>
      <c r="C633" s="55">
        <v>118230</v>
      </c>
      <c r="D633" t="s">
        <v>4247</v>
      </c>
      <c r="E633" t="s">
        <v>60</v>
      </c>
      <c r="F633"/>
      <c r="G633" s="130" t="str">
        <f t="shared" si="9"/>
        <v>應英一孝</v>
      </c>
    </row>
    <row r="634" spans="1:7">
      <c r="A634" t="s">
        <v>1082</v>
      </c>
      <c r="B634">
        <v>31</v>
      </c>
      <c r="C634" s="55">
        <v>118231</v>
      </c>
      <c r="D634" t="s">
        <v>4262</v>
      </c>
      <c r="E634" t="s">
        <v>60</v>
      </c>
      <c r="F634"/>
      <c r="G634" s="130" t="str">
        <f t="shared" si="9"/>
        <v>應英一孝</v>
      </c>
    </row>
    <row r="635" spans="1:7">
      <c r="A635" t="s">
        <v>1082</v>
      </c>
      <c r="B635">
        <v>32</v>
      </c>
      <c r="C635" s="55">
        <v>118232</v>
      </c>
      <c r="D635" t="s">
        <v>4248</v>
      </c>
      <c r="E635" t="s">
        <v>60</v>
      </c>
      <c r="F635"/>
      <c r="G635" s="130" t="str">
        <f t="shared" si="9"/>
        <v>應英一孝</v>
      </c>
    </row>
    <row r="636" spans="1:7">
      <c r="A636" t="s">
        <v>1190</v>
      </c>
      <c r="B636">
        <v>1</v>
      </c>
      <c r="C636" s="55">
        <v>116101</v>
      </c>
      <c r="D636" t="s">
        <v>3717</v>
      </c>
      <c r="E636" t="s">
        <v>59</v>
      </c>
      <c r="F636"/>
      <c r="G636" s="130" t="str">
        <f t="shared" si="9"/>
        <v>門服一忠</v>
      </c>
    </row>
    <row r="637" spans="1:7">
      <c r="A637" t="s">
        <v>1190</v>
      </c>
      <c r="B637">
        <v>2</v>
      </c>
      <c r="C637" s="55">
        <v>116102</v>
      </c>
      <c r="D637" t="s">
        <v>3736</v>
      </c>
      <c r="E637" t="s">
        <v>59</v>
      </c>
      <c r="F637"/>
      <c r="G637" s="130" t="str">
        <f t="shared" si="9"/>
        <v>門服一忠</v>
      </c>
    </row>
    <row r="638" spans="1:7">
      <c r="A638" t="s">
        <v>1190</v>
      </c>
      <c r="B638">
        <v>3</v>
      </c>
      <c r="C638" s="55">
        <v>116103</v>
      </c>
      <c r="D638" t="s">
        <v>3754</v>
      </c>
      <c r="E638" t="s">
        <v>60</v>
      </c>
      <c r="F638"/>
      <c r="G638" s="130" t="str">
        <f t="shared" si="9"/>
        <v>門服一忠</v>
      </c>
    </row>
    <row r="639" spans="1:7">
      <c r="A639" t="s">
        <v>1190</v>
      </c>
      <c r="B639">
        <v>4</v>
      </c>
      <c r="C639" s="55">
        <v>116104</v>
      </c>
      <c r="D639" t="s">
        <v>3772</v>
      </c>
      <c r="E639" t="s">
        <v>59</v>
      </c>
      <c r="F639"/>
      <c r="G639" s="130" t="str">
        <f t="shared" si="9"/>
        <v>門服一忠</v>
      </c>
    </row>
    <row r="640" spans="1:7">
      <c r="A640" t="s">
        <v>1190</v>
      </c>
      <c r="B640">
        <v>5</v>
      </c>
      <c r="C640" s="55">
        <v>116105</v>
      </c>
      <c r="D640" t="s">
        <v>3789</v>
      </c>
      <c r="E640" t="s">
        <v>59</v>
      </c>
      <c r="F640"/>
      <c r="G640" s="130" t="str">
        <f t="shared" si="9"/>
        <v>門服一忠</v>
      </c>
    </row>
    <row r="641" spans="1:7">
      <c r="A641" t="s">
        <v>1190</v>
      </c>
      <c r="B641">
        <v>6</v>
      </c>
      <c r="C641" s="55">
        <v>116106</v>
      </c>
      <c r="D641" t="s">
        <v>3807</v>
      </c>
      <c r="E641" t="s">
        <v>59</v>
      </c>
      <c r="F641"/>
      <c r="G641" s="130" t="str">
        <f t="shared" si="9"/>
        <v>門服一忠</v>
      </c>
    </row>
    <row r="642" spans="1:7">
      <c r="A642" t="s">
        <v>1190</v>
      </c>
      <c r="B642">
        <v>7</v>
      </c>
      <c r="C642" s="55">
        <v>116107</v>
      </c>
      <c r="D642" t="s">
        <v>3824</v>
      </c>
      <c r="E642" t="s">
        <v>60</v>
      </c>
      <c r="F642"/>
      <c r="G642" s="130" t="str">
        <f t="shared" si="9"/>
        <v>門服一忠</v>
      </c>
    </row>
    <row r="643" spans="1:7">
      <c r="A643" t="s">
        <v>1190</v>
      </c>
      <c r="B643">
        <v>8</v>
      </c>
      <c r="C643" s="55">
        <v>116108</v>
      </c>
      <c r="D643" t="s">
        <v>2076</v>
      </c>
      <c r="E643" t="s">
        <v>59</v>
      </c>
      <c r="F643"/>
      <c r="G643" s="130" t="str">
        <f t="shared" ref="G643:G706" si="10">A643&amp;F643</f>
        <v>門服一忠</v>
      </c>
    </row>
    <row r="644" spans="1:7">
      <c r="A644" t="s">
        <v>1190</v>
      </c>
      <c r="B644">
        <v>9</v>
      </c>
      <c r="C644" s="55">
        <v>116109</v>
      </c>
      <c r="D644" t="s">
        <v>3860</v>
      </c>
      <c r="E644" t="s">
        <v>59</v>
      </c>
      <c r="F644"/>
      <c r="G644" s="130" t="str">
        <f t="shared" si="10"/>
        <v>門服一忠</v>
      </c>
    </row>
    <row r="645" spans="1:7">
      <c r="A645" t="s">
        <v>1190</v>
      </c>
      <c r="B645">
        <v>10</v>
      </c>
      <c r="C645" s="55">
        <v>116110</v>
      </c>
      <c r="D645" t="s">
        <v>3879</v>
      </c>
      <c r="E645" t="s">
        <v>59</v>
      </c>
      <c r="F645"/>
      <c r="G645" s="130" t="str">
        <f t="shared" si="10"/>
        <v>門服一忠</v>
      </c>
    </row>
    <row r="646" spans="1:7">
      <c r="A646" t="s">
        <v>1190</v>
      </c>
      <c r="B646">
        <v>11</v>
      </c>
      <c r="C646" s="55">
        <v>116111</v>
      </c>
      <c r="D646" t="s">
        <v>3898</v>
      </c>
      <c r="E646" t="s">
        <v>59</v>
      </c>
      <c r="F646"/>
      <c r="G646" s="130" t="str">
        <f t="shared" si="10"/>
        <v>門服一忠</v>
      </c>
    </row>
    <row r="647" spans="1:7">
      <c r="A647" t="s">
        <v>6</v>
      </c>
      <c r="B647">
        <v>1</v>
      </c>
      <c r="C647" s="55">
        <v>117101</v>
      </c>
      <c r="D647" t="s">
        <v>3718</v>
      </c>
      <c r="E647" t="s">
        <v>59</v>
      </c>
      <c r="F647"/>
      <c r="G647" s="130" t="str">
        <f t="shared" si="10"/>
        <v>體育一忠</v>
      </c>
    </row>
    <row r="648" spans="1:7">
      <c r="A648" t="s">
        <v>6</v>
      </c>
      <c r="B648">
        <v>2</v>
      </c>
      <c r="C648" s="55">
        <v>117102</v>
      </c>
      <c r="D648" t="s">
        <v>3737</v>
      </c>
      <c r="E648" t="s">
        <v>59</v>
      </c>
      <c r="F648"/>
      <c r="G648" s="130" t="str">
        <f t="shared" si="10"/>
        <v>體育一忠</v>
      </c>
    </row>
    <row r="649" spans="1:7">
      <c r="A649" t="s">
        <v>6</v>
      </c>
      <c r="B649">
        <v>3</v>
      </c>
      <c r="C649" s="55">
        <v>117103</v>
      </c>
      <c r="D649" t="s">
        <v>3755</v>
      </c>
      <c r="E649" t="s">
        <v>59</v>
      </c>
      <c r="F649"/>
      <c r="G649" s="130" t="str">
        <f t="shared" si="10"/>
        <v>體育一忠</v>
      </c>
    </row>
    <row r="650" spans="1:7">
      <c r="A650" t="s">
        <v>6</v>
      </c>
      <c r="B650">
        <v>4</v>
      </c>
      <c r="C650" s="55">
        <v>117104</v>
      </c>
      <c r="D650" t="s">
        <v>3773</v>
      </c>
      <c r="E650" t="s">
        <v>59</v>
      </c>
      <c r="F650"/>
      <c r="G650" s="130" t="str">
        <f t="shared" si="10"/>
        <v>體育一忠</v>
      </c>
    </row>
    <row r="651" spans="1:7">
      <c r="A651" t="s">
        <v>6</v>
      </c>
      <c r="B651">
        <v>5</v>
      </c>
      <c r="C651" s="55">
        <v>117105</v>
      </c>
      <c r="D651" t="s">
        <v>3790</v>
      </c>
      <c r="E651" t="s">
        <v>59</v>
      </c>
      <c r="F651"/>
      <c r="G651" s="130" t="str">
        <f t="shared" si="10"/>
        <v>體育一忠</v>
      </c>
    </row>
    <row r="652" spans="1:7">
      <c r="A652" t="s">
        <v>6</v>
      </c>
      <c r="B652">
        <v>6</v>
      </c>
      <c r="C652" s="55">
        <v>117106</v>
      </c>
      <c r="D652" t="s">
        <v>3808</v>
      </c>
      <c r="E652" t="s">
        <v>59</v>
      </c>
      <c r="F652"/>
      <c r="G652" s="130" t="str">
        <f t="shared" si="10"/>
        <v>體育一忠</v>
      </c>
    </row>
    <row r="653" spans="1:7">
      <c r="A653" t="s">
        <v>6</v>
      </c>
      <c r="B653">
        <v>7</v>
      </c>
      <c r="C653" s="55">
        <v>117107</v>
      </c>
      <c r="D653" t="s">
        <v>3825</v>
      </c>
      <c r="E653" t="s">
        <v>59</v>
      </c>
      <c r="F653"/>
      <c r="G653" s="130" t="str">
        <f t="shared" si="10"/>
        <v>體育一忠</v>
      </c>
    </row>
    <row r="654" spans="1:7">
      <c r="A654" t="s">
        <v>6</v>
      </c>
      <c r="B654">
        <v>8</v>
      </c>
      <c r="C654" s="55">
        <v>117108</v>
      </c>
      <c r="D654" t="s">
        <v>3843</v>
      </c>
      <c r="E654" t="s">
        <v>59</v>
      </c>
      <c r="F654"/>
      <c r="G654" s="130" t="str">
        <f t="shared" si="10"/>
        <v>體育一忠</v>
      </c>
    </row>
    <row r="655" spans="1:7">
      <c r="A655" t="s">
        <v>6</v>
      </c>
      <c r="B655">
        <v>9</v>
      </c>
      <c r="C655" s="55">
        <v>117109</v>
      </c>
      <c r="D655" t="s">
        <v>3861</v>
      </c>
      <c r="E655" t="s">
        <v>59</v>
      </c>
      <c r="F655"/>
      <c r="G655" s="130" t="str">
        <f t="shared" si="10"/>
        <v>體育一忠</v>
      </c>
    </row>
    <row r="656" spans="1:7">
      <c r="A656" t="s">
        <v>6</v>
      </c>
      <c r="B656">
        <v>10</v>
      </c>
      <c r="C656" s="55">
        <v>117110</v>
      </c>
      <c r="D656" t="s">
        <v>3880</v>
      </c>
      <c r="E656" t="s">
        <v>60</v>
      </c>
      <c r="F656"/>
      <c r="G656" s="130" t="str">
        <f t="shared" si="10"/>
        <v>體育一忠</v>
      </c>
    </row>
    <row r="657" spans="1:7">
      <c r="A657" t="s">
        <v>6</v>
      </c>
      <c r="B657">
        <v>11</v>
      </c>
      <c r="C657" s="55">
        <v>117111</v>
      </c>
      <c r="D657" t="s">
        <v>3899</v>
      </c>
      <c r="E657" t="s">
        <v>60</v>
      </c>
      <c r="F657"/>
      <c r="G657" s="130" t="str">
        <f t="shared" si="10"/>
        <v>體育一忠</v>
      </c>
    </row>
    <row r="658" spans="1:7">
      <c r="A658" t="s">
        <v>6</v>
      </c>
      <c r="B658">
        <v>12</v>
      </c>
      <c r="C658" s="55">
        <v>117112</v>
      </c>
      <c r="D658" t="s">
        <v>3917</v>
      </c>
      <c r="E658" t="s">
        <v>59</v>
      </c>
      <c r="F658"/>
      <c r="G658" s="130" t="str">
        <f t="shared" si="10"/>
        <v>體育一忠</v>
      </c>
    </row>
    <row r="659" spans="1:7">
      <c r="A659" t="s">
        <v>6</v>
      </c>
      <c r="B659">
        <v>13</v>
      </c>
      <c r="C659" s="55">
        <v>117113</v>
      </c>
      <c r="D659" t="s">
        <v>3935</v>
      </c>
      <c r="E659" t="s">
        <v>59</v>
      </c>
      <c r="F659"/>
      <c r="G659" s="130" t="str">
        <f t="shared" si="10"/>
        <v>體育一忠</v>
      </c>
    </row>
    <row r="660" spans="1:7">
      <c r="A660" t="s">
        <v>6</v>
      </c>
      <c r="B660">
        <v>14</v>
      </c>
      <c r="C660" s="55">
        <v>117114</v>
      </c>
      <c r="D660" t="s">
        <v>3953</v>
      </c>
      <c r="E660" t="s">
        <v>59</v>
      </c>
      <c r="F660"/>
      <c r="G660" s="130" t="str">
        <f t="shared" si="10"/>
        <v>體育一忠</v>
      </c>
    </row>
    <row r="661" spans="1:7">
      <c r="A661" t="s">
        <v>6</v>
      </c>
      <c r="B661">
        <v>15</v>
      </c>
      <c r="C661" s="55">
        <v>117115</v>
      </c>
      <c r="D661" t="s">
        <v>4373</v>
      </c>
      <c r="E661" t="s">
        <v>60</v>
      </c>
      <c r="F661"/>
      <c r="G661" s="130" t="str">
        <f t="shared" si="10"/>
        <v>體育一忠</v>
      </c>
    </row>
    <row r="662" spans="1:7">
      <c r="A662" t="s">
        <v>6</v>
      </c>
      <c r="B662">
        <v>16</v>
      </c>
      <c r="C662" s="55">
        <v>117116</v>
      </c>
      <c r="D662" t="s">
        <v>3971</v>
      </c>
      <c r="E662" t="s">
        <v>59</v>
      </c>
      <c r="F662"/>
      <c r="G662" s="130" t="str">
        <f t="shared" si="10"/>
        <v>體育一忠</v>
      </c>
    </row>
    <row r="663" spans="1:7">
      <c r="A663" t="s">
        <v>6</v>
      </c>
      <c r="B663">
        <v>17</v>
      </c>
      <c r="C663" s="55">
        <v>117117</v>
      </c>
      <c r="D663" t="s">
        <v>2480</v>
      </c>
      <c r="E663" t="s">
        <v>59</v>
      </c>
      <c r="F663"/>
      <c r="G663" s="130" t="str">
        <f t="shared" si="10"/>
        <v>體育一忠</v>
      </c>
    </row>
    <row r="664" spans="1:7">
      <c r="A664" t="s">
        <v>62</v>
      </c>
      <c r="B664">
        <v>1</v>
      </c>
      <c r="C664" s="55">
        <v>101101</v>
      </c>
      <c r="D664" t="s">
        <v>2756</v>
      </c>
      <c r="E664" t="s">
        <v>59</v>
      </c>
      <c r="F664"/>
      <c r="G664" s="130" t="str">
        <f t="shared" si="10"/>
        <v>電子二忠</v>
      </c>
    </row>
    <row r="665" spans="1:7">
      <c r="A665" t="s">
        <v>62</v>
      </c>
      <c r="B665">
        <v>2</v>
      </c>
      <c r="C665" s="55">
        <v>101102</v>
      </c>
      <c r="D665" t="s">
        <v>2775</v>
      </c>
      <c r="E665" t="s">
        <v>59</v>
      </c>
      <c r="F665"/>
      <c r="G665" s="130" t="str">
        <f t="shared" si="10"/>
        <v>電子二忠</v>
      </c>
    </row>
    <row r="666" spans="1:7">
      <c r="A666" t="s">
        <v>62</v>
      </c>
      <c r="B666">
        <v>3</v>
      </c>
      <c r="C666" s="55">
        <v>101103</v>
      </c>
      <c r="D666" t="s">
        <v>2794</v>
      </c>
      <c r="E666" t="s">
        <v>59</v>
      </c>
      <c r="F666"/>
      <c r="G666" s="130" t="str">
        <f t="shared" si="10"/>
        <v>電子二忠</v>
      </c>
    </row>
    <row r="667" spans="1:7">
      <c r="A667" t="s">
        <v>62</v>
      </c>
      <c r="B667">
        <v>4</v>
      </c>
      <c r="C667" s="55">
        <v>101104</v>
      </c>
      <c r="D667" t="s">
        <v>2812</v>
      </c>
      <c r="E667" t="s">
        <v>59</v>
      </c>
      <c r="F667"/>
      <c r="G667" s="130" t="str">
        <f t="shared" si="10"/>
        <v>電子二忠</v>
      </c>
    </row>
    <row r="668" spans="1:7">
      <c r="A668" t="s">
        <v>62</v>
      </c>
      <c r="B668">
        <v>5</v>
      </c>
      <c r="C668" s="55">
        <v>101105</v>
      </c>
      <c r="D668" t="s">
        <v>2832</v>
      </c>
      <c r="E668" t="s">
        <v>59</v>
      </c>
      <c r="F668"/>
      <c r="G668" s="130" t="str">
        <f t="shared" si="10"/>
        <v>電子二忠</v>
      </c>
    </row>
    <row r="669" spans="1:7">
      <c r="A669" t="s">
        <v>62</v>
      </c>
      <c r="B669">
        <v>6</v>
      </c>
      <c r="C669" s="55">
        <v>101106</v>
      </c>
      <c r="D669" t="s">
        <v>2850</v>
      </c>
      <c r="E669" t="s">
        <v>59</v>
      </c>
      <c r="F669"/>
      <c r="G669" s="130" t="str">
        <f t="shared" si="10"/>
        <v>電子二忠</v>
      </c>
    </row>
    <row r="670" spans="1:7">
      <c r="A670" t="s">
        <v>62</v>
      </c>
      <c r="B670">
        <v>7</v>
      </c>
      <c r="C670" s="55">
        <v>101107</v>
      </c>
      <c r="D670" t="s">
        <v>2869</v>
      </c>
      <c r="E670" t="s">
        <v>59</v>
      </c>
      <c r="F670"/>
      <c r="G670" s="130" t="str">
        <f t="shared" si="10"/>
        <v>電子二忠</v>
      </c>
    </row>
    <row r="671" spans="1:7">
      <c r="A671" t="s">
        <v>62</v>
      </c>
      <c r="B671">
        <v>8</v>
      </c>
      <c r="C671" s="55">
        <v>101108</v>
      </c>
      <c r="D671" t="s">
        <v>2889</v>
      </c>
      <c r="E671" t="s">
        <v>59</v>
      </c>
      <c r="F671"/>
      <c r="G671" s="130" t="str">
        <f t="shared" si="10"/>
        <v>電子二忠</v>
      </c>
    </row>
    <row r="672" spans="1:7">
      <c r="A672" t="s">
        <v>62</v>
      </c>
      <c r="B672">
        <v>9</v>
      </c>
      <c r="C672" s="55">
        <v>101109</v>
      </c>
      <c r="D672" t="s">
        <v>2908</v>
      </c>
      <c r="E672" t="s">
        <v>59</v>
      </c>
      <c r="F672"/>
      <c r="G672" s="130" t="str">
        <f t="shared" si="10"/>
        <v>電子二忠</v>
      </c>
    </row>
    <row r="673" spans="1:7">
      <c r="A673" t="s">
        <v>62</v>
      </c>
      <c r="B673">
        <v>10</v>
      </c>
      <c r="C673" s="55">
        <v>101110</v>
      </c>
      <c r="D673" t="s">
        <v>937</v>
      </c>
      <c r="E673" t="s">
        <v>59</v>
      </c>
      <c r="F673"/>
      <c r="G673" s="130" t="str">
        <f t="shared" si="10"/>
        <v>電子二忠</v>
      </c>
    </row>
    <row r="674" spans="1:7">
      <c r="A674" t="s">
        <v>62</v>
      </c>
      <c r="B674">
        <v>11</v>
      </c>
      <c r="C674" s="55">
        <v>101111</v>
      </c>
      <c r="D674" t="s">
        <v>2945</v>
      </c>
      <c r="E674" t="s">
        <v>59</v>
      </c>
      <c r="F674"/>
      <c r="G674" s="130" t="str">
        <f t="shared" si="10"/>
        <v>電子二忠</v>
      </c>
    </row>
    <row r="675" spans="1:7">
      <c r="A675" t="s">
        <v>62</v>
      </c>
      <c r="B675">
        <v>12</v>
      </c>
      <c r="C675" s="55">
        <v>101112</v>
      </c>
      <c r="D675" t="s">
        <v>2964</v>
      </c>
      <c r="E675" t="s">
        <v>59</v>
      </c>
      <c r="F675"/>
      <c r="G675" s="130" t="str">
        <f t="shared" si="10"/>
        <v>電子二忠</v>
      </c>
    </row>
    <row r="676" spans="1:7">
      <c r="A676" t="s">
        <v>62</v>
      </c>
      <c r="B676">
        <v>13</v>
      </c>
      <c r="C676" s="55">
        <v>101113</v>
      </c>
      <c r="D676" t="s">
        <v>2982</v>
      </c>
      <c r="E676" t="s">
        <v>59</v>
      </c>
      <c r="F676"/>
      <c r="G676" s="130" t="str">
        <f t="shared" si="10"/>
        <v>電子二忠</v>
      </c>
    </row>
    <row r="677" spans="1:7">
      <c r="A677" t="s">
        <v>62</v>
      </c>
      <c r="B677">
        <v>14</v>
      </c>
      <c r="C677" s="55">
        <v>101114</v>
      </c>
      <c r="D677" t="s">
        <v>3001</v>
      </c>
      <c r="E677" t="s">
        <v>59</v>
      </c>
      <c r="F677"/>
      <c r="G677" s="130" t="str">
        <f t="shared" si="10"/>
        <v>電子二忠</v>
      </c>
    </row>
    <row r="678" spans="1:7">
      <c r="A678" t="s">
        <v>62</v>
      </c>
      <c r="B678">
        <v>15</v>
      </c>
      <c r="C678" s="55">
        <v>101115</v>
      </c>
      <c r="D678" t="s">
        <v>3020</v>
      </c>
      <c r="E678" t="s">
        <v>59</v>
      </c>
      <c r="F678"/>
      <c r="G678" s="130" t="str">
        <f t="shared" si="10"/>
        <v>電子二忠</v>
      </c>
    </row>
    <row r="679" spans="1:7">
      <c r="A679" t="s">
        <v>62</v>
      </c>
      <c r="B679">
        <v>16</v>
      </c>
      <c r="C679" s="55">
        <v>101116</v>
      </c>
      <c r="D679" t="s">
        <v>3038</v>
      </c>
      <c r="E679" t="s">
        <v>59</v>
      </c>
      <c r="F679"/>
      <c r="G679" s="130" t="str">
        <f t="shared" si="10"/>
        <v>電子二忠</v>
      </c>
    </row>
    <row r="680" spans="1:7">
      <c r="A680" t="s">
        <v>62</v>
      </c>
      <c r="B680">
        <v>17</v>
      </c>
      <c r="C680" s="55">
        <v>101117</v>
      </c>
      <c r="D680" t="s">
        <v>3054</v>
      </c>
      <c r="E680" t="s">
        <v>59</v>
      </c>
      <c r="F680"/>
      <c r="G680" s="130" t="str">
        <f t="shared" si="10"/>
        <v>電子二忠</v>
      </c>
    </row>
    <row r="681" spans="1:7">
      <c r="A681" t="s">
        <v>62</v>
      </c>
      <c r="B681">
        <v>18</v>
      </c>
      <c r="C681" s="55">
        <v>101118</v>
      </c>
      <c r="D681" t="s">
        <v>3072</v>
      </c>
      <c r="E681" t="s">
        <v>60</v>
      </c>
      <c r="F681"/>
      <c r="G681" s="130" t="str">
        <f t="shared" si="10"/>
        <v>電子二忠</v>
      </c>
    </row>
    <row r="682" spans="1:7">
      <c r="A682" t="s">
        <v>62</v>
      </c>
      <c r="B682">
        <v>19</v>
      </c>
      <c r="C682" s="55">
        <v>101119</v>
      </c>
      <c r="D682" t="s">
        <v>3090</v>
      </c>
      <c r="E682" t="s">
        <v>59</v>
      </c>
      <c r="F682"/>
      <c r="G682" s="130" t="str">
        <f t="shared" si="10"/>
        <v>電子二忠</v>
      </c>
    </row>
    <row r="683" spans="1:7">
      <c r="A683" t="s">
        <v>62</v>
      </c>
      <c r="B683">
        <v>20</v>
      </c>
      <c r="C683" s="55">
        <v>101120</v>
      </c>
      <c r="D683" t="s">
        <v>3105</v>
      </c>
      <c r="E683" t="s">
        <v>59</v>
      </c>
      <c r="F683"/>
      <c r="G683" s="130" t="str">
        <f t="shared" si="10"/>
        <v>電子二忠</v>
      </c>
    </row>
    <row r="684" spans="1:7">
      <c r="A684" t="s">
        <v>62</v>
      </c>
      <c r="B684">
        <v>21</v>
      </c>
      <c r="C684" s="55">
        <v>101121</v>
      </c>
      <c r="D684" t="s">
        <v>3121</v>
      </c>
      <c r="E684" t="s">
        <v>59</v>
      </c>
      <c r="F684"/>
      <c r="G684" s="130" t="str">
        <f t="shared" si="10"/>
        <v>電子二忠</v>
      </c>
    </row>
    <row r="685" spans="1:7">
      <c r="A685" t="s">
        <v>62</v>
      </c>
      <c r="B685">
        <v>22</v>
      </c>
      <c r="C685" s="55">
        <v>101122</v>
      </c>
      <c r="D685" t="s">
        <v>3139</v>
      </c>
      <c r="E685" t="s">
        <v>59</v>
      </c>
      <c r="F685"/>
      <c r="G685" s="130" t="str">
        <f t="shared" si="10"/>
        <v>電子二忠</v>
      </c>
    </row>
    <row r="686" spans="1:7">
      <c r="A686" t="s">
        <v>62</v>
      </c>
      <c r="B686">
        <v>23</v>
      </c>
      <c r="C686" s="55">
        <v>101123</v>
      </c>
      <c r="D686" t="s">
        <v>3157</v>
      </c>
      <c r="E686" t="s">
        <v>59</v>
      </c>
      <c r="F686"/>
      <c r="G686" s="130" t="str">
        <f t="shared" si="10"/>
        <v>電子二忠</v>
      </c>
    </row>
    <row r="687" spans="1:7">
      <c r="A687" t="s">
        <v>62</v>
      </c>
      <c r="B687">
        <v>24</v>
      </c>
      <c r="C687" s="55">
        <v>101124</v>
      </c>
      <c r="D687" t="s">
        <v>3172</v>
      </c>
      <c r="E687" t="s">
        <v>59</v>
      </c>
      <c r="F687"/>
      <c r="G687" s="130" t="str">
        <f t="shared" si="10"/>
        <v>電子二忠</v>
      </c>
    </row>
    <row r="688" spans="1:7">
      <c r="A688" t="s">
        <v>62</v>
      </c>
      <c r="B688">
        <v>25</v>
      </c>
      <c r="C688" s="55">
        <v>101125</v>
      </c>
      <c r="D688" t="s">
        <v>3189</v>
      </c>
      <c r="E688" t="s">
        <v>59</v>
      </c>
      <c r="F688"/>
      <c r="G688" s="130" t="str">
        <f t="shared" si="10"/>
        <v>電子二忠</v>
      </c>
    </row>
    <row r="689" spans="1:7">
      <c r="A689" t="s">
        <v>62</v>
      </c>
      <c r="B689">
        <v>26</v>
      </c>
      <c r="C689" s="55">
        <v>101126</v>
      </c>
      <c r="D689" t="s">
        <v>3205</v>
      </c>
      <c r="E689" t="s">
        <v>60</v>
      </c>
      <c r="F689"/>
      <c r="G689" s="130" t="str">
        <f t="shared" si="10"/>
        <v>電子二忠</v>
      </c>
    </row>
    <row r="690" spans="1:7">
      <c r="A690" t="s">
        <v>62</v>
      </c>
      <c r="B690">
        <v>27</v>
      </c>
      <c r="C690" s="55">
        <v>101127</v>
      </c>
      <c r="D690" t="s">
        <v>3220</v>
      </c>
      <c r="E690" t="s">
        <v>60</v>
      </c>
      <c r="F690"/>
      <c r="G690" s="130" t="str">
        <f t="shared" si="10"/>
        <v>電子二忠</v>
      </c>
    </row>
    <row r="691" spans="1:7">
      <c r="A691" t="s">
        <v>62</v>
      </c>
      <c r="B691">
        <v>28</v>
      </c>
      <c r="C691" s="55">
        <v>101128</v>
      </c>
      <c r="D691" t="s">
        <v>3237</v>
      </c>
      <c r="E691" t="s">
        <v>59</v>
      </c>
      <c r="F691"/>
      <c r="G691" s="130" t="str">
        <f t="shared" si="10"/>
        <v>電子二忠</v>
      </c>
    </row>
    <row r="692" spans="1:7">
      <c r="A692" t="s">
        <v>62</v>
      </c>
      <c r="B692">
        <v>29</v>
      </c>
      <c r="C692" s="55">
        <v>101130</v>
      </c>
      <c r="D692" t="s">
        <v>3271</v>
      </c>
      <c r="E692" t="s">
        <v>59</v>
      </c>
      <c r="F692"/>
      <c r="G692" s="130" t="str">
        <f t="shared" si="10"/>
        <v>電子二忠</v>
      </c>
    </row>
    <row r="693" spans="1:7">
      <c r="A693" t="s">
        <v>62</v>
      </c>
      <c r="B693">
        <v>30</v>
      </c>
      <c r="C693" s="55">
        <v>101131</v>
      </c>
      <c r="D693" t="s">
        <v>3288</v>
      </c>
      <c r="E693" t="s">
        <v>59</v>
      </c>
      <c r="F693"/>
      <c r="G693" s="130" t="str">
        <f t="shared" si="10"/>
        <v>電子二忠</v>
      </c>
    </row>
    <row r="694" spans="1:7">
      <c r="A694" t="s">
        <v>62</v>
      </c>
      <c r="B694">
        <v>31</v>
      </c>
      <c r="C694" s="55">
        <v>101132</v>
      </c>
      <c r="D694" t="s">
        <v>3304</v>
      </c>
      <c r="E694" t="s">
        <v>59</v>
      </c>
      <c r="F694"/>
      <c r="G694" s="130" t="str">
        <f t="shared" si="10"/>
        <v>電子二忠</v>
      </c>
    </row>
    <row r="695" spans="1:7">
      <c r="A695" t="s">
        <v>62</v>
      </c>
      <c r="B695">
        <v>32</v>
      </c>
      <c r="C695" s="55">
        <v>101133</v>
      </c>
      <c r="D695" t="s">
        <v>3319</v>
      </c>
      <c r="E695" t="s">
        <v>60</v>
      </c>
      <c r="F695"/>
      <c r="G695" s="130" t="str">
        <f t="shared" si="10"/>
        <v>電子二忠</v>
      </c>
    </row>
    <row r="696" spans="1:7">
      <c r="A696" t="s">
        <v>62</v>
      </c>
      <c r="B696">
        <v>33</v>
      </c>
      <c r="C696" s="55">
        <v>101134</v>
      </c>
      <c r="D696" t="s">
        <v>3334</v>
      </c>
      <c r="E696" t="s">
        <v>59</v>
      </c>
      <c r="F696"/>
      <c r="G696" s="130" t="str">
        <f t="shared" si="10"/>
        <v>電子二忠</v>
      </c>
    </row>
    <row r="697" spans="1:7">
      <c r="A697" t="s">
        <v>63</v>
      </c>
      <c r="B697">
        <v>1</v>
      </c>
      <c r="C697" s="55">
        <v>101201</v>
      </c>
      <c r="D697" t="s">
        <v>2757</v>
      </c>
      <c r="E697" t="s">
        <v>59</v>
      </c>
      <c r="F697"/>
      <c r="G697" s="130" t="str">
        <f t="shared" si="10"/>
        <v>電子二孝</v>
      </c>
    </row>
    <row r="698" spans="1:7">
      <c r="A698" t="s">
        <v>63</v>
      </c>
      <c r="B698">
        <v>2</v>
      </c>
      <c r="C698" s="55">
        <v>101202</v>
      </c>
      <c r="D698" t="s">
        <v>2776</v>
      </c>
      <c r="E698" t="s">
        <v>59</v>
      </c>
      <c r="F698"/>
      <c r="G698" s="130" t="str">
        <f t="shared" si="10"/>
        <v>電子二孝</v>
      </c>
    </row>
    <row r="699" spans="1:7">
      <c r="A699" t="s">
        <v>63</v>
      </c>
      <c r="B699">
        <v>3</v>
      </c>
      <c r="C699" s="55">
        <v>101204</v>
      </c>
      <c r="D699" t="s">
        <v>2813</v>
      </c>
      <c r="E699" t="s">
        <v>59</v>
      </c>
      <c r="F699"/>
      <c r="G699" s="130" t="str">
        <f t="shared" si="10"/>
        <v>電子二孝</v>
      </c>
    </row>
    <row r="700" spans="1:7">
      <c r="A700" t="s">
        <v>63</v>
      </c>
      <c r="B700">
        <v>4</v>
      </c>
      <c r="C700" s="55">
        <v>101206</v>
      </c>
      <c r="D700" t="s">
        <v>2851</v>
      </c>
      <c r="E700" t="s">
        <v>59</v>
      </c>
      <c r="F700"/>
      <c r="G700" s="130" t="str">
        <f t="shared" si="10"/>
        <v>電子二孝</v>
      </c>
    </row>
    <row r="701" spans="1:7">
      <c r="A701" t="s">
        <v>63</v>
      </c>
      <c r="B701">
        <v>5</v>
      </c>
      <c r="C701" s="55">
        <v>101207</v>
      </c>
      <c r="D701" t="s">
        <v>2870</v>
      </c>
      <c r="E701" t="s">
        <v>59</v>
      </c>
      <c r="F701"/>
      <c r="G701" s="130" t="str">
        <f t="shared" si="10"/>
        <v>電子二孝</v>
      </c>
    </row>
    <row r="702" spans="1:7">
      <c r="A702" t="s">
        <v>63</v>
      </c>
      <c r="B702">
        <v>6</v>
      </c>
      <c r="C702" s="55">
        <v>101208</v>
      </c>
      <c r="D702" t="s">
        <v>2890</v>
      </c>
      <c r="E702" t="s">
        <v>59</v>
      </c>
      <c r="F702"/>
      <c r="G702" s="130" t="str">
        <f t="shared" si="10"/>
        <v>電子二孝</v>
      </c>
    </row>
    <row r="703" spans="1:7">
      <c r="A703" t="s">
        <v>63</v>
      </c>
      <c r="B703">
        <v>7</v>
      </c>
      <c r="C703" s="55">
        <v>101209</v>
      </c>
      <c r="D703" t="s">
        <v>2909</v>
      </c>
      <c r="E703" t="s">
        <v>59</v>
      </c>
      <c r="F703"/>
      <c r="G703" s="130" t="str">
        <f t="shared" si="10"/>
        <v>電子二孝</v>
      </c>
    </row>
    <row r="704" spans="1:7">
      <c r="A704" t="s">
        <v>63</v>
      </c>
      <c r="B704">
        <v>8</v>
      </c>
      <c r="C704" s="55">
        <v>101210</v>
      </c>
      <c r="D704" t="s">
        <v>2927</v>
      </c>
      <c r="E704" t="s">
        <v>59</v>
      </c>
      <c r="F704"/>
      <c r="G704" s="130" t="str">
        <f t="shared" si="10"/>
        <v>電子二孝</v>
      </c>
    </row>
    <row r="705" spans="1:7">
      <c r="A705" t="s">
        <v>63</v>
      </c>
      <c r="B705">
        <v>9</v>
      </c>
      <c r="C705" s="55">
        <v>101211</v>
      </c>
      <c r="D705" t="s">
        <v>2946</v>
      </c>
      <c r="E705" t="s">
        <v>59</v>
      </c>
      <c r="F705"/>
      <c r="G705" s="130" t="str">
        <f t="shared" si="10"/>
        <v>電子二孝</v>
      </c>
    </row>
    <row r="706" spans="1:7">
      <c r="A706" t="s">
        <v>63</v>
      </c>
      <c r="B706">
        <v>10</v>
      </c>
      <c r="C706" s="55">
        <v>101212</v>
      </c>
      <c r="D706" t="s">
        <v>2965</v>
      </c>
      <c r="E706" t="s">
        <v>59</v>
      </c>
      <c r="F706"/>
      <c r="G706" s="130" t="str">
        <f t="shared" si="10"/>
        <v>電子二孝</v>
      </c>
    </row>
    <row r="707" spans="1:7">
      <c r="A707" t="s">
        <v>63</v>
      </c>
      <c r="B707">
        <v>11</v>
      </c>
      <c r="C707" s="55">
        <v>101213</v>
      </c>
      <c r="D707" t="s">
        <v>2983</v>
      </c>
      <c r="E707" t="s">
        <v>59</v>
      </c>
      <c r="F707"/>
      <c r="G707" s="130" t="str">
        <f t="shared" ref="G707:G770" si="11">A707&amp;F707</f>
        <v>電子二孝</v>
      </c>
    </row>
    <row r="708" spans="1:7">
      <c r="A708" t="s">
        <v>63</v>
      </c>
      <c r="B708">
        <v>12</v>
      </c>
      <c r="C708" s="55">
        <v>101214</v>
      </c>
      <c r="D708" t="s">
        <v>3002</v>
      </c>
      <c r="E708" t="s">
        <v>60</v>
      </c>
      <c r="F708"/>
      <c r="G708" s="130" t="str">
        <f t="shared" si="11"/>
        <v>電子二孝</v>
      </c>
    </row>
    <row r="709" spans="1:7">
      <c r="A709" t="s">
        <v>63</v>
      </c>
      <c r="B709">
        <v>13</v>
      </c>
      <c r="C709" s="55">
        <v>101215</v>
      </c>
      <c r="D709" t="s">
        <v>3021</v>
      </c>
      <c r="E709" t="s">
        <v>59</v>
      </c>
      <c r="F709"/>
      <c r="G709" s="130" t="str">
        <f t="shared" si="11"/>
        <v>電子二孝</v>
      </c>
    </row>
    <row r="710" spans="1:7">
      <c r="A710" t="s">
        <v>63</v>
      </c>
      <c r="B710">
        <v>14</v>
      </c>
      <c r="C710" s="55">
        <v>101216</v>
      </c>
      <c r="D710" t="s">
        <v>3039</v>
      </c>
      <c r="E710" t="s">
        <v>59</v>
      </c>
      <c r="F710"/>
      <c r="G710" s="130" t="str">
        <f t="shared" si="11"/>
        <v>電子二孝</v>
      </c>
    </row>
    <row r="711" spans="1:7">
      <c r="A711" t="s">
        <v>63</v>
      </c>
      <c r="B711">
        <v>15</v>
      </c>
      <c r="C711" s="55">
        <v>101217</v>
      </c>
      <c r="D711" t="s">
        <v>3055</v>
      </c>
      <c r="E711" t="s">
        <v>60</v>
      </c>
      <c r="F711"/>
      <c r="G711" s="130" t="str">
        <f t="shared" si="11"/>
        <v>電子二孝</v>
      </c>
    </row>
    <row r="712" spans="1:7">
      <c r="A712" t="s">
        <v>63</v>
      </c>
      <c r="B712">
        <v>16</v>
      </c>
      <c r="C712" s="55">
        <v>101218</v>
      </c>
      <c r="D712" t="s">
        <v>3073</v>
      </c>
      <c r="E712" t="s">
        <v>59</v>
      </c>
      <c r="F712"/>
      <c r="G712" s="130" t="str">
        <f t="shared" si="11"/>
        <v>電子二孝</v>
      </c>
    </row>
    <row r="713" spans="1:7">
      <c r="A713" t="s">
        <v>63</v>
      </c>
      <c r="B713">
        <v>17</v>
      </c>
      <c r="C713" s="55">
        <v>101219</v>
      </c>
      <c r="D713" t="s">
        <v>3091</v>
      </c>
      <c r="E713" t="s">
        <v>59</v>
      </c>
      <c r="F713"/>
      <c r="G713" s="130" t="str">
        <f t="shared" si="11"/>
        <v>電子二孝</v>
      </c>
    </row>
    <row r="714" spans="1:7">
      <c r="A714" t="s">
        <v>63</v>
      </c>
      <c r="B714">
        <v>18</v>
      </c>
      <c r="C714" s="55">
        <v>101220</v>
      </c>
      <c r="D714" t="s">
        <v>3106</v>
      </c>
      <c r="E714" t="s">
        <v>59</v>
      </c>
      <c r="F714"/>
      <c r="G714" s="130" t="str">
        <f t="shared" si="11"/>
        <v>電子二孝</v>
      </c>
    </row>
    <row r="715" spans="1:7">
      <c r="A715" t="s">
        <v>63</v>
      </c>
      <c r="B715">
        <v>19</v>
      </c>
      <c r="C715" s="55">
        <v>101221</v>
      </c>
      <c r="D715" t="s">
        <v>3122</v>
      </c>
      <c r="E715" t="s">
        <v>59</v>
      </c>
      <c r="F715"/>
      <c r="G715" s="130" t="str">
        <f t="shared" si="11"/>
        <v>電子二孝</v>
      </c>
    </row>
    <row r="716" spans="1:7">
      <c r="A716" t="s">
        <v>63</v>
      </c>
      <c r="B716">
        <v>20</v>
      </c>
      <c r="C716" s="55">
        <v>101222</v>
      </c>
      <c r="D716" t="s">
        <v>3140</v>
      </c>
      <c r="E716" t="s">
        <v>59</v>
      </c>
      <c r="F716"/>
      <c r="G716" s="130" t="str">
        <f t="shared" si="11"/>
        <v>電子二孝</v>
      </c>
    </row>
    <row r="717" spans="1:7">
      <c r="A717" t="s">
        <v>63</v>
      </c>
      <c r="B717">
        <v>21</v>
      </c>
      <c r="C717" s="55">
        <v>101224</v>
      </c>
      <c r="D717" t="s">
        <v>3173</v>
      </c>
      <c r="E717" t="s">
        <v>59</v>
      </c>
      <c r="F717"/>
      <c r="G717" s="130" t="str">
        <f t="shared" si="11"/>
        <v>電子二孝</v>
      </c>
    </row>
    <row r="718" spans="1:7">
      <c r="A718" t="s">
        <v>63</v>
      </c>
      <c r="B718">
        <v>22</v>
      </c>
      <c r="C718" s="55">
        <v>101225</v>
      </c>
      <c r="D718" t="s">
        <v>3190</v>
      </c>
      <c r="E718" t="s">
        <v>59</v>
      </c>
      <c r="F718"/>
      <c r="G718" s="130" t="str">
        <f t="shared" si="11"/>
        <v>電子二孝</v>
      </c>
    </row>
    <row r="719" spans="1:7">
      <c r="A719" t="s">
        <v>63</v>
      </c>
      <c r="B719">
        <v>23</v>
      </c>
      <c r="C719" s="55">
        <v>101226</v>
      </c>
      <c r="D719" t="s">
        <v>3206</v>
      </c>
      <c r="E719" t="s">
        <v>59</v>
      </c>
      <c r="F719"/>
      <c r="G719" s="130" t="str">
        <f t="shared" si="11"/>
        <v>電子二孝</v>
      </c>
    </row>
    <row r="720" spans="1:7">
      <c r="A720" t="s">
        <v>63</v>
      </c>
      <c r="B720">
        <v>24</v>
      </c>
      <c r="C720" s="55">
        <v>101227</v>
      </c>
      <c r="D720" t="s">
        <v>3221</v>
      </c>
      <c r="E720" t="s">
        <v>60</v>
      </c>
      <c r="F720"/>
      <c r="G720" s="130" t="str">
        <f t="shared" si="11"/>
        <v>電子二孝</v>
      </c>
    </row>
    <row r="721" spans="1:7">
      <c r="A721" t="s">
        <v>63</v>
      </c>
      <c r="B721">
        <v>25</v>
      </c>
      <c r="C721" s="55">
        <v>101228</v>
      </c>
      <c r="D721" t="s">
        <v>3238</v>
      </c>
      <c r="E721" t="s">
        <v>59</v>
      </c>
      <c r="F721"/>
      <c r="G721" s="130" t="str">
        <f t="shared" si="11"/>
        <v>電子二孝</v>
      </c>
    </row>
    <row r="722" spans="1:7">
      <c r="A722" t="s">
        <v>63</v>
      </c>
      <c r="B722">
        <v>26</v>
      </c>
      <c r="C722" s="55">
        <v>101229</v>
      </c>
      <c r="D722" t="s">
        <v>3255</v>
      </c>
      <c r="E722" t="s">
        <v>59</v>
      </c>
      <c r="F722"/>
      <c r="G722" s="130" t="str">
        <f t="shared" si="11"/>
        <v>電子二孝</v>
      </c>
    </row>
    <row r="723" spans="1:7">
      <c r="A723" t="s">
        <v>63</v>
      </c>
      <c r="B723">
        <v>27</v>
      </c>
      <c r="C723" s="55">
        <v>101230</v>
      </c>
      <c r="D723" t="s">
        <v>3272</v>
      </c>
      <c r="E723" t="s">
        <v>59</v>
      </c>
      <c r="F723"/>
      <c r="G723" s="130" t="str">
        <f t="shared" si="11"/>
        <v>電子二孝</v>
      </c>
    </row>
    <row r="724" spans="1:7">
      <c r="A724" t="s">
        <v>63</v>
      </c>
      <c r="B724">
        <v>28</v>
      </c>
      <c r="C724" s="55">
        <v>101232</v>
      </c>
      <c r="D724" t="s">
        <v>3305</v>
      </c>
      <c r="E724" t="s">
        <v>59</v>
      </c>
      <c r="F724"/>
      <c r="G724" s="130" t="str">
        <f t="shared" si="11"/>
        <v>電子二孝</v>
      </c>
    </row>
    <row r="725" spans="1:7">
      <c r="A725" t="s">
        <v>63</v>
      </c>
      <c r="B725">
        <v>29</v>
      </c>
      <c r="C725" s="55">
        <v>101233</v>
      </c>
      <c r="D725" t="s">
        <v>3320</v>
      </c>
      <c r="E725" t="s">
        <v>59</v>
      </c>
      <c r="F725"/>
      <c r="G725" s="130" t="str">
        <f t="shared" si="11"/>
        <v>電子二孝</v>
      </c>
    </row>
    <row r="726" spans="1:7">
      <c r="A726" t="s">
        <v>63</v>
      </c>
      <c r="B726">
        <v>30</v>
      </c>
      <c r="C726" s="55">
        <v>101234</v>
      </c>
      <c r="D726" t="s">
        <v>2480</v>
      </c>
      <c r="E726" t="s">
        <v>59</v>
      </c>
      <c r="F726"/>
      <c r="G726" s="130" t="str">
        <f t="shared" si="11"/>
        <v>電子二孝</v>
      </c>
    </row>
    <row r="727" spans="1:7">
      <c r="A727" t="s">
        <v>63</v>
      </c>
      <c r="B727">
        <v>31</v>
      </c>
      <c r="C727" s="55" t="s">
        <v>2432</v>
      </c>
      <c r="D727" t="s">
        <v>2433</v>
      </c>
      <c r="E727" t="s">
        <v>59</v>
      </c>
      <c r="F727"/>
      <c r="G727" s="130" t="str">
        <f t="shared" si="11"/>
        <v>電子二孝</v>
      </c>
    </row>
    <row r="728" spans="1:7">
      <c r="A728" t="s">
        <v>64</v>
      </c>
      <c r="B728">
        <v>1</v>
      </c>
      <c r="C728" s="55">
        <v>101301</v>
      </c>
      <c r="D728" t="s">
        <v>2758</v>
      </c>
      <c r="E728" t="s">
        <v>59</v>
      </c>
      <c r="F728"/>
      <c r="G728" s="130" t="str">
        <f t="shared" si="11"/>
        <v>電子二仁</v>
      </c>
    </row>
    <row r="729" spans="1:7">
      <c r="A729" t="s">
        <v>64</v>
      </c>
      <c r="B729">
        <v>2</v>
      </c>
      <c r="C729" s="55">
        <v>101302</v>
      </c>
      <c r="D729" t="s">
        <v>2777</v>
      </c>
      <c r="E729" t="s">
        <v>59</v>
      </c>
      <c r="F729"/>
      <c r="G729" s="130" t="str">
        <f t="shared" si="11"/>
        <v>電子二仁</v>
      </c>
    </row>
    <row r="730" spans="1:7">
      <c r="A730" t="s">
        <v>64</v>
      </c>
      <c r="B730">
        <v>3</v>
      </c>
      <c r="C730" s="55">
        <v>101303</v>
      </c>
      <c r="D730" t="s">
        <v>2796</v>
      </c>
      <c r="E730" t="s">
        <v>59</v>
      </c>
      <c r="F730"/>
      <c r="G730" s="130" t="str">
        <f t="shared" si="11"/>
        <v>電子二仁</v>
      </c>
    </row>
    <row r="731" spans="1:7">
      <c r="A731" t="s">
        <v>64</v>
      </c>
      <c r="B731">
        <v>4</v>
      </c>
      <c r="C731" s="55">
        <v>101305</v>
      </c>
      <c r="D731" t="s">
        <v>2833</v>
      </c>
      <c r="E731" t="s">
        <v>59</v>
      </c>
      <c r="F731"/>
      <c r="G731" s="130" t="str">
        <f t="shared" si="11"/>
        <v>電子二仁</v>
      </c>
    </row>
    <row r="732" spans="1:7">
      <c r="A732" t="s">
        <v>64</v>
      </c>
      <c r="B732">
        <v>5</v>
      </c>
      <c r="C732" s="55">
        <v>101306</v>
      </c>
      <c r="D732" t="s">
        <v>2852</v>
      </c>
      <c r="E732" t="s">
        <v>60</v>
      </c>
      <c r="F732"/>
      <c r="G732" s="130" t="str">
        <f t="shared" si="11"/>
        <v>電子二仁</v>
      </c>
    </row>
    <row r="733" spans="1:7">
      <c r="A733" t="s">
        <v>64</v>
      </c>
      <c r="B733">
        <v>6</v>
      </c>
      <c r="C733" s="55">
        <v>101307</v>
      </c>
      <c r="D733" t="s">
        <v>2871</v>
      </c>
      <c r="E733" t="s">
        <v>59</v>
      </c>
      <c r="F733"/>
      <c r="G733" s="130" t="str">
        <f t="shared" si="11"/>
        <v>電子二仁</v>
      </c>
    </row>
    <row r="734" spans="1:7">
      <c r="A734" t="s">
        <v>64</v>
      </c>
      <c r="B734">
        <v>7</v>
      </c>
      <c r="C734" s="55">
        <v>101308</v>
      </c>
      <c r="D734" t="s">
        <v>2891</v>
      </c>
      <c r="E734" t="s">
        <v>59</v>
      </c>
      <c r="F734"/>
      <c r="G734" s="130" t="str">
        <f t="shared" si="11"/>
        <v>電子二仁</v>
      </c>
    </row>
    <row r="735" spans="1:7">
      <c r="A735" t="s">
        <v>64</v>
      </c>
      <c r="B735">
        <v>8</v>
      </c>
      <c r="C735" s="55">
        <v>101309</v>
      </c>
      <c r="D735" t="s">
        <v>2910</v>
      </c>
      <c r="E735" t="s">
        <v>59</v>
      </c>
      <c r="F735"/>
      <c r="G735" s="130" t="str">
        <f t="shared" si="11"/>
        <v>電子二仁</v>
      </c>
    </row>
    <row r="736" spans="1:7">
      <c r="A736" t="s">
        <v>64</v>
      </c>
      <c r="B736">
        <v>9</v>
      </c>
      <c r="C736" s="55">
        <v>101310</v>
      </c>
      <c r="D736" t="s">
        <v>2928</v>
      </c>
      <c r="E736" t="s">
        <v>59</v>
      </c>
      <c r="F736"/>
      <c r="G736" s="130" t="str">
        <f t="shared" si="11"/>
        <v>電子二仁</v>
      </c>
    </row>
    <row r="737" spans="1:7">
      <c r="A737" t="s">
        <v>64</v>
      </c>
      <c r="B737">
        <v>10</v>
      </c>
      <c r="C737" s="55">
        <v>101311</v>
      </c>
      <c r="D737" t="s">
        <v>2947</v>
      </c>
      <c r="E737" t="s">
        <v>59</v>
      </c>
      <c r="F737"/>
      <c r="G737" s="130" t="str">
        <f t="shared" si="11"/>
        <v>電子二仁</v>
      </c>
    </row>
    <row r="738" spans="1:7">
      <c r="A738" t="s">
        <v>64</v>
      </c>
      <c r="B738">
        <v>11</v>
      </c>
      <c r="C738" s="55">
        <v>101312</v>
      </c>
      <c r="D738" t="s">
        <v>2966</v>
      </c>
      <c r="E738" t="s">
        <v>59</v>
      </c>
      <c r="F738"/>
      <c r="G738" s="130" t="str">
        <f t="shared" si="11"/>
        <v>電子二仁</v>
      </c>
    </row>
    <row r="739" spans="1:7">
      <c r="A739" t="s">
        <v>64</v>
      </c>
      <c r="B739">
        <v>12</v>
      </c>
      <c r="C739" s="55">
        <v>101313</v>
      </c>
      <c r="D739" t="s">
        <v>2984</v>
      </c>
      <c r="E739" t="s">
        <v>60</v>
      </c>
      <c r="F739"/>
      <c r="G739" s="130" t="str">
        <f t="shared" si="11"/>
        <v>電子二仁</v>
      </c>
    </row>
    <row r="740" spans="1:7">
      <c r="A740" t="s">
        <v>64</v>
      </c>
      <c r="B740">
        <v>13</v>
      </c>
      <c r="C740" s="55">
        <v>101314</v>
      </c>
      <c r="D740" t="s">
        <v>3003</v>
      </c>
      <c r="E740" t="s">
        <v>60</v>
      </c>
      <c r="F740"/>
      <c r="G740" s="130" t="str">
        <f t="shared" si="11"/>
        <v>電子二仁</v>
      </c>
    </row>
    <row r="741" spans="1:7">
      <c r="A741" t="s">
        <v>64</v>
      </c>
      <c r="B741">
        <v>14</v>
      </c>
      <c r="C741" s="55">
        <v>101315</v>
      </c>
      <c r="D741" t="s">
        <v>3022</v>
      </c>
      <c r="E741" t="s">
        <v>59</v>
      </c>
      <c r="F741"/>
      <c r="G741" s="130" t="str">
        <f t="shared" si="11"/>
        <v>電子二仁</v>
      </c>
    </row>
    <row r="742" spans="1:7">
      <c r="A742" t="s">
        <v>64</v>
      </c>
      <c r="B742">
        <v>15</v>
      </c>
      <c r="C742" s="55">
        <v>101316</v>
      </c>
      <c r="D742" t="s">
        <v>594</v>
      </c>
      <c r="E742" t="s">
        <v>59</v>
      </c>
      <c r="F742"/>
      <c r="G742" s="130" t="str">
        <f t="shared" si="11"/>
        <v>電子二仁</v>
      </c>
    </row>
    <row r="743" spans="1:7">
      <c r="A743" t="s">
        <v>64</v>
      </c>
      <c r="B743">
        <v>16</v>
      </c>
      <c r="C743" s="55">
        <v>101317</v>
      </c>
      <c r="D743" t="s">
        <v>3056</v>
      </c>
      <c r="E743" t="s">
        <v>60</v>
      </c>
      <c r="F743"/>
      <c r="G743" s="130" t="str">
        <f t="shared" si="11"/>
        <v>電子二仁</v>
      </c>
    </row>
    <row r="744" spans="1:7">
      <c r="A744" t="s">
        <v>64</v>
      </c>
      <c r="B744">
        <v>17</v>
      </c>
      <c r="C744" s="55">
        <v>101318</v>
      </c>
      <c r="D744" t="s">
        <v>3074</v>
      </c>
      <c r="E744" t="s">
        <v>59</v>
      </c>
      <c r="F744"/>
      <c r="G744" s="130" t="str">
        <f t="shared" si="11"/>
        <v>電子二仁</v>
      </c>
    </row>
    <row r="745" spans="1:7">
      <c r="A745" t="s">
        <v>64</v>
      </c>
      <c r="B745">
        <v>18</v>
      </c>
      <c r="C745" s="55">
        <v>101319</v>
      </c>
      <c r="D745" t="s">
        <v>3092</v>
      </c>
      <c r="E745" t="s">
        <v>59</v>
      </c>
      <c r="F745"/>
      <c r="G745" s="130" t="str">
        <f t="shared" si="11"/>
        <v>電子二仁</v>
      </c>
    </row>
    <row r="746" spans="1:7">
      <c r="A746" t="s">
        <v>64</v>
      </c>
      <c r="B746">
        <v>19</v>
      </c>
      <c r="C746" s="55">
        <v>101320</v>
      </c>
      <c r="D746" t="s">
        <v>3107</v>
      </c>
      <c r="E746" t="s">
        <v>59</v>
      </c>
      <c r="F746"/>
      <c r="G746" s="130" t="str">
        <f t="shared" si="11"/>
        <v>電子二仁</v>
      </c>
    </row>
    <row r="747" spans="1:7">
      <c r="A747" t="s">
        <v>64</v>
      </c>
      <c r="B747">
        <v>20</v>
      </c>
      <c r="C747" s="55">
        <v>101321</v>
      </c>
      <c r="D747" t="s">
        <v>3123</v>
      </c>
      <c r="E747" t="s">
        <v>59</v>
      </c>
      <c r="F747"/>
      <c r="G747" s="130" t="str">
        <f t="shared" si="11"/>
        <v>電子二仁</v>
      </c>
    </row>
    <row r="748" spans="1:7">
      <c r="A748" t="s">
        <v>64</v>
      </c>
      <c r="B748">
        <v>21</v>
      </c>
      <c r="C748" s="55">
        <v>101322</v>
      </c>
      <c r="D748" t="s">
        <v>3141</v>
      </c>
      <c r="E748" t="s">
        <v>59</v>
      </c>
      <c r="F748"/>
      <c r="G748" s="130" t="str">
        <f t="shared" si="11"/>
        <v>電子二仁</v>
      </c>
    </row>
    <row r="749" spans="1:7">
      <c r="A749" t="s">
        <v>64</v>
      </c>
      <c r="B749">
        <v>22</v>
      </c>
      <c r="C749" s="55">
        <v>101323</v>
      </c>
      <c r="D749" t="s">
        <v>3101</v>
      </c>
      <c r="E749" t="s">
        <v>59</v>
      </c>
      <c r="F749"/>
      <c r="G749" s="130" t="str">
        <f t="shared" si="11"/>
        <v>電子二仁</v>
      </c>
    </row>
    <row r="750" spans="1:7">
      <c r="A750" t="s">
        <v>64</v>
      </c>
      <c r="B750">
        <v>23</v>
      </c>
      <c r="C750" s="55">
        <v>101324</v>
      </c>
      <c r="D750" t="s">
        <v>3174</v>
      </c>
      <c r="E750" t="s">
        <v>59</v>
      </c>
      <c r="F750"/>
      <c r="G750" s="130" t="str">
        <f t="shared" si="11"/>
        <v>電子二仁</v>
      </c>
    </row>
    <row r="751" spans="1:7">
      <c r="A751" t="s">
        <v>64</v>
      </c>
      <c r="B751">
        <v>24</v>
      </c>
      <c r="C751" s="55">
        <v>101325</v>
      </c>
      <c r="D751" t="s">
        <v>3191</v>
      </c>
      <c r="E751" t="s">
        <v>59</v>
      </c>
      <c r="F751"/>
      <c r="G751" s="130" t="str">
        <f t="shared" si="11"/>
        <v>電子二仁</v>
      </c>
    </row>
    <row r="752" spans="1:7">
      <c r="A752" t="s">
        <v>64</v>
      </c>
      <c r="B752">
        <v>25</v>
      </c>
      <c r="C752" s="55">
        <v>101326</v>
      </c>
      <c r="D752" t="s">
        <v>3207</v>
      </c>
      <c r="E752" t="s">
        <v>59</v>
      </c>
      <c r="F752"/>
      <c r="G752" s="130" t="str">
        <f t="shared" si="11"/>
        <v>電子二仁</v>
      </c>
    </row>
    <row r="753" spans="1:7">
      <c r="A753" t="s">
        <v>64</v>
      </c>
      <c r="B753">
        <v>26</v>
      </c>
      <c r="C753" s="55">
        <v>101327</v>
      </c>
      <c r="D753" t="s">
        <v>3222</v>
      </c>
      <c r="E753" t="s">
        <v>59</v>
      </c>
      <c r="F753"/>
      <c r="G753" s="130" t="str">
        <f t="shared" si="11"/>
        <v>電子二仁</v>
      </c>
    </row>
    <row r="754" spans="1:7">
      <c r="A754" t="s">
        <v>64</v>
      </c>
      <c r="B754">
        <v>27</v>
      </c>
      <c r="C754" s="55">
        <v>101328</v>
      </c>
      <c r="D754" t="s">
        <v>3239</v>
      </c>
      <c r="E754" t="s">
        <v>59</v>
      </c>
      <c r="F754"/>
      <c r="G754" s="130" t="str">
        <f t="shared" si="11"/>
        <v>電子二仁</v>
      </c>
    </row>
    <row r="755" spans="1:7">
      <c r="A755" t="s">
        <v>64</v>
      </c>
      <c r="B755">
        <v>28</v>
      </c>
      <c r="C755" s="55">
        <v>101329</v>
      </c>
      <c r="D755" t="s">
        <v>3256</v>
      </c>
      <c r="E755" t="s">
        <v>59</v>
      </c>
      <c r="F755"/>
      <c r="G755" s="130" t="str">
        <f t="shared" si="11"/>
        <v>電子二仁</v>
      </c>
    </row>
    <row r="756" spans="1:7">
      <c r="A756" t="s">
        <v>64</v>
      </c>
      <c r="B756">
        <v>29</v>
      </c>
      <c r="C756" s="55">
        <v>101330</v>
      </c>
      <c r="D756" t="s">
        <v>3273</v>
      </c>
      <c r="E756" t="s">
        <v>59</v>
      </c>
      <c r="F756"/>
      <c r="G756" s="130" t="str">
        <f t="shared" si="11"/>
        <v>電子二仁</v>
      </c>
    </row>
    <row r="757" spans="1:7">
      <c r="A757" t="s">
        <v>64</v>
      </c>
      <c r="B757">
        <v>30</v>
      </c>
      <c r="C757" s="55">
        <v>101331</v>
      </c>
      <c r="D757" t="s">
        <v>3290</v>
      </c>
      <c r="E757" t="s">
        <v>59</v>
      </c>
      <c r="F757"/>
      <c r="G757" s="130" t="str">
        <f t="shared" si="11"/>
        <v>電子二仁</v>
      </c>
    </row>
    <row r="758" spans="1:7">
      <c r="A758" t="s">
        <v>64</v>
      </c>
      <c r="B758">
        <v>31</v>
      </c>
      <c r="C758" s="55">
        <v>101332</v>
      </c>
      <c r="D758" t="s">
        <v>3306</v>
      </c>
      <c r="E758" t="s">
        <v>59</v>
      </c>
      <c r="F758"/>
      <c r="G758" s="130" t="str">
        <f t="shared" si="11"/>
        <v>電子二仁</v>
      </c>
    </row>
    <row r="759" spans="1:7">
      <c r="A759" t="s">
        <v>64</v>
      </c>
      <c r="B759">
        <v>32</v>
      </c>
      <c r="C759" s="55">
        <v>101333</v>
      </c>
      <c r="D759" t="s">
        <v>3321</v>
      </c>
      <c r="E759" t="s">
        <v>59</v>
      </c>
      <c r="F759"/>
      <c r="G759" s="130" t="str">
        <f t="shared" si="11"/>
        <v>電子二仁</v>
      </c>
    </row>
    <row r="760" spans="1:7">
      <c r="A760" t="s">
        <v>64</v>
      </c>
      <c r="B760">
        <v>33</v>
      </c>
      <c r="C760" s="55">
        <v>101334</v>
      </c>
      <c r="D760" t="s">
        <v>3335</v>
      </c>
      <c r="E760" t="s">
        <v>59</v>
      </c>
      <c r="F760"/>
      <c r="G760" s="130" t="str">
        <f t="shared" si="11"/>
        <v>電子二仁</v>
      </c>
    </row>
    <row r="761" spans="1:7">
      <c r="A761" t="s">
        <v>68</v>
      </c>
      <c r="B761">
        <v>1</v>
      </c>
      <c r="C761" s="55">
        <v>101401</v>
      </c>
      <c r="D761" t="s">
        <v>2759</v>
      </c>
      <c r="E761" t="s">
        <v>59</v>
      </c>
      <c r="F761"/>
      <c r="G761" s="130" t="str">
        <f t="shared" si="11"/>
        <v>電子二愛</v>
      </c>
    </row>
    <row r="762" spans="1:7">
      <c r="A762" t="s">
        <v>68</v>
      </c>
      <c r="B762">
        <v>2</v>
      </c>
      <c r="C762" s="55">
        <v>101402</v>
      </c>
      <c r="D762" t="s">
        <v>2778</v>
      </c>
      <c r="E762" t="s">
        <v>59</v>
      </c>
      <c r="F762"/>
      <c r="G762" s="130" t="str">
        <f t="shared" si="11"/>
        <v>電子二愛</v>
      </c>
    </row>
    <row r="763" spans="1:7">
      <c r="A763" t="s">
        <v>68</v>
      </c>
      <c r="B763">
        <v>3</v>
      </c>
      <c r="C763" s="55">
        <v>101403</v>
      </c>
      <c r="D763" t="s">
        <v>2797</v>
      </c>
      <c r="E763" t="s">
        <v>60</v>
      </c>
      <c r="F763"/>
      <c r="G763" s="130" t="str">
        <f t="shared" si="11"/>
        <v>電子二愛</v>
      </c>
    </row>
    <row r="764" spans="1:7">
      <c r="A764" t="s">
        <v>68</v>
      </c>
      <c r="B764">
        <v>4</v>
      </c>
      <c r="C764" s="55">
        <v>101404</v>
      </c>
      <c r="D764" t="s">
        <v>2815</v>
      </c>
      <c r="E764" t="s">
        <v>59</v>
      </c>
      <c r="F764"/>
      <c r="G764" s="130" t="str">
        <f t="shared" si="11"/>
        <v>電子二愛</v>
      </c>
    </row>
    <row r="765" spans="1:7">
      <c r="A765" t="s">
        <v>68</v>
      </c>
      <c r="B765">
        <v>5</v>
      </c>
      <c r="C765" s="55">
        <v>101405</v>
      </c>
      <c r="D765" t="s">
        <v>2834</v>
      </c>
      <c r="E765" t="s">
        <v>60</v>
      </c>
      <c r="F765"/>
      <c r="G765" s="130" t="str">
        <f t="shared" si="11"/>
        <v>電子二愛</v>
      </c>
    </row>
    <row r="766" spans="1:7">
      <c r="A766" t="s">
        <v>68</v>
      </c>
      <c r="B766">
        <v>6</v>
      </c>
      <c r="C766" s="55">
        <v>101406</v>
      </c>
      <c r="D766" t="s">
        <v>2853</v>
      </c>
      <c r="E766" t="s">
        <v>59</v>
      </c>
      <c r="F766"/>
      <c r="G766" s="130" t="str">
        <f t="shared" si="11"/>
        <v>電子二愛</v>
      </c>
    </row>
    <row r="767" spans="1:7">
      <c r="A767" t="s">
        <v>68</v>
      </c>
      <c r="B767">
        <v>7</v>
      </c>
      <c r="C767" s="55">
        <v>101407</v>
      </c>
      <c r="D767" t="s">
        <v>2872</v>
      </c>
      <c r="E767" t="s">
        <v>59</v>
      </c>
      <c r="F767"/>
      <c r="G767" s="130" t="str">
        <f t="shared" si="11"/>
        <v>電子二愛</v>
      </c>
    </row>
    <row r="768" spans="1:7">
      <c r="A768" t="s">
        <v>68</v>
      </c>
      <c r="B768">
        <v>8</v>
      </c>
      <c r="C768" s="55">
        <v>101408</v>
      </c>
      <c r="D768" t="s">
        <v>2892</v>
      </c>
      <c r="E768" t="s">
        <v>59</v>
      </c>
      <c r="F768"/>
      <c r="G768" s="130" t="str">
        <f t="shared" si="11"/>
        <v>電子二愛</v>
      </c>
    </row>
    <row r="769" spans="1:7">
      <c r="A769" t="s">
        <v>68</v>
      </c>
      <c r="B769">
        <v>9</v>
      </c>
      <c r="C769" s="55">
        <v>101409</v>
      </c>
      <c r="D769" t="s">
        <v>2911</v>
      </c>
      <c r="E769" t="s">
        <v>59</v>
      </c>
      <c r="F769"/>
      <c r="G769" s="130" t="str">
        <f t="shared" si="11"/>
        <v>電子二愛</v>
      </c>
    </row>
    <row r="770" spans="1:7">
      <c r="A770" t="s">
        <v>68</v>
      </c>
      <c r="B770">
        <v>10</v>
      </c>
      <c r="C770" s="55">
        <v>101410</v>
      </c>
      <c r="D770" t="s">
        <v>2929</v>
      </c>
      <c r="E770" t="s">
        <v>59</v>
      </c>
      <c r="F770"/>
      <c r="G770" s="130" t="str">
        <f t="shared" si="11"/>
        <v>電子二愛</v>
      </c>
    </row>
    <row r="771" spans="1:7">
      <c r="A771" t="s">
        <v>68</v>
      </c>
      <c r="B771">
        <v>11</v>
      </c>
      <c r="C771" s="55">
        <v>101411</v>
      </c>
      <c r="D771" t="s">
        <v>2948</v>
      </c>
      <c r="E771" t="s">
        <v>59</v>
      </c>
      <c r="F771"/>
      <c r="G771" s="130" t="str">
        <f t="shared" ref="G771:G834" si="12">A771&amp;F771</f>
        <v>電子二愛</v>
      </c>
    </row>
    <row r="772" spans="1:7">
      <c r="A772" t="s">
        <v>68</v>
      </c>
      <c r="B772">
        <v>12</v>
      </c>
      <c r="C772" s="55">
        <v>101413</v>
      </c>
      <c r="D772" t="s">
        <v>2985</v>
      </c>
      <c r="E772" t="s">
        <v>59</v>
      </c>
      <c r="F772"/>
      <c r="G772" s="130" t="str">
        <f t="shared" si="12"/>
        <v>電子二愛</v>
      </c>
    </row>
    <row r="773" spans="1:7">
      <c r="A773" t="s">
        <v>68</v>
      </c>
      <c r="B773">
        <v>13</v>
      </c>
      <c r="C773" s="55">
        <v>101414</v>
      </c>
      <c r="D773" t="s">
        <v>3004</v>
      </c>
      <c r="E773" t="s">
        <v>59</v>
      </c>
      <c r="F773"/>
      <c r="G773" s="130" t="str">
        <f t="shared" si="12"/>
        <v>電子二愛</v>
      </c>
    </row>
    <row r="774" spans="1:7">
      <c r="A774" t="s">
        <v>68</v>
      </c>
      <c r="B774">
        <v>14</v>
      </c>
      <c r="C774" s="55">
        <v>101415</v>
      </c>
      <c r="D774" t="s">
        <v>3023</v>
      </c>
      <c r="E774" t="s">
        <v>59</v>
      </c>
      <c r="F774"/>
      <c r="G774" s="130" t="str">
        <f t="shared" si="12"/>
        <v>電子二愛</v>
      </c>
    </row>
    <row r="775" spans="1:7">
      <c r="A775" t="s">
        <v>68</v>
      </c>
      <c r="B775">
        <v>15</v>
      </c>
      <c r="C775" s="55">
        <v>101416</v>
      </c>
      <c r="D775" t="s">
        <v>3040</v>
      </c>
      <c r="E775" t="s">
        <v>59</v>
      </c>
      <c r="F775"/>
      <c r="G775" s="130" t="str">
        <f t="shared" si="12"/>
        <v>電子二愛</v>
      </c>
    </row>
    <row r="776" spans="1:7">
      <c r="A776" t="s">
        <v>68</v>
      </c>
      <c r="B776">
        <v>16</v>
      </c>
      <c r="C776" s="55">
        <v>101417</v>
      </c>
      <c r="D776" t="s">
        <v>3057</v>
      </c>
      <c r="E776" t="s">
        <v>59</v>
      </c>
      <c r="F776"/>
      <c r="G776" s="130" t="str">
        <f t="shared" si="12"/>
        <v>電子二愛</v>
      </c>
    </row>
    <row r="777" spans="1:7">
      <c r="A777" t="s">
        <v>68</v>
      </c>
      <c r="B777">
        <v>17</v>
      </c>
      <c r="C777" s="55">
        <v>101418</v>
      </c>
      <c r="D777" t="s">
        <v>3075</v>
      </c>
      <c r="E777" t="s">
        <v>59</v>
      </c>
      <c r="F777"/>
      <c r="G777" s="130" t="str">
        <f t="shared" si="12"/>
        <v>電子二愛</v>
      </c>
    </row>
    <row r="778" spans="1:7">
      <c r="A778" t="s">
        <v>68</v>
      </c>
      <c r="B778">
        <v>18</v>
      </c>
      <c r="C778" s="55">
        <v>101420</v>
      </c>
      <c r="D778" t="s">
        <v>3108</v>
      </c>
      <c r="E778" t="s">
        <v>59</v>
      </c>
      <c r="F778"/>
      <c r="G778" s="130" t="str">
        <f t="shared" si="12"/>
        <v>電子二愛</v>
      </c>
    </row>
    <row r="779" spans="1:7">
      <c r="A779" t="s">
        <v>68</v>
      </c>
      <c r="B779">
        <v>19</v>
      </c>
      <c r="C779" s="55">
        <v>101421</v>
      </c>
      <c r="D779" t="s">
        <v>3124</v>
      </c>
      <c r="E779" t="s">
        <v>60</v>
      </c>
      <c r="F779"/>
      <c r="G779" s="130" t="str">
        <f t="shared" si="12"/>
        <v>電子二愛</v>
      </c>
    </row>
    <row r="780" spans="1:7">
      <c r="A780" t="s">
        <v>68</v>
      </c>
      <c r="B780">
        <v>20</v>
      </c>
      <c r="C780" s="55">
        <v>101422</v>
      </c>
      <c r="D780" t="s">
        <v>3142</v>
      </c>
      <c r="E780" t="s">
        <v>59</v>
      </c>
      <c r="F780"/>
      <c r="G780" s="130" t="str">
        <f t="shared" si="12"/>
        <v>電子二愛</v>
      </c>
    </row>
    <row r="781" spans="1:7">
      <c r="A781" t="s">
        <v>68</v>
      </c>
      <c r="B781">
        <v>21</v>
      </c>
      <c r="C781" s="55">
        <v>101423</v>
      </c>
      <c r="D781" t="s">
        <v>3159</v>
      </c>
      <c r="E781" t="s">
        <v>59</v>
      </c>
      <c r="F781"/>
      <c r="G781" s="130" t="str">
        <f t="shared" si="12"/>
        <v>電子二愛</v>
      </c>
    </row>
    <row r="782" spans="1:7">
      <c r="A782" t="s">
        <v>68</v>
      </c>
      <c r="B782">
        <v>22</v>
      </c>
      <c r="C782" s="55">
        <v>101424</v>
      </c>
      <c r="D782" t="s">
        <v>3175</v>
      </c>
      <c r="E782" t="s">
        <v>59</v>
      </c>
      <c r="F782"/>
      <c r="G782" s="130" t="str">
        <f t="shared" si="12"/>
        <v>電子二愛</v>
      </c>
    </row>
    <row r="783" spans="1:7">
      <c r="A783" t="s">
        <v>68</v>
      </c>
      <c r="B783">
        <v>23</v>
      </c>
      <c r="C783" s="55">
        <v>101426</v>
      </c>
      <c r="D783" t="s">
        <v>3208</v>
      </c>
      <c r="E783" t="s">
        <v>59</v>
      </c>
      <c r="F783"/>
      <c r="G783" s="130" t="str">
        <f t="shared" si="12"/>
        <v>電子二愛</v>
      </c>
    </row>
    <row r="784" spans="1:7">
      <c r="A784" t="s">
        <v>68</v>
      </c>
      <c r="B784">
        <v>24</v>
      </c>
      <c r="C784" s="55">
        <v>101427</v>
      </c>
      <c r="D784" t="s">
        <v>3223</v>
      </c>
      <c r="E784" t="s">
        <v>59</v>
      </c>
      <c r="F784"/>
      <c r="G784" s="130" t="str">
        <f t="shared" si="12"/>
        <v>電子二愛</v>
      </c>
    </row>
    <row r="785" spans="1:7">
      <c r="A785" t="s">
        <v>68</v>
      </c>
      <c r="B785">
        <v>25</v>
      </c>
      <c r="C785" s="55">
        <v>101428</v>
      </c>
      <c r="D785" t="s">
        <v>3240</v>
      </c>
      <c r="E785" t="s">
        <v>60</v>
      </c>
      <c r="F785"/>
      <c r="G785" s="130" t="str">
        <f t="shared" si="12"/>
        <v>電子二愛</v>
      </c>
    </row>
    <row r="786" spans="1:7">
      <c r="A786" t="s">
        <v>68</v>
      </c>
      <c r="B786">
        <v>26</v>
      </c>
      <c r="C786" s="55">
        <v>101429</v>
      </c>
      <c r="D786" t="s">
        <v>3257</v>
      </c>
      <c r="E786" t="s">
        <v>59</v>
      </c>
      <c r="F786"/>
      <c r="G786" s="130" t="str">
        <f t="shared" si="12"/>
        <v>電子二愛</v>
      </c>
    </row>
    <row r="787" spans="1:7">
      <c r="A787" t="s">
        <v>68</v>
      </c>
      <c r="B787">
        <v>27</v>
      </c>
      <c r="C787" s="55">
        <v>101430</v>
      </c>
      <c r="D787" t="s">
        <v>3274</v>
      </c>
      <c r="E787" t="s">
        <v>59</v>
      </c>
      <c r="F787"/>
      <c r="G787" s="130" t="str">
        <f t="shared" si="12"/>
        <v>電子二愛</v>
      </c>
    </row>
    <row r="788" spans="1:7">
      <c r="A788" t="s">
        <v>68</v>
      </c>
      <c r="B788">
        <v>28</v>
      </c>
      <c r="C788" s="55">
        <v>101431</v>
      </c>
      <c r="D788" t="s">
        <v>3291</v>
      </c>
      <c r="E788" t="s">
        <v>59</v>
      </c>
      <c r="F788"/>
      <c r="G788" s="130" t="str">
        <f t="shared" si="12"/>
        <v>電子二愛</v>
      </c>
    </row>
    <row r="789" spans="1:7">
      <c r="A789" t="s">
        <v>68</v>
      </c>
      <c r="B789">
        <v>29</v>
      </c>
      <c r="C789" s="55">
        <v>101432</v>
      </c>
      <c r="D789" t="s">
        <v>3307</v>
      </c>
      <c r="E789" t="s">
        <v>59</v>
      </c>
      <c r="F789"/>
      <c r="G789" s="130" t="str">
        <f t="shared" si="12"/>
        <v>電子二愛</v>
      </c>
    </row>
    <row r="790" spans="1:7">
      <c r="A790" t="s">
        <v>68</v>
      </c>
      <c r="B790">
        <v>30</v>
      </c>
      <c r="C790" s="55">
        <v>101433</v>
      </c>
      <c r="D790" t="s">
        <v>3322</v>
      </c>
      <c r="E790" t="s">
        <v>60</v>
      </c>
      <c r="F790"/>
      <c r="G790" s="130" t="str">
        <f t="shared" si="12"/>
        <v>電子二愛</v>
      </c>
    </row>
    <row r="791" spans="1:7">
      <c r="A791" t="s">
        <v>68</v>
      </c>
      <c r="B791">
        <v>31</v>
      </c>
      <c r="C791" s="55" t="s">
        <v>936</v>
      </c>
      <c r="D791" t="s">
        <v>1069</v>
      </c>
      <c r="E791" t="s">
        <v>59</v>
      </c>
      <c r="F791"/>
      <c r="G791" s="130" t="str">
        <f t="shared" si="12"/>
        <v>電子二愛</v>
      </c>
    </row>
    <row r="792" spans="1:7">
      <c r="A792" t="s">
        <v>69</v>
      </c>
      <c r="B792">
        <v>1</v>
      </c>
      <c r="C792" s="55">
        <v>102101</v>
      </c>
      <c r="D792" t="s">
        <v>2760</v>
      </c>
      <c r="E792" t="s">
        <v>59</v>
      </c>
      <c r="F792"/>
      <c r="G792" s="130" t="str">
        <f t="shared" si="12"/>
        <v>電機二忠</v>
      </c>
    </row>
    <row r="793" spans="1:7">
      <c r="A793" t="s">
        <v>69</v>
      </c>
      <c r="B793">
        <v>2</v>
      </c>
      <c r="C793" s="55">
        <v>102102</v>
      </c>
      <c r="D793" t="s">
        <v>2779</v>
      </c>
      <c r="E793" t="s">
        <v>59</v>
      </c>
      <c r="F793"/>
      <c r="G793" s="130" t="str">
        <f t="shared" si="12"/>
        <v>電機二忠</v>
      </c>
    </row>
    <row r="794" spans="1:7">
      <c r="A794" t="s">
        <v>69</v>
      </c>
      <c r="B794">
        <v>3</v>
      </c>
      <c r="C794" s="55">
        <v>102103</v>
      </c>
      <c r="D794" t="s">
        <v>2798</v>
      </c>
      <c r="E794" t="s">
        <v>59</v>
      </c>
      <c r="F794"/>
      <c r="G794" s="130" t="str">
        <f t="shared" si="12"/>
        <v>電機二忠</v>
      </c>
    </row>
    <row r="795" spans="1:7">
      <c r="A795" t="s">
        <v>69</v>
      </c>
      <c r="B795">
        <v>4</v>
      </c>
      <c r="C795" s="55">
        <v>102104</v>
      </c>
      <c r="D795" t="s">
        <v>2816</v>
      </c>
      <c r="E795" t="s">
        <v>59</v>
      </c>
      <c r="F795"/>
      <c r="G795" s="130" t="str">
        <f t="shared" si="12"/>
        <v>電機二忠</v>
      </c>
    </row>
    <row r="796" spans="1:7">
      <c r="A796" t="s">
        <v>69</v>
      </c>
      <c r="B796">
        <v>5</v>
      </c>
      <c r="C796" s="55">
        <v>102105</v>
      </c>
      <c r="D796" t="s">
        <v>554</v>
      </c>
      <c r="E796" t="s">
        <v>59</v>
      </c>
      <c r="F796"/>
      <c r="G796" s="130" t="str">
        <f t="shared" si="12"/>
        <v>電機二忠</v>
      </c>
    </row>
    <row r="797" spans="1:7">
      <c r="A797" t="s">
        <v>69</v>
      </c>
      <c r="B797">
        <v>6</v>
      </c>
      <c r="C797" s="55">
        <v>102106</v>
      </c>
      <c r="D797" t="s">
        <v>2854</v>
      </c>
      <c r="E797" t="s">
        <v>59</v>
      </c>
      <c r="F797"/>
      <c r="G797" s="130" t="str">
        <f t="shared" si="12"/>
        <v>電機二忠</v>
      </c>
    </row>
    <row r="798" spans="1:7">
      <c r="A798" t="s">
        <v>69</v>
      </c>
      <c r="B798">
        <v>7</v>
      </c>
      <c r="C798" s="55">
        <v>102107</v>
      </c>
      <c r="D798" t="s">
        <v>2873</v>
      </c>
      <c r="E798" t="s">
        <v>60</v>
      </c>
      <c r="F798"/>
      <c r="G798" s="130" t="str">
        <f t="shared" si="12"/>
        <v>電機二忠</v>
      </c>
    </row>
    <row r="799" spans="1:7">
      <c r="A799" t="s">
        <v>69</v>
      </c>
      <c r="B799">
        <v>8</v>
      </c>
      <c r="C799" s="55">
        <v>102108</v>
      </c>
      <c r="D799" t="s">
        <v>2893</v>
      </c>
      <c r="E799" t="s">
        <v>60</v>
      </c>
      <c r="F799"/>
      <c r="G799" s="130" t="str">
        <f t="shared" si="12"/>
        <v>電機二忠</v>
      </c>
    </row>
    <row r="800" spans="1:7">
      <c r="A800" t="s">
        <v>69</v>
      </c>
      <c r="B800">
        <v>9</v>
      </c>
      <c r="C800" s="55">
        <v>102110</v>
      </c>
      <c r="D800" t="s">
        <v>2949</v>
      </c>
      <c r="E800" t="s">
        <v>59</v>
      </c>
      <c r="F800"/>
      <c r="G800" s="130" t="str">
        <f t="shared" si="12"/>
        <v>電機二忠</v>
      </c>
    </row>
    <row r="801" spans="1:7">
      <c r="A801" t="s">
        <v>69</v>
      </c>
      <c r="B801">
        <v>10</v>
      </c>
      <c r="C801" s="55">
        <v>102112</v>
      </c>
      <c r="D801" t="s">
        <v>2986</v>
      </c>
      <c r="E801" t="s">
        <v>60</v>
      </c>
      <c r="F801"/>
      <c r="G801" s="130" t="str">
        <f t="shared" si="12"/>
        <v>電機二忠</v>
      </c>
    </row>
    <row r="802" spans="1:7">
      <c r="A802" t="s">
        <v>69</v>
      </c>
      <c r="B802">
        <v>11</v>
      </c>
      <c r="C802" s="55">
        <v>102113</v>
      </c>
      <c r="D802" t="s">
        <v>3005</v>
      </c>
      <c r="E802" t="s">
        <v>59</v>
      </c>
      <c r="F802"/>
      <c r="G802" s="130" t="str">
        <f t="shared" si="12"/>
        <v>電機二忠</v>
      </c>
    </row>
    <row r="803" spans="1:7">
      <c r="A803" t="s">
        <v>69</v>
      </c>
      <c r="B803">
        <v>12</v>
      </c>
      <c r="C803" s="55">
        <v>102114</v>
      </c>
      <c r="D803" t="s">
        <v>3024</v>
      </c>
      <c r="E803" t="s">
        <v>59</v>
      </c>
      <c r="F803"/>
      <c r="G803" s="130" t="str">
        <f t="shared" si="12"/>
        <v>電機二忠</v>
      </c>
    </row>
    <row r="804" spans="1:7">
      <c r="A804" t="s">
        <v>69</v>
      </c>
      <c r="B804">
        <v>13</v>
      </c>
      <c r="C804" s="55">
        <v>102115</v>
      </c>
      <c r="D804" t="s">
        <v>3041</v>
      </c>
      <c r="E804" t="s">
        <v>59</v>
      </c>
      <c r="F804"/>
      <c r="G804" s="130" t="str">
        <f t="shared" si="12"/>
        <v>電機二忠</v>
      </c>
    </row>
    <row r="805" spans="1:7">
      <c r="A805" t="s">
        <v>69</v>
      </c>
      <c r="B805">
        <v>14</v>
      </c>
      <c r="C805" s="55">
        <v>102116</v>
      </c>
      <c r="D805" t="s">
        <v>3058</v>
      </c>
      <c r="E805" t="s">
        <v>59</v>
      </c>
      <c r="F805"/>
      <c r="G805" s="130" t="str">
        <f t="shared" si="12"/>
        <v>電機二忠</v>
      </c>
    </row>
    <row r="806" spans="1:7">
      <c r="A806" t="s">
        <v>69</v>
      </c>
      <c r="B806">
        <v>15</v>
      </c>
      <c r="C806" s="55">
        <v>102117</v>
      </c>
      <c r="D806" t="s">
        <v>3076</v>
      </c>
      <c r="E806" t="s">
        <v>59</v>
      </c>
      <c r="F806"/>
      <c r="G806" s="130" t="str">
        <f t="shared" si="12"/>
        <v>電機二忠</v>
      </c>
    </row>
    <row r="807" spans="1:7">
      <c r="A807" t="s">
        <v>69</v>
      </c>
      <c r="B807">
        <v>16</v>
      </c>
      <c r="C807" s="55">
        <v>102118</v>
      </c>
      <c r="D807" t="s">
        <v>3094</v>
      </c>
      <c r="E807" t="s">
        <v>59</v>
      </c>
      <c r="F807"/>
      <c r="G807" s="130" t="str">
        <f t="shared" si="12"/>
        <v>電機二忠</v>
      </c>
    </row>
    <row r="808" spans="1:7">
      <c r="A808" t="s">
        <v>69</v>
      </c>
      <c r="B808">
        <v>17</v>
      </c>
      <c r="C808" s="55">
        <v>102119</v>
      </c>
      <c r="D808" t="s">
        <v>3109</v>
      </c>
      <c r="E808" t="s">
        <v>59</v>
      </c>
      <c r="F808"/>
      <c r="G808" s="130" t="str">
        <f t="shared" si="12"/>
        <v>電機二忠</v>
      </c>
    </row>
    <row r="809" spans="1:7">
      <c r="A809" t="s">
        <v>69</v>
      </c>
      <c r="B809">
        <v>18</v>
      </c>
      <c r="C809" s="55">
        <v>102121</v>
      </c>
      <c r="D809" t="s">
        <v>3143</v>
      </c>
      <c r="E809" t="s">
        <v>59</v>
      </c>
      <c r="F809"/>
      <c r="G809" s="130" t="str">
        <f t="shared" si="12"/>
        <v>電機二忠</v>
      </c>
    </row>
    <row r="810" spans="1:7">
      <c r="A810" t="s">
        <v>69</v>
      </c>
      <c r="B810">
        <v>19</v>
      </c>
      <c r="C810" s="55">
        <v>102122</v>
      </c>
      <c r="D810" t="s">
        <v>3160</v>
      </c>
      <c r="E810" t="s">
        <v>59</v>
      </c>
      <c r="F810"/>
      <c r="G810" s="130" t="str">
        <f t="shared" si="12"/>
        <v>電機二忠</v>
      </c>
    </row>
    <row r="811" spans="1:7">
      <c r="A811" t="s">
        <v>69</v>
      </c>
      <c r="B811">
        <v>20</v>
      </c>
      <c r="C811" s="55">
        <v>102123</v>
      </c>
      <c r="D811" t="s">
        <v>3176</v>
      </c>
      <c r="E811" t="s">
        <v>60</v>
      </c>
      <c r="F811"/>
      <c r="G811" s="130" t="str">
        <f t="shared" si="12"/>
        <v>電機二忠</v>
      </c>
    </row>
    <row r="812" spans="1:7">
      <c r="A812" t="s">
        <v>69</v>
      </c>
      <c r="B812">
        <v>21</v>
      </c>
      <c r="C812" s="55">
        <v>102124</v>
      </c>
      <c r="D812" t="s">
        <v>3193</v>
      </c>
      <c r="E812" t="s">
        <v>59</v>
      </c>
      <c r="F812"/>
      <c r="G812" s="130" t="str">
        <f t="shared" si="12"/>
        <v>電機二忠</v>
      </c>
    </row>
    <row r="813" spans="1:7">
      <c r="A813" t="s">
        <v>69</v>
      </c>
      <c r="B813">
        <v>22</v>
      </c>
      <c r="C813" s="55">
        <v>102125</v>
      </c>
      <c r="D813" t="s">
        <v>980</v>
      </c>
      <c r="E813" t="s">
        <v>59</v>
      </c>
      <c r="F813"/>
      <c r="G813" s="130" t="str">
        <f t="shared" si="12"/>
        <v>電機二忠</v>
      </c>
    </row>
    <row r="814" spans="1:7">
      <c r="A814" t="s">
        <v>69</v>
      </c>
      <c r="B814">
        <v>23</v>
      </c>
      <c r="C814" s="55">
        <v>102126</v>
      </c>
      <c r="D814" t="s">
        <v>3224</v>
      </c>
      <c r="E814" t="s">
        <v>60</v>
      </c>
      <c r="F814"/>
      <c r="G814" s="130" t="str">
        <f t="shared" si="12"/>
        <v>電機二忠</v>
      </c>
    </row>
    <row r="815" spans="1:7">
      <c r="A815" t="s">
        <v>69</v>
      </c>
      <c r="B815">
        <v>24</v>
      </c>
      <c r="C815" s="55">
        <v>102127</v>
      </c>
      <c r="D815" t="s">
        <v>3241</v>
      </c>
      <c r="E815" t="s">
        <v>59</v>
      </c>
      <c r="F815"/>
      <c r="G815" s="130" t="str">
        <f t="shared" si="12"/>
        <v>電機二忠</v>
      </c>
    </row>
    <row r="816" spans="1:7">
      <c r="A816" t="s">
        <v>69</v>
      </c>
      <c r="B816">
        <v>25</v>
      </c>
      <c r="C816" s="55">
        <v>102128</v>
      </c>
      <c r="D816" t="s">
        <v>3258</v>
      </c>
      <c r="E816" t="s">
        <v>59</v>
      </c>
      <c r="F816"/>
      <c r="G816" s="130" t="str">
        <f t="shared" si="12"/>
        <v>電機二忠</v>
      </c>
    </row>
    <row r="817" spans="1:7">
      <c r="A817" t="s">
        <v>69</v>
      </c>
      <c r="B817">
        <v>26</v>
      </c>
      <c r="C817" s="55">
        <v>102129</v>
      </c>
      <c r="D817" t="s">
        <v>3275</v>
      </c>
      <c r="E817" t="s">
        <v>59</v>
      </c>
      <c r="F817"/>
      <c r="G817" s="130" t="str">
        <f t="shared" si="12"/>
        <v>電機二忠</v>
      </c>
    </row>
    <row r="818" spans="1:7">
      <c r="A818" t="s">
        <v>69</v>
      </c>
      <c r="B818">
        <v>27</v>
      </c>
      <c r="C818" s="55">
        <v>102130</v>
      </c>
      <c r="D818" t="s">
        <v>3292</v>
      </c>
      <c r="E818" t="s">
        <v>59</v>
      </c>
      <c r="F818"/>
      <c r="G818" s="130" t="str">
        <f t="shared" si="12"/>
        <v>電機二忠</v>
      </c>
    </row>
    <row r="819" spans="1:7">
      <c r="A819" t="s">
        <v>69</v>
      </c>
      <c r="B819">
        <v>28</v>
      </c>
      <c r="C819" s="55">
        <v>102131</v>
      </c>
      <c r="D819" t="s">
        <v>3308</v>
      </c>
      <c r="E819" t="s">
        <v>59</v>
      </c>
      <c r="F819"/>
      <c r="G819" s="130" t="str">
        <f t="shared" si="12"/>
        <v>電機二忠</v>
      </c>
    </row>
    <row r="820" spans="1:7">
      <c r="A820" t="s">
        <v>69</v>
      </c>
      <c r="B820">
        <v>29</v>
      </c>
      <c r="C820" s="55">
        <v>102132</v>
      </c>
      <c r="D820" t="s">
        <v>3323</v>
      </c>
      <c r="E820" t="s">
        <v>59</v>
      </c>
      <c r="F820"/>
      <c r="G820" s="130" t="str">
        <f t="shared" si="12"/>
        <v>電機二忠</v>
      </c>
    </row>
    <row r="821" spans="1:7">
      <c r="A821" t="s">
        <v>69</v>
      </c>
      <c r="B821">
        <v>30</v>
      </c>
      <c r="C821" s="55">
        <v>102134</v>
      </c>
      <c r="D821" t="s">
        <v>3347</v>
      </c>
      <c r="E821" t="s">
        <v>59</v>
      </c>
      <c r="F821"/>
      <c r="G821" s="130" t="str">
        <f t="shared" si="12"/>
        <v>電機二忠</v>
      </c>
    </row>
    <row r="822" spans="1:7">
      <c r="A822" t="s">
        <v>69</v>
      </c>
      <c r="B822">
        <v>31</v>
      </c>
      <c r="C822" s="55">
        <v>102135</v>
      </c>
      <c r="D822" t="s">
        <v>3356</v>
      </c>
      <c r="E822" t="s">
        <v>59</v>
      </c>
      <c r="F822"/>
      <c r="G822" s="130" t="str">
        <f t="shared" si="12"/>
        <v>電機二忠</v>
      </c>
    </row>
    <row r="823" spans="1:7">
      <c r="A823" t="s">
        <v>69</v>
      </c>
      <c r="B823">
        <v>32</v>
      </c>
      <c r="C823" s="55">
        <v>102136</v>
      </c>
      <c r="D823" t="s">
        <v>3365</v>
      </c>
      <c r="E823" t="s">
        <v>59</v>
      </c>
      <c r="F823"/>
      <c r="G823" s="130" t="str">
        <f t="shared" si="12"/>
        <v>電機二忠</v>
      </c>
    </row>
    <row r="824" spans="1:7">
      <c r="A824" t="s">
        <v>69</v>
      </c>
      <c r="B824">
        <v>33</v>
      </c>
      <c r="C824" s="55">
        <v>102137</v>
      </c>
      <c r="D824" t="s">
        <v>3369</v>
      </c>
      <c r="E824" t="s">
        <v>59</v>
      </c>
      <c r="F824"/>
      <c r="G824" s="130" t="str">
        <f t="shared" si="12"/>
        <v>電機二忠</v>
      </c>
    </row>
    <row r="825" spans="1:7">
      <c r="A825" t="s">
        <v>69</v>
      </c>
      <c r="B825">
        <v>34</v>
      </c>
      <c r="C825" s="55" t="s">
        <v>2002</v>
      </c>
      <c r="D825" t="s">
        <v>2035</v>
      </c>
      <c r="E825" t="s">
        <v>59</v>
      </c>
      <c r="F825"/>
      <c r="G825" s="130" t="str">
        <f t="shared" si="12"/>
        <v>電機二忠</v>
      </c>
    </row>
    <row r="826" spans="1:7">
      <c r="A826" t="s">
        <v>70</v>
      </c>
      <c r="B826">
        <v>1</v>
      </c>
      <c r="C826" s="55">
        <v>102201</v>
      </c>
      <c r="D826" t="s">
        <v>2761</v>
      </c>
      <c r="E826" t="s">
        <v>59</v>
      </c>
      <c r="F826"/>
      <c r="G826" s="130" t="str">
        <f t="shared" si="12"/>
        <v>電機二孝</v>
      </c>
    </row>
    <row r="827" spans="1:7">
      <c r="A827" t="s">
        <v>70</v>
      </c>
      <c r="B827">
        <v>2</v>
      </c>
      <c r="C827" s="55">
        <v>102202</v>
      </c>
      <c r="D827" t="s">
        <v>2780</v>
      </c>
      <c r="E827" t="s">
        <v>59</v>
      </c>
      <c r="F827"/>
      <c r="G827" s="130" t="str">
        <f t="shared" si="12"/>
        <v>電機二孝</v>
      </c>
    </row>
    <row r="828" spans="1:7">
      <c r="A828" t="s">
        <v>70</v>
      </c>
      <c r="B828">
        <v>3</v>
      </c>
      <c r="C828" s="55">
        <v>102203</v>
      </c>
      <c r="D828" t="s">
        <v>2799</v>
      </c>
      <c r="E828" t="s">
        <v>59</v>
      </c>
      <c r="F828"/>
      <c r="G828" s="130" t="str">
        <f t="shared" si="12"/>
        <v>電機二孝</v>
      </c>
    </row>
    <row r="829" spans="1:7">
      <c r="A829" t="s">
        <v>70</v>
      </c>
      <c r="B829">
        <v>4</v>
      </c>
      <c r="C829" s="55">
        <v>102204</v>
      </c>
      <c r="D829" t="s">
        <v>2817</v>
      </c>
      <c r="E829" t="s">
        <v>59</v>
      </c>
      <c r="F829"/>
      <c r="G829" s="130" t="str">
        <f t="shared" si="12"/>
        <v>電機二孝</v>
      </c>
    </row>
    <row r="830" spans="1:7">
      <c r="A830" t="s">
        <v>70</v>
      </c>
      <c r="B830">
        <v>5</v>
      </c>
      <c r="C830" s="55">
        <v>102205</v>
      </c>
      <c r="D830" t="s">
        <v>2835</v>
      </c>
      <c r="E830" t="s">
        <v>59</v>
      </c>
      <c r="F830"/>
      <c r="G830" s="130" t="str">
        <f t="shared" si="12"/>
        <v>電機二孝</v>
      </c>
    </row>
    <row r="831" spans="1:7">
      <c r="A831" t="s">
        <v>70</v>
      </c>
      <c r="B831">
        <v>6</v>
      </c>
      <c r="C831" s="55">
        <v>102206</v>
      </c>
      <c r="D831" t="s">
        <v>2855</v>
      </c>
      <c r="E831" t="s">
        <v>59</v>
      </c>
      <c r="F831"/>
      <c r="G831" s="130" t="str">
        <f t="shared" si="12"/>
        <v>電機二孝</v>
      </c>
    </row>
    <row r="832" spans="1:7">
      <c r="A832" t="s">
        <v>70</v>
      </c>
      <c r="B832">
        <v>7</v>
      </c>
      <c r="C832" s="55">
        <v>102207</v>
      </c>
      <c r="D832" t="s">
        <v>2874</v>
      </c>
      <c r="E832" t="s">
        <v>59</v>
      </c>
      <c r="F832"/>
      <c r="G832" s="130" t="str">
        <f t="shared" si="12"/>
        <v>電機二孝</v>
      </c>
    </row>
    <row r="833" spans="1:7">
      <c r="A833" t="s">
        <v>70</v>
      </c>
      <c r="B833">
        <v>8</v>
      </c>
      <c r="C833" s="55">
        <v>102208</v>
      </c>
      <c r="D833" t="s">
        <v>2894</v>
      </c>
      <c r="E833" t="s">
        <v>59</v>
      </c>
      <c r="F833"/>
      <c r="G833" s="130" t="str">
        <f t="shared" si="12"/>
        <v>電機二孝</v>
      </c>
    </row>
    <row r="834" spans="1:7">
      <c r="A834" t="s">
        <v>70</v>
      </c>
      <c r="B834">
        <v>9</v>
      </c>
      <c r="C834" s="55">
        <v>102209</v>
      </c>
      <c r="D834" t="s">
        <v>2913</v>
      </c>
      <c r="E834" t="s">
        <v>59</v>
      </c>
      <c r="F834"/>
      <c r="G834" s="130" t="str">
        <f t="shared" si="12"/>
        <v>電機二孝</v>
      </c>
    </row>
    <row r="835" spans="1:7">
      <c r="A835" t="s">
        <v>70</v>
      </c>
      <c r="B835">
        <v>10</v>
      </c>
      <c r="C835" s="55">
        <v>102210</v>
      </c>
      <c r="D835" t="s">
        <v>2930</v>
      </c>
      <c r="E835" t="s">
        <v>59</v>
      </c>
      <c r="F835"/>
      <c r="G835" s="130" t="str">
        <f t="shared" ref="G835:G898" si="13">A835&amp;F835</f>
        <v>電機二孝</v>
      </c>
    </row>
    <row r="836" spans="1:7">
      <c r="A836" t="s">
        <v>70</v>
      </c>
      <c r="B836">
        <v>11</v>
      </c>
      <c r="C836" s="55">
        <v>102211</v>
      </c>
      <c r="D836" t="s">
        <v>2950</v>
      </c>
      <c r="E836" t="s">
        <v>59</v>
      </c>
      <c r="F836"/>
      <c r="G836" s="130" t="str">
        <f t="shared" si="13"/>
        <v>電機二孝</v>
      </c>
    </row>
    <row r="837" spans="1:7">
      <c r="A837" t="s">
        <v>70</v>
      </c>
      <c r="B837">
        <v>12</v>
      </c>
      <c r="C837" s="55">
        <v>102212</v>
      </c>
      <c r="D837" t="s">
        <v>2968</v>
      </c>
      <c r="E837" t="s">
        <v>59</v>
      </c>
      <c r="F837"/>
      <c r="G837" s="130" t="str">
        <f t="shared" si="13"/>
        <v>電機二孝</v>
      </c>
    </row>
    <row r="838" spans="1:7">
      <c r="A838" t="s">
        <v>70</v>
      </c>
      <c r="B838">
        <v>13</v>
      </c>
      <c r="C838" s="55">
        <v>102214</v>
      </c>
      <c r="D838" t="s">
        <v>3006</v>
      </c>
      <c r="E838" t="s">
        <v>59</v>
      </c>
      <c r="F838"/>
      <c r="G838" s="130" t="str">
        <f t="shared" si="13"/>
        <v>電機二孝</v>
      </c>
    </row>
    <row r="839" spans="1:7">
      <c r="A839" t="s">
        <v>70</v>
      </c>
      <c r="B839">
        <v>14</v>
      </c>
      <c r="C839" s="55">
        <v>102215</v>
      </c>
      <c r="D839" t="s">
        <v>3025</v>
      </c>
      <c r="E839" t="s">
        <v>59</v>
      </c>
      <c r="F839"/>
      <c r="G839" s="130" t="str">
        <f t="shared" si="13"/>
        <v>電機二孝</v>
      </c>
    </row>
    <row r="840" spans="1:7">
      <c r="A840" t="s">
        <v>70</v>
      </c>
      <c r="B840">
        <v>15</v>
      </c>
      <c r="C840" s="55">
        <v>102217</v>
      </c>
      <c r="D840" t="s">
        <v>3059</v>
      </c>
      <c r="E840" t="s">
        <v>59</v>
      </c>
      <c r="F840"/>
      <c r="G840" s="130" t="str">
        <f t="shared" si="13"/>
        <v>電機二孝</v>
      </c>
    </row>
    <row r="841" spans="1:7">
      <c r="A841" t="s">
        <v>70</v>
      </c>
      <c r="B841">
        <v>16</v>
      </c>
      <c r="C841" s="55">
        <v>102218</v>
      </c>
      <c r="D841" t="s">
        <v>3077</v>
      </c>
      <c r="E841" t="s">
        <v>59</v>
      </c>
      <c r="F841"/>
      <c r="G841" s="130" t="str">
        <f t="shared" si="13"/>
        <v>電機二孝</v>
      </c>
    </row>
    <row r="842" spans="1:7">
      <c r="A842" t="s">
        <v>70</v>
      </c>
      <c r="B842">
        <v>17</v>
      </c>
      <c r="C842" s="55">
        <v>102219</v>
      </c>
      <c r="D842" t="s">
        <v>3095</v>
      </c>
      <c r="E842" t="s">
        <v>59</v>
      </c>
      <c r="F842"/>
      <c r="G842" s="130" t="str">
        <f t="shared" si="13"/>
        <v>電機二孝</v>
      </c>
    </row>
    <row r="843" spans="1:7">
      <c r="A843" t="s">
        <v>70</v>
      </c>
      <c r="B843">
        <v>18</v>
      </c>
      <c r="C843" s="55">
        <v>102220</v>
      </c>
      <c r="D843" t="s">
        <v>3110</v>
      </c>
      <c r="E843" t="s">
        <v>59</v>
      </c>
      <c r="F843"/>
      <c r="G843" s="130" t="str">
        <f t="shared" si="13"/>
        <v>電機二孝</v>
      </c>
    </row>
    <row r="844" spans="1:7">
      <c r="A844" t="s">
        <v>70</v>
      </c>
      <c r="B844">
        <v>19</v>
      </c>
      <c r="C844" s="55">
        <v>102221</v>
      </c>
      <c r="D844" t="s">
        <v>3126</v>
      </c>
      <c r="E844" t="s">
        <v>59</v>
      </c>
      <c r="F844"/>
      <c r="G844" s="130" t="str">
        <f t="shared" si="13"/>
        <v>電機二孝</v>
      </c>
    </row>
    <row r="845" spans="1:7">
      <c r="A845" t="s">
        <v>70</v>
      </c>
      <c r="B845">
        <v>20</v>
      </c>
      <c r="C845" s="55">
        <v>102222</v>
      </c>
      <c r="D845" t="s">
        <v>3144</v>
      </c>
      <c r="E845" t="s">
        <v>59</v>
      </c>
      <c r="F845"/>
      <c r="G845" s="130" t="str">
        <f t="shared" si="13"/>
        <v>電機二孝</v>
      </c>
    </row>
    <row r="846" spans="1:7">
      <c r="A846" t="s">
        <v>70</v>
      </c>
      <c r="B846">
        <v>21</v>
      </c>
      <c r="C846" s="55">
        <v>102223</v>
      </c>
      <c r="D846" t="s">
        <v>3161</v>
      </c>
      <c r="E846" t="s">
        <v>59</v>
      </c>
      <c r="F846"/>
      <c r="G846" s="130" t="str">
        <f t="shared" si="13"/>
        <v>電機二孝</v>
      </c>
    </row>
    <row r="847" spans="1:7">
      <c r="A847" t="s">
        <v>70</v>
      </c>
      <c r="B847">
        <v>22</v>
      </c>
      <c r="C847" s="55">
        <v>102224</v>
      </c>
      <c r="D847" t="s">
        <v>150</v>
      </c>
      <c r="E847" t="s">
        <v>59</v>
      </c>
      <c r="F847"/>
      <c r="G847" s="130" t="str">
        <f t="shared" si="13"/>
        <v>電機二孝</v>
      </c>
    </row>
    <row r="848" spans="1:7">
      <c r="A848" t="s">
        <v>70</v>
      </c>
      <c r="B848">
        <v>23</v>
      </c>
      <c r="C848" s="55">
        <v>102225</v>
      </c>
      <c r="D848" t="s">
        <v>3194</v>
      </c>
      <c r="E848" t="s">
        <v>59</v>
      </c>
      <c r="F848"/>
      <c r="G848" s="130" t="str">
        <f t="shared" si="13"/>
        <v>電機二孝</v>
      </c>
    </row>
    <row r="849" spans="1:7">
      <c r="A849" t="s">
        <v>70</v>
      </c>
      <c r="B849">
        <v>24</v>
      </c>
      <c r="C849" s="55">
        <v>102226</v>
      </c>
      <c r="D849" t="s">
        <v>610</v>
      </c>
      <c r="E849" t="s">
        <v>59</v>
      </c>
      <c r="F849"/>
      <c r="G849" s="130" t="str">
        <f t="shared" si="13"/>
        <v>電機二孝</v>
      </c>
    </row>
    <row r="850" spans="1:7">
      <c r="A850" t="s">
        <v>70</v>
      </c>
      <c r="B850">
        <v>25</v>
      </c>
      <c r="C850" s="55">
        <v>102227</v>
      </c>
      <c r="D850" t="s">
        <v>3225</v>
      </c>
      <c r="E850" t="s">
        <v>59</v>
      </c>
      <c r="F850"/>
      <c r="G850" s="130" t="str">
        <f t="shared" si="13"/>
        <v>電機二孝</v>
      </c>
    </row>
    <row r="851" spans="1:7">
      <c r="A851" t="s">
        <v>70</v>
      </c>
      <c r="B851">
        <v>26</v>
      </c>
      <c r="C851" s="55">
        <v>102228</v>
      </c>
      <c r="D851" t="s">
        <v>3242</v>
      </c>
      <c r="E851" t="s">
        <v>59</v>
      </c>
      <c r="F851"/>
      <c r="G851" s="130" t="str">
        <f t="shared" si="13"/>
        <v>電機二孝</v>
      </c>
    </row>
    <row r="852" spans="1:7">
      <c r="A852" t="s">
        <v>70</v>
      </c>
      <c r="B852">
        <v>27</v>
      </c>
      <c r="C852" s="55">
        <v>102231</v>
      </c>
      <c r="D852" t="s">
        <v>3293</v>
      </c>
      <c r="E852" t="s">
        <v>59</v>
      </c>
      <c r="F852"/>
      <c r="G852" s="130" t="str">
        <f t="shared" si="13"/>
        <v>電機二孝</v>
      </c>
    </row>
    <row r="853" spans="1:7">
      <c r="A853" t="s">
        <v>70</v>
      </c>
      <c r="B853">
        <v>28</v>
      </c>
      <c r="C853" s="55">
        <v>102232</v>
      </c>
      <c r="D853" t="s">
        <v>3309</v>
      </c>
      <c r="E853" t="s">
        <v>59</v>
      </c>
      <c r="F853"/>
      <c r="G853" s="130" t="str">
        <f t="shared" si="13"/>
        <v>電機二孝</v>
      </c>
    </row>
    <row r="854" spans="1:7">
      <c r="A854" t="s">
        <v>70</v>
      </c>
      <c r="B854">
        <v>29</v>
      </c>
      <c r="C854" s="55">
        <v>102233</v>
      </c>
      <c r="D854" t="s">
        <v>3324</v>
      </c>
      <c r="E854" t="s">
        <v>59</v>
      </c>
      <c r="F854"/>
      <c r="G854" s="130" t="str">
        <f t="shared" si="13"/>
        <v>電機二孝</v>
      </c>
    </row>
    <row r="855" spans="1:7">
      <c r="A855" t="s">
        <v>70</v>
      </c>
      <c r="B855">
        <v>30</v>
      </c>
      <c r="C855" s="55">
        <v>102234</v>
      </c>
      <c r="D855" t="s">
        <v>3337</v>
      </c>
      <c r="E855" t="s">
        <v>59</v>
      </c>
      <c r="F855"/>
      <c r="G855" s="130" t="str">
        <f t="shared" si="13"/>
        <v>電機二孝</v>
      </c>
    </row>
    <row r="856" spans="1:7">
      <c r="A856" t="s">
        <v>70</v>
      </c>
      <c r="B856">
        <v>31</v>
      </c>
      <c r="C856" s="55">
        <v>102235</v>
      </c>
      <c r="D856" t="s">
        <v>3348</v>
      </c>
      <c r="E856" t="s">
        <v>59</v>
      </c>
      <c r="F856"/>
      <c r="G856" s="130" t="str">
        <f t="shared" si="13"/>
        <v>電機二孝</v>
      </c>
    </row>
    <row r="857" spans="1:7">
      <c r="A857" t="s">
        <v>70</v>
      </c>
      <c r="B857">
        <v>32</v>
      </c>
      <c r="C857" s="55">
        <v>102237</v>
      </c>
      <c r="D857" t="s">
        <v>3366</v>
      </c>
      <c r="E857" t="s">
        <v>59</v>
      </c>
      <c r="F857"/>
      <c r="G857" s="130" t="str">
        <f t="shared" si="13"/>
        <v>電機二孝</v>
      </c>
    </row>
    <row r="858" spans="1:7">
      <c r="A858" t="s">
        <v>71</v>
      </c>
      <c r="B858">
        <v>1</v>
      </c>
      <c r="C858" s="55">
        <v>102301</v>
      </c>
      <c r="D858" t="s">
        <v>2762</v>
      </c>
      <c r="E858" t="s">
        <v>59</v>
      </c>
      <c r="F858"/>
      <c r="G858" s="130" t="str">
        <f t="shared" si="13"/>
        <v>電機二仁</v>
      </c>
    </row>
    <row r="859" spans="1:7">
      <c r="A859" t="s">
        <v>71</v>
      </c>
      <c r="B859">
        <v>2</v>
      </c>
      <c r="C859" s="55">
        <v>102302</v>
      </c>
      <c r="D859" t="s">
        <v>2781</v>
      </c>
      <c r="E859" t="s">
        <v>59</v>
      </c>
      <c r="F859"/>
      <c r="G859" s="130" t="str">
        <f t="shared" si="13"/>
        <v>電機二仁</v>
      </c>
    </row>
    <row r="860" spans="1:7">
      <c r="A860" t="s">
        <v>71</v>
      </c>
      <c r="B860">
        <v>3</v>
      </c>
      <c r="C860" s="55">
        <v>102303</v>
      </c>
      <c r="D860" t="s">
        <v>2800</v>
      </c>
      <c r="E860" t="s">
        <v>59</v>
      </c>
      <c r="F860"/>
      <c r="G860" s="130" t="str">
        <f t="shared" si="13"/>
        <v>電機二仁</v>
      </c>
    </row>
    <row r="861" spans="1:7">
      <c r="A861" t="s">
        <v>71</v>
      </c>
      <c r="B861">
        <v>4</v>
      </c>
      <c r="C861" s="55">
        <v>102304</v>
      </c>
      <c r="D861" t="s">
        <v>2818</v>
      </c>
      <c r="E861" t="s">
        <v>59</v>
      </c>
      <c r="F861"/>
      <c r="G861" s="130" t="str">
        <f t="shared" si="13"/>
        <v>電機二仁</v>
      </c>
    </row>
    <row r="862" spans="1:7">
      <c r="A862" t="s">
        <v>71</v>
      </c>
      <c r="B862">
        <v>5</v>
      </c>
      <c r="C862" s="55">
        <v>102305</v>
      </c>
      <c r="D862" t="s">
        <v>2836</v>
      </c>
      <c r="E862" t="s">
        <v>59</v>
      </c>
      <c r="F862"/>
      <c r="G862" s="130" t="str">
        <f t="shared" si="13"/>
        <v>電機二仁</v>
      </c>
    </row>
    <row r="863" spans="1:7">
      <c r="A863" t="s">
        <v>71</v>
      </c>
      <c r="B863">
        <v>6</v>
      </c>
      <c r="C863" s="55">
        <v>102306</v>
      </c>
      <c r="D863" t="s">
        <v>2856</v>
      </c>
      <c r="E863" t="s">
        <v>59</v>
      </c>
      <c r="F863"/>
      <c r="G863" s="130" t="str">
        <f t="shared" si="13"/>
        <v>電機二仁</v>
      </c>
    </row>
    <row r="864" spans="1:7">
      <c r="A864" t="s">
        <v>71</v>
      </c>
      <c r="B864">
        <v>7</v>
      </c>
      <c r="C864" s="55">
        <v>102307</v>
      </c>
      <c r="D864" t="s">
        <v>2875</v>
      </c>
      <c r="E864" t="s">
        <v>59</v>
      </c>
      <c r="F864"/>
      <c r="G864" s="130" t="str">
        <f t="shared" si="13"/>
        <v>電機二仁</v>
      </c>
    </row>
    <row r="865" spans="1:7">
      <c r="A865" t="s">
        <v>71</v>
      </c>
      <c r="B865">
        <v>8</v>
      </c>
      <c r="C865" s="55">
        <v>102308</v>
      </c>
      <c r="D865" t="s">
        <v>2895</v>
      </c>
      <c r="E865" t="s">
        <v>59</v>
      </c>
      <c r="F865"/>
      <c r="G865" s="130" t="str">
        <f t="shared" si="13"/>
        <v>電機二仁</v>
      </c>
    </row>
    <row r="866" spans="1:7">
      <c r="A866" t="s">
        <v>71</v>
      </c>
      <c r="B866">
        <v>9</v>
      </c>
      <c r="C866" s="55">
        <v>102309</v>
      </c>
      <c r="D866" t="s">
        <v>2914</v>
      </c>
      <c r="E866" t="s">
        <v>59</v>
      </c>
      <c r="F866"/>
      <c r="G866" s="130" t="str">
        <f t="shared" si="13"/>
        <v>電機二仁</v>
      </c>
    </row>
    <row r="867" spans="1:7">
      <c r="A867" t="s">
        <v>71</v>
      </c>
      <c r="B867">
        <v>10</v>
      </c>
      <c r="C867" s="55">
        <v>102310</v>
      </c>
      <c r="D867" t="s">
        <v>2931</v>
      </c>
      <c r="E867" t="s">
        <v>59</v>
      </c>
      <c r="F867"/>
      <c r="G867" s="130" t="str">
        <f t="shared" si="13"/>
        <v>電機二仁</v>
      </c>
    </row>
    <row r="868" spans="1:7">
      <c r="A868" t="s">
        <v>71</v>
      </c>
      <c r="B868">
        <v>11</v>
      </c>
      <c r="C868" s="55">
        <v>102311</v>
      </c>
      <c r="D868" t="s">
        <v>971</v>
      </c>
      <c r="E868" t="s">
        <v>59</v>
      </c>
      <c r="F868"/>
      <c r="G868" s="130" t="str">
        <f t="shared" si="13"/>
        <v>電機二仁</v>
      </c>
    </row>
    <row r="869" spans="1:7">
      <c r="A869" t="s">
        <v>71</v>
      </c>
      <c r="B869">
        <v>12</v>
      </c>
      <c r="C869" s="55">
        <v>102312</v>
      </c>
      <c r="D869" t="s">
        <v>2969</v>
      </c>
      <c r="E869" t="s">
        <v>59</v>
      </c>
      <c r="F869"/>
      <c r="G869" s="130" t="str">
        <f t="shared" si="13"/>
        <v>電機二仁</v>
      </c>
    </row>
    <row r="870" spans="1:7">
      <c r="A870" t="s">
        <v>71</v>
      </c>
      <c r="B870">
        <v>13</v>
      </c>
      <c r="C870" s="55">
        <v>102313</v>
      </c>
      <c r="D870" t="s">
        <v>2988</v>
      </c>
      <c r="E870" t="s">
        <v>59</v>
      </c>
      <c r="F870"/>
      <c r="G870" s="130" t="str">
        <f t="shared" si="13"/>
        <v>電機二仁</v>
      </c>
    </row>
    <row r="871" spans="1:7">
      <c r="A871" t="s">
        <v>71</v>
      </c>
      <c r="B871">
        <v>14</v>
      </c>
      <c r="C871" s="55">
        <v>102314</v>
      </c>
      <c r="D871" t="s">
        <v>3007</v>
      </c>
      <c r="E871" t="s">
        <v>59</v>
      </c>
      <c r="F871"/>
      <c r="G871" s="130" t="str">
        <f t="shared" si="13"/>
        <v>電機二仁</v>
      </c>
    </row>
    <row r="872" spans="1:7">
      <c r="A872" t="s">
        <v>71</v>
      </c>
      <c r="B872">
        <v>15</v>
      </c>
      <c r="C872" s="55">
        <v>102315</v>
      </c>
      <c r="D872" t="s">
        <v>3026</v>
      </c>
      <c r="E872" t="s">
        <v>59</v>
      </c>
      <c r="F872"/>
      <c r="G872" s="130" t="str">
        <f t="shared" si="13"/>
        <v>電機二仁</v>
      </c>
    </row>
    <row r="873" spans="1:7">
      <c r="A873" t="s">
        <v>71</v>
      </c>
      <c r="B873">
        <v>16</v>
      </c>
      <c r="C873" s="55">
        <v>102316</v>
      </c>
      <c r="D873" t="s">
        <v>3529</v>
      </c>
      <c r="E873" t="s">
        <v>59</v>
      </c>
      <c r="F873"/>
      <c r="G873" s="130" t="str">
        <f t="shared" si="13"/>
        <v>電機二仁</v>
      </c>
    </row>
    <row r="874" spans="1:7">
      <c r="A874" t="s">
        <v>71</v>
      </c>
      <c r="B874">
        <v>17</v>
      </c>
      <c r="C874" s="55">
        <v>102317</v>
      </c>
      <c r="D874" t="s">
        <v>3060</v>
      </c>
      <c r="E874" t="s">
        <v>59</v>
      </c>
      <c r="F874"/>
      <c r="G874" s="130" t="str">
        <f t="shared" si="13"/>
        <v>電機二仁</v>
      </c>
    </row>
    <row r="875" spans="1:7">
      <c r="A875" t="s">
        <v>71</v>
      </c>
      <c r="B875">
        <v>18</v>
      </c>
      <c r="C875" s="55">
        <v>102318</v>
      </c>
      <c r="D875" t="s">
        <v>3078</v>
      </c>
      <c r="E875" t="s">
        <v>59</v>
      </c>
      <c r="F875"/>
      <c r="G875" s="130" t="str">
        <f t="shared" si="13"/>
        <v>電機二仁</v>
      </c>
    </row>
    <row r="876" spans="1:7">
      <c r="A876" t="s">
        <v>71</v>
      </c>
      <c r="B876">
        <v>19</v>
      </c>
      <c r="C876" s="55">
        <v>102320</v>
      </c>
      <c r="D876" t="s">
        <v>3111</v>
      </c>
      <c r="E876" t="s">
        <v>59</v>
      </c>
      <c r="F876"/>
      <c r="G876" s="130" t="str">
        <f t="shared" si="13"/>
        <v>電機二仁</v>
      </c>
    </row>
    <row r="877" spans="1:7">
      <c r="A877" t="s">
        <v>71</v>
      </c>
      <c r="B877">
        <v>20</v>
      </c>
      <c r="C877" s="55">
        <v>102321</v>
      </c>
      <c r="D877" t="s">
        <v>3127</v>
      </c>
      <c r="E877" t="s">
        <v>59</v>
      </c>
      <c r="F877"/>
      <c r="G877" s="130" t="str">
        <f t="shared" si="13"/>
        <v>電機二仁</v>
      </c>
    </row>
    <row r="878" spans="1:7">
      <c r="A878" t="s">
        <v>71</v>
      </c>
      <c r="B878">
        <v>21</v>
      </c>
      <c r="C878" s="55">
        <v>102322</v>
      </c>
      <c r="D878" t="s">
        <v>3145</v>
      </c>
      <c r="E878" t="s">
        <v>59</v>
      </c>
      <c r="F878"/>
      <c r="G878" s="130" t="str">
        <f t="shared" si="13"/>
        <v>電機二仁</v>
      </c>
    </row>
    <row r="879" spans="1:7">
      <c r="A879" t="s">
        <v>71</v>
      </c>
      <c r="B879">
        <v>22</v>
      </c>
      <c r="C879" s="55">
        <v>102323</v>
      </c>
      <c r="D879" t="s">
        <v>3162</v>
      </c>
      <c r="E879" t="s">
        <v>59</v>
      </c>
      <c r="F879"/>
      <c r="G879" s="130" t="str">
        <f t="shared" si="13"/>
        <v>電機二仁</v>
      </c>
    </row>
    <row r="880" spans="1:7">
      <c r="A880" t="s">
        <v>71</v>
      </c>
      <c r="B880">
        <v>23</v>
      </c>
      <c r="C880" s="55">
        <v>102324</v>
      </c>
      <c r="D880" t="s">
        <v>3177</v>
      </c>
      <c r="E880" t="s">
        <v>59</v>
      </c>
      <c r="F880"/>
      <c r="G880" s="130" t="str">
        <f t="shared" si="13"/>
        <v>電機二仁</v>
      </c>
    </row>
    <row r="881" spans="1:7">
      <c r="A881" t="s">
        <v>71</v>
      </c>
      <c r="B881">
        <v>24</v>
      </c>
      <c r="C881" s="55">
        <v>102325</v>
      </c>
      <c r="D881" t="s">
        <v>3195</v>
      </c>
      <c r="E881" t="s">
        <v>59</v>
      </c>
      <c r="F881"/>
      <c r="G881" s="130" t="str">
        <f t="shared" si="13"/>
        <v>電機二仁</v>
      </c>
    </row>
    <row r="882" spans="1:7">
      <c r="A882" t="s">
        <v>71</v>
      </c>
      <c r="B882">
        <v>25</v>
      </c>
      <c r="C882" s="55">
        <v>102326</v>
      </c>
      <c r="D882" t="s">
        <v>3209</v>
      </c>
      <c r="E882" t="s">
        <v>59</v>
      </c>
      <c r="F882"/>
      <c r="G882" s="130" t="str">
        <f t="shared" si="13"/>
        <v>電機二仁</v>
      </c>
    </row>
    <row r="883" spans="1:7">
      <c r="A883" t="s">
        <v>71</v>
      </c>
      <c r="B883">
        <v>26</v>
      </c>
      <c r="C883" s="55">
        <v>102327</v>
      </c>
      <c r="D883" t="s">
        <v>3226</v>
      </c>
      <c r="E883" t="s">
        <v>59</v>
      </c>
      <c r="F883"/>
      <c r="G883" s="130" t="str">
        <f t="shared" si="13"/>
        <v>電機二仁</v>
      </c>
    </row>
    <row r="884" spans="1:7">
      <c r="A884" t="s">
        <v>71</v>
      </c>
      <c r="B884">
        <v>27</v>
      </c>
      <c r="C884" s="55">
        <v>102328</v>
      </c>
      <c r="D884" t="s">
        <v>3243</v>
      </c>
      <c r="E884" t="s">
        <v>59</v>
      </c>
      <c r="F884"/>
      <c r="G884" s="130" t="str">
        <f t="shared" si="13"/>
        <v>電機二仁</v>
      </c>
    </row>
    <row r="885" spans="1:7">
      <c r="A885" t="s">
        <v>71</v>
      </c>
      <c r="B885">
        <v>28</v>
      </c>
      <c r="C885" s="55">
        <v>102329</v>
      </c>
      <c r="D885" t="s">
        <v>3260</v>
      </c>
      <c r="E885" t="s">
        <v>59</v>
      </c>
      <c r="F885"/>
      <c r="G885" s="130" t="str">
        <f t="shared" si="13"/>
        <v>電機二仁</v>
      </c>
    </row>
    <row r="886" spans="1:7">
      <c r="A886" t="s">
        <v>71</v>
      </c>
      <c r="B886">
        <v>29</v>
      </c>
      <c r="C886" s="55">
        <v>102330</v>
      </c>
      <c r="D886" t="s">
        <v>3277</v>
      </c>
      <c r="E886" t="s">
        <v>59</v>
      </c>
      <c r="F886"/>
      <c r="G886" s="130" t="str">
        <f t="shared" si="13"/>
        <v>電機二仁</v>
      </c>
    </row>
    <row r="887" spans="1:7">
      <c r="A887" t="s">
        <v>71</v>
      </c>
      <c r="B887">
        <v>30</v>
      </c>
      <c r="C887" s="55">
        <v>102331</v>
      </c>
      <c r="D887" t="s">
        <v>3294</v>
      </c>
      <c r="E887" t="s">
        <v>59</v>
      </c>
      <c r="F887"/>
      <c r="G887" s="130" t="str">
        <f t="shared" si="13"/>
        <v>電機二仁</v>
      </c>
    </row>
    <row r="888" spans="1:7">
      <c r="A888" t="s">
        <v>71</v>
      </c>
      <c r="B888">
        <v>31</v>
      </c>
      <c r="C888" s="55">
        <v>102332</v>
      </c>
      <c r="D888" t="s">
        <v>3310</v>
      </c>
      <c r="E888" t="s">
        <v>59</v>
      </c>
      <c r="F888"/>
      <c r="G888" s="130" t="str">
        <f t="shared" si="13"/>
        <v>電機二仁</v>
      </c>
    </row>
    <row r="889" spans="1:7">
      <c r="A889" t="s">
        <v>71</v>
      </c>
      <c r="B889">
        <v>32</v>
      </c>
      <c r="C889" s="55">
        <v>102333</v>
      </c>
      <c r="D889" t="s">
        <v>3325</v>
      </c>
      <c r="E889" t="s">
        <v>59</v>
      </c>
      <c r="F889"/>
      <c r="G889" s="130" t="str">
        <f t="shared" si="13"/>
        <v>電機二仁</v>
      </c>
    </row>
    <row r="890" spans="1:7">
      <c r="A890" t="s">
        <v>71</v>
      </c>
      <c r="B890">
        <v>33</v>
      </c>
      <c r="C890" s="55">
        <v>102335</v>
      </c>
      <c r="D890" t="s">
        <v>3283</v>
      </c>
      <c r="E890" t="s">
        <v>59</v>
      </c>
      <c r="F890"/>
      <c r="G890" s="130" t="str">
        <f t="shared" si="13"/>
        <v>電機二仁</v>
      </c>
    </row>
    <row r="891" spans="1:7">
      <c r="A891" t="s">
        <v>71</v>
      </c>
      <c r="B891">
        <v>34</v>
      </c>
      <c r="C891" s="55">
        <v>102336</v>
      </c>
      <c r="D891" t="s">
        <v>3358</v>
      </c>
      <c r="E891" t="s">
        <v>59</v>
      </c>
      <c r="F891"/>
      <c r="G891" s="130" t="str">
        <f t="shared" si="13"/>
        <v>電機二仁</v>
      </c>
    </row>
    <row r="892" spans="1:7">
      <c r="A892" t="s">
        <v>71</v>
      </c>
      <c r="B892">
        <v>35</v>
      </c>
      <c r="C892" s="55">
        <v>102337</v>
      </c>
      <c r="D892" t="s">
        <v>3367</v>
      </c>
      <c r="E892" t="s">
        <v>59</v>
      </c>
      <c r="F892"/>
      <c r="G892" s="130" t="str">
        <f t="shared" si="13"/>
        <v>電機二仁</v>
      </c>
    </row>
    <row r="893" spans="1:7">
      <c r="A893" t="s">
        <v>72</v>
      </c>
      <c r="B893">
        <v>1</v>
      </c>
      <c r="C893" s="55">
        <v>102401</v>
      </c>
      <c r="D893" t="s">
        <v>1314</v>
      </c>
      <c r="E893" t="s">
        <v>59</v>
      </c>
      <c r="F893"/>
      <c r="G893" s="130" t="str">
        <f t="shared" si="13"/>
        <v>電機二愛</v>
      </c>
    </row>
    <row r="894" spans="1:7">
      <c r="A894" t="s">
        <v>72</v>
      </c>
      <c r="B894">
        <v>2</v>
      </c>
      <c r="C894" s="55">
        <v>102402</v>
      </c>
      <c r="D894" t="s">
        <v>2782</v>
      </c>
      <c r="E894" t="s">
        <v>59</v>
      </c>
      <c r="F894"/>
      <c r="G894" s="130" t="str">
        <f t="shared" si="13"/>
        <v>電機二愛</v>
      </c>
    </row>
    <row r="895" spans="1:7">
      <c r="A895" t="s">
        <v>72</v>
      </c>
      <c r="B895">
        <v>3</v>
      </c>
      <c r="C895" s="55">
        <v>102403</v>
      </c>
      <c r="D895" t="s">
        <v>2801</v>
      </c>
      <c r="E895" t="s">
        <v>59</v>
      </c>
      <c r="F895"/>
      <c r="G895" s="130" t="str">
        <f t="shared" si="13"/>
        <v>電機二愛</v>
      </c>
    </row>
    <row r="896" spans="1:7">
      <c r="A896" t="s">
        <v>72</v>
      </c>
      <c r="B896">
        <v>4</v>
      </c>
      <c r="C896" s="55">
        <v>102404</v>
      </c>
      <c r="D896" t="s">
        <v>2819</v>
      </c>
      <c r="E896" t="s">
        <v>59</v>
      </c>
      <c r="F896"/>
      <c r="G896" s="130" t="str">
        <f t="shared" si="13"/>
        <v>電機二愛</v>
      </c>
    </row>
    <row r="897" spans="1:7">
      <c r="A897" t="s">
        <v>72</v>
      </c>
      <c r="B897">
        <v>5</v>
      </c>
      <c r="C897" s="55">
        <v>102405</v>
      </c>
      <c r="D897" t="s">
        <v>2837</v>
      </c>
      <c r="E897" t="s">
        <v>59</v>
      </c>
      <c r="F897"/>
      <c r="G897" s="130" t="str">
        <f t="shared" si="13"/>
        <v>電機二愛</v>
      </c>
    </row>
    <row r="898" spans="1:7">
      <c r="A898" t="s">
        <v>72</v>
      </c>
      <c r="B898">
        <v>6</v>
      </c>
      <c r="C898" s="55">
        <v>102406</v>
      </c>
      <c r="D898" t="s">
        <v>2857</v>
      </c>
      <c r="E898" t="s">
        <v>59</v>
      </c>
      <c r="F898"/>
      <c r="G898" s="130" t="str">
        <f t="shared" si="13"/>
        <v>電機二愛</v>
      </c>
    </row>
    <row r="899" spans="1:7">
      <c r="A899" t="s">
        <v>72</v>
      </c>
      <c r="B899">
        <v>7</v>
      </c>
      <c r="C899" s="55">
        <v>102407</v>
      </c>
      <c r="D899" t="s">
        <v>2876</v>
      </c>
      <c r="E899" t="s">
        <v>59</v>
      </c>
      <c r="F899"/>
      <c r="G899" s="130" t="str">
        <f t="shared" ref="G899:G962" si="14">A899&amp;F899</f>
        <v>電機二愛</v>
      </c>
    </row>
    <row r="900" spans="1:7">
      <c r="A900" t="s">
        <v>72</v>
      </c>
      <c r="B900">
        <v>8</v>
      </c>
      <c r="C900" s="55">
        <v>102408</v>
      </c>
      <c r="D900" t="s">
        <v>2896</v>
      </c>
      <c r="E900" t="s">
        <v>59</v>
      </c>
      <c r="F900"/>
      <c r="G900" s="130" t="str">
        <f t="shared" si="14"/>
        <v>電機二愛</v>
      </c>
    </row>
    <row r="901" spans="1:7">
      <c r="A901" t="s">
        <v>72</v>
      </c>
      <c r="B901">
        <v>9</v>
      </c>
      <c r="C901" s="55">
        <v>102409</v>
      </c>
      <c r="D901" t="s">
        <v>1506</v>
      </c>
      <c r="E901" t="s">
        <v>59</v>
      </c>
      <c r="F901"/>
      <c r="G901" s="130" t="str">
        <f t="shared" si="14"/>
        <v>電機二愛</v>
      </c>
    </row>
    <row r="902" spans="1:7">
      <c r="A902" t="s">
        <v>72</v>
      </c>
      <c r="B902">
        <v>10</v>
      </c>
      <c r="C902" s="55">
        <v>102410</v>
      </c>
      <c r="D902" t="s">
        <v>2932</v>
      </c>
      <c r="E902" t="s">
        <v>59</v>
      </c>
      <c r="F902"/>
      <c r="G902" s="130" t="str">
        <f t="shared" si="14"/>
        <v>電機二愛</v>
      </c>
    </row>
    <row r="903" spans="1:7">
      <c r="A903" t="s">
        <v>72</v>
      </c>
      <c r="B903">
        <v>11</v>
      </c>
      <c r="C903" s="55">
        <v>102411</v>
      </c>
      <c r="D903" t="s">
        <v>2951</v>
      </c>
      <c r="E903" t="s">
        <v>59</v>
      </c>
      <c r="F903"/>
      <c r="G903" s="130" t="str">
        <f t="shared" si="14"/>
        <v>電機二愛</v>
      </c>
    </row>
    <row r="904" spans="1:7">
      <c r="A904" t="s">
        <v>72</v>
      </c>
      <c r="B904">
        <v>12</v>
      </c>
      <c r="C904" s="55">
        <v>102412</v>
      </c>
      <c r="D904" t="s">
        <v>2970</v>
      </c>
      <c r="E904" t="s">
        <v>59</v>
      </c>
      <c r="F904"/>
      <c r="G904" s="130" t="str">
        <f t="shared" si="14"/>
        <v>電機二愛</v>
      </c>
    </row>
    <row r="905" spans="1:7">
      <c r="A905" t="s">
        <v>72</v>
      </c>
      <c r="B905">
        <v>13</v>
      </c>
      <c r="C905" s="55">
        <v>102413</v>
      </c>
      <c r="D905" t="s">
        <v>2989</v>
      </c>
      <c r="E905" t="s">
        <v>59</v>
      </c>
      <c r="F905"/>
      <c r="G905" s="130" t="str">
        <f t="shared" si="14"/>
        <v>電機二愛</v>
      </c>
    </row>
    <row r="906" spans="1:7">
      <c r="A906" t="s">
        <v>72</v>
      </c>
      <c r="B906">
        <v>14</v>
      </c>
      <c r="C906" s="55">
        <v>102414</v>
      </c>
      <c r="D906" t="s">
        <v>3008</v>
      </c>
      <c r="E906" t="s">
        <v>59</v>
      </c>
      <c r="F906"/>
      <c r="G906" s="130" t="str">
        <f t="shared" si="14"/>
        <v>電機二愛</v>
      </c>
    </row>
    <row r="907" spans="1:7">
      <c r="A907" t="s">
        <v>72</v>
      </c>
      <c r="B907">
        <v>15</v>
      </c>
      <c r="C907" s="55">
        <v>102415</v>
      </c>
      <c r="D907" t="s">
        <v>3027</v>
      </c>
      <c r="E907" t="s">
        <v>59</v>
      </c>
      <c r="F907"/>
      <c r="G907" s="130" t="str">
        <f t="shared" si="14"/>
        <v>電機二愛</v>
      </c>
    </row>
    <row r="908" spans="1:7">
      <c r="A908" t="s">
        <v>72</v>
      </c>
      <c r="B908">
        <v>16</v>
      </c>
      <c r="C908" s="55">
        <v>102416</v>
      </c>
      <c r="D908" t="s">
        <v>3043</v>
      </c>
      <c r="E908" t="s">
        <v>59</v>
      </c>
      <c r="F908"/>
      <c r="G908" s="130" t="str">
        <f t="shared" si="14"/>
        <v>電機二愛</v>
      </c>
    </row>
    <row r="909" spans="1:7">
      <c r="A909" t="s">
        <v>72</v>
      </c>
      <c r="B909">
        <v>17</v>
      </c>
      <c r="C909" s="55">
        <v>102417</v>
      </c>
      <c r="D909" t="s">
        <v>3061</v>
      </c>
      <c r="E909" t="s">
        <v>59</v>
      </c>
      <c r="F909"/>
      <c r="G909" s="130" t="str">
        <f t="shared" si="14"/>
        <v>電機二愛</v>
      </c>
    </row>
    <row r="910" spans="1:7">
      <c r="A910" t="s">
        <v>72</v>
      </c>
      <c r="B910">
        <v>18</v>
      </c>
      <c r="C910" s="55">
        <v>102418</v>
      </c>
      <c r="D910" t="s">
        <v>3079</v>
      </c>
      <c r="E910" t="s">
        <v>59</v>
      </c>
      <c r="F910"/>
      <c r="G910" s="130" t="str">
        <f t="shared" si="14"/>
        <v>電機二愛</v>
      </c>
    </row>
    <row r="911" spans="1:7">
      <c r="A911" t="s">
        <v>72</v>
      </c>
      <c r="B911">
        <v>19</v>
      </c>
      <c r="C911" s="55">
        <v>102419</v>
      </c>
      <c r="D911" t="s">
        <v>588</v>
      </c>
      <c r="E911" t="s">
        <v>59</v>
      </c>
      <c r="F911"/>
      <c r="G911" s="130" t="str">
        <f t="shared" si="14"/>
        <v>電機二愛</v>
      </c>
    </row>
    <row r="912" spans="1:7">
      <c r="A912" t="s">
        <v>72</v>
      </c>
      <c r="B912">
        <v>20</v>
      </c>
      <c r="C912" s="55">
        <v>102420</v>
      </c>
      <c r="D912" t="s">
        <v>3112</v>
      </c>
      <c r="E912" t="s">
        <v>59</v>
      </c>
      <c r="F912"/>
      <c r="G912" s="130" t="str">
        <f t="shared" si="14"/>
        <v>電機二愛</v>
      </c>
    </row>
    <row r="913" spans="1:7">
      <c r="A913" t="s">
        <v>72</v>
      </c>
      <c r="B913">
        <v>21</v>
      </c>
      <c r="C913" s="55">
        <v>102421</v>
      </c>
      <c r="D913" t="s">
        <v>3128</v>
      </c>
      <c r="E913" t="s">
        <v>59</v>
      </c>
      <c r="F913"/>
      <c r="G913" s="130" t="str">
        <f t="shared" si="14"/>
        <v>電機二愛</v>
      </c>
    </row>
    <row r="914" spans="1:7">
      <c r="A914" t="s">
        <v>72</v>
      </c>
      <c r="B914">
        <v>22</v>
      </c>
      <c r="C914" s="55">
        <v>102422</v>
      </c>
      <c r="D914" t="s">
        <v>3146</v>
      </c>
      <c r="E914" t="s">
        <v>59</v>
      </c>
      <c r="F914"/>
      <c r="G914" s="130" t="str">
        <f t="shared" si="14"/>
        <v>電機二愛</v>
      </c>
    </row>
    <row r="915" spans="1:7">
      <c r="A915" t="s">
        <v>72</v>
      </c>
      <c r="B915">
        <v>23</v>
      </c>
      <c r="C915" s="55">
        <v>102423</v>
      </c>
      <c r="D915" t="s">
        <v>3163</v>
      </c>
      <c r="E915" t="s">
        <v>59</v>
      </c>
      <c r="F915"/>
      <c r="G915" s="130" t="str">
        <f t="shared" si="14"/>
        <v>電機二愛</v>
      </c>
    </row>
    <row r="916" spans="1:7">
      <c r="A916" t="s">
        <v>72</v>
      </c>
      <c r="B916">
        <v>24</v>
      </c>
      <c r="C916" s="55">
        <v>102424</v>
      </c>
      <c r="D916" t="s">
        <v>3178</v>
      </c>
      <c r="E916" t="s">
        <v>59</v>
      </c>
      <c r="F916"/>
      <c r="G916" s="130" t="str">
        <f t="shared" si="14"/>
        <v>電機二愛</v>
      </c>
    </row>
    <row r="917" spans="1:7">
      <c r="A917" t="s">
        <v>72</v>
      </c>
      <c r="B917">
        <v>25</v>
      </c>
      <c r="C917" s="55">
        <v>102425</v>
      </c>
      <c r="D917" t="s">
        <v>3196</v>
      </c>
      <c r="E917" t="s">
        <v>59</v>
      </c>
      <c r="F917"/>
      <c r="G917" s="130" t="str">
        <f t="shared" si="14"/>
        <v>電機二愛</v>
      </c>
    </row>
    <row r="918" spans="1:7">
      <c r="A918" t="s">
        <v>72</v>
      </c>
      <c r="B918">
        <v>26</v>
      </c>
      <c r="C918" s="55">
        <v>102426</v>
      </c>
      <c r="D918" t="s">
        <v>3210</v>
      </c>
      <c r="E918" t="s">
        <v>59</v>
      </c>
      <c r="F918"/>
      <c r="G918" s="130" t="str">
        <f t="shared" si="14"/>
        <v>電機二愛</v>
      </c>
    </row>
    <row r="919" spans="1:7">
      <c r="A919" t="s">
        <v>72</v>
      </c>
      <c r="B919">
        <v>27</v>
      </c>
      <c r="C919" s="55">
        <v>102427</v>
      </c>
      <c r="D919" t="s">
        <v>3227</v>
      </c>
      <c r="E919" t="s">
        <v>59</v>
      </c>
      <c r="F919"/>
      <c r="G919" s="130" t="str">
        <f t="shared" si="14"/>
        <v>電機二愛</v>
      </c>
    </row>
    <row r="920" spans="1:7">
      <c r="A920" t="s">
        <v>72</v>
      </c>
      <c r="B920">
        <v>28</v>
      </c>
      <c r="C920" s="55">
        <v>102428</v>
      </c>
      <c r="D920" t="s">
        <v>3244</v>
      </c>
      <c r="E920" t="s">
        <v>59</v>
      </c>
      <c r="F920"/>
      <c r="G920" s="130" t="str">
        <f t="shared" si="14"/>
        <v>電機二愛</v>
      </c>
    </row>
    <row r="921" spans="1:7">
      <c r="A921" t="s">
        <v>72</v>
      </c>
      <c r="B921">
        <v>29</v>
      </c>
      <c r="C921" s="55">
        <v>102429</v>
      </c>
      <c r="D921" t="s">
        <v>3261</v>
      </c>
      <c r="E921" t="s">
        <v>59</v>
      </c>
      <c r="F921"/>
      <c r="G921" s="130" t="str">
        <f t="shared" si="14"/>
        <v>電機二愛</v>
      </c>
    </row>
    <row r="922" spans="1:7">
      <c r="A922" t="s">
        <v>72</v>
      </c>
      <c r="B922">
        <v>30</v>
      </c>
      <c r="C922" s="55">
        <v>102430</v>
      </c>
      <c r="D922" t="s">
        <v>3278</v>
      </c>
      <c r="E922" t="s">
        <v>59</v>
      </c>
      <c r="F922"/>
      <c r="G922" s="130" t="str">
        <f t="shared" si="14"/>
        <v>電機二愛</v>
      </c>
    </row>
    <row r="923" spans="1:7">
      <c r="A923" t="s">
        <v>72</v>
      </c>
      <c r="B923">
        <v>31</v>
      </c>
      <c r="C923" s="55">
        <v>102431</v>
      </c>
      <c r="D923" t="s">
        <v>3295</v>
      </c>
      <c r="E923" t="s">
        <v>59</v>
      </c>
      <c r="F923"/>
      <c r="G923" s="130" t="str">
        <f t="shared" si="14"/>
        <v>電機二愛</v>
      </c>
    </row>
    <row r="924" spans="1:7">
      <c r="A924" t="s">
        <v>72</v>
      </c>
      <c r="B924">
        <v>32</v>
      </c>
      <c r="C924" s="55">
        <v>102432</v>
      </c>
      <c r="D924" t="s">
        <v>3311</v>
      </c>
      <c r="E924" t="s">
        <v>59</v>
      </c>
      <c r="F924"/>
      <c r="G924" s="130" t="str">
        <f t="shared" si="14"/>
        <v>電機二愛</v>
      </c>
    </row>
    <row r="925" spans="1:7">
      <c r="A925" t="s">
        <v>72</v>
      </c>
      <c r="B925">
        <v>33</v>
      </c>
      <c r="C925" s="55">
        <v>102433</v>
      </c>
      <c r="D925" t="s">
        <v>3326</v>
      </c>
      <c r="E925" t="s">
        <v>59</v>
      </c>
      <c r="F925"/>
      <c r="G925" s="130" t="str">
        <f t="shared" si="14"/>
        <v>電機二愛</v>
      </c>
    </row>
    <row r="926" spans="1:7">
      <c r="A926" t="s">
        <v>72</v>
      </c>
      <c r="B926">
        <v>34</v>
      </c>
      <c r="C926" s="55">
        <v>102434</v>
      </c>
      <c r="D926" t="s">
        <v>3339</v>
      </c>
      <c r="E926" t="s">
        <v>59</v>
      </c>
      <c r="F926"/>
      <c r="G926" s="130" t="str">
        <f t="shared" si="14"/>
        <v>電機二愛</v>
      </c>
    </row>
    <row r="927" spans="1:7">
      <c r="A927" t="s">
        <v>72</v>
      </c>
      <c r="B927">
        <v>35</v>
      </c>
      <c r="C927" s="55">
        <v>102436</v>
      </c>
      <c r="D927" t="s">
        <v>3359</v>
      </c>
      <c r="E927" t="s">
        <v>59</v>
      </c>
      <c r="F927"/>
      <c r="G927" s="130" t="str">
        <f t="shared" si="14"/>
        <v>電機二愛</v>
      </c>
    </row>
    <row r="928" spans="1:7">
      <c r="A928" t="s">
        <v>72</v>
      </c>
      <c r="B928">
        <v>36</v>
      </c>
      <c r="C928" s="55" t="s">
        <v>2406</v>
      </c>
      <c r="D928" t="s">
        <v>1026</v>
      </c>
      <c r="E928" t="s">
        <v>59</v>
      </c>
      <c r="F928"/>
      <c r="G928" s="130" t="str">
        <f t="shared" si="14"/>
        <v>電機二愛</v>
      </c>
    </row>
    <row r="929" spans="1:7">
      <c r="A929" t="s">
        <v>73</v>
      </c>
      <c r="B929">
        <v>1</v>
      </c>
      <c r="C929" s="55">
        <v>103101</v>
      </c>
      <c r="D929" t="s">
        <v>2763</v>
      </c>
      <c r="E929" t="s">
        <v>59</v>
      </c>
      <c r="F929"/>
      <c r="G929" s="130" t="str">
        <f t="shared" si="14"/>
        <v>資訊二忠</v>
      </c>
    </row>
    <row r="930" spans="1:7">
      <c r="A930" t="s">
        <v>73</v>
      </c>
      <c r="B930">
        <v>2</v>
      </c>
      <c r="C930" s="55">
        <v>103102</v>
      </c>
      <c r="D930" t="s">
        <v>1456</v>
      </c>
      <c r="E930" t="s">
        <v>59</v>
      </c>
      <c r="F930"/>
      <c r="G930" s="130" t="str">
        <f t="shared" si="14"/>
        <v>資訊二忠</v>
      </c>
    </row>
    <row r="931" spans="1:7">
      <c r="A931" t="s">
        <v>73</v>
      </c>
      <c r="B931">
        <v>3</v>
      </c>
      <c r="C931" s="55">
        <v>103103</v>
      </c>
      <c r="D931" t="s">
        <v>2820</v>
      </c>
      <c r="E931" t="s">
        <v>59</v>
      </c>
      <c r="F931"/>
      <c r="G931" s="130" t="str">
        <f t="shared" si="14"/>
        <v>資訊二忠</v>
      </c>
    </row>
    <row r="932" spans="1:7">
      <c r="A932" t="s">
        <v>73</v>
      </c>
      <c r="B932">
        <v>4</v>
      </c>
      <c r="C932" s="55">
        <v>103104</v>
      </c>
      <c r="D932" t="s">
        <v>2838</v>
      </c>
      <c r="E932" t="s">
        <v>59</v>
      </c>
      <c r="F932"/>
      <c r="G932" s="130" t="str">
        <f t="shared" si="14"/>
        <v>資訊二忠</v>
      </c>
    </row>
    <row r="933" spans="1:7">
      <c r="A933" t="s">
        <v>73</v>
      </c>
      <c r="B933">
        <v>5</v>
      </c>
      <c r="C933" s="55">
        <v>103105</v>
      </c>
      <c r="D933" t="s">
        <v>2858</v>
      </c>
      <c r="E933" t="s">
        <v>59</v>
      </c>
      <c r="F933"/>
      <c r="G933" s="130" t="str">
        <f t="shared" si="14"/>
        <v>資訊二忠</v>
      </c>
    </row>
    <row r="934" spans="1:7">
      <c r="A934" t="s">
        <v>73</v>
      </c>
      <c r="B934">
        <v>6</v>
      </c>
      <c r="C934" s="55">
        <v>103106</v>
      </c>
      <c r="D934" t="s">
        <v>2877</v>
      </c>
      <c r="E934" t="s">
        <v>60</v>
      </c>
      <c r="F934"/>
      <c r="G934" s="130" t="str">
        <f t="shared" si="14"/>
        <v>資訊二忠</v>
      </c>
    </row>
    <row r="935" spans="1:7">
      <c r="A935" t="s">
        <v>73</v>
      </c>
      <c r="B935">
        <v>7</v>
      </c>
      <c r="C935" s="55">
        <v>103107</v>
      </c>
      <c r="D935" t="s">
        <v>2897</v>
      </c>
      <c r="E935" t="s">
        <v>59</v>
      </c>
      <c r="F935"/>
      <c r="G935" s="130" t="str">
        <f t="shared" si="14"/>
        <v>資訊二忠</v>
      </c>
    </row>
    <row r="936" spans="1:7">
      <c r="A936" t="s">
        <v>73</v>
      </c>
      <c r="B936">
        <v>8</v>
      </c>
      <c r="C936" s="55">
        <v>103108</v>
      </c>
      <c r="D936" t="s">
        <v>2915</v>
      </c>
      <c r="E936" t="s">
        <v>59</v>
      </c>
      <c r="F936"/>
      <c r="G936" s="130" t="str">
        <f t="shared" si="14"/>
        <v>資訊二忠</v>
      </c>
    </row>
    <row r="937" spans="1:7">
      <c r="A937" t="s">
        <v>73</v>
      </c>
      <c r="B937">
        <v>9</v>
      </c>
      <c r="C937" s="55">
        <v>103109</v>
      </c>
      <c r="D937" t="s">
        <v>2933</v>
      </c>
      <c r="E937" t="s">
        <v>59</v>
      </c>
      <c r="F937"/>
      <c r="G937" s="130" t="str">
        <f t="shared" si="14"/>
        <v>資訊二忠</v>
      </c>
    </row>
    <row r="938" spans="1:7">
      <c r="A938" t="s">
        <v>73</v>
      </c>
      <c r="B938">
        <v>10</v>
      </c>
      <c r="C938" s="55">
        <v>103110</v>
      </c>
      <c r="D938" t="s">
        <v>2952</v>
      </c>
      <c r="E938" t="s">
        <v>59</v>
      </c>
      <c r="F938"/>
      <c r="G938" s="130" t="str">
        <f t="shared" si="14"/>
        <v>資訊二忠</v>
      </c>
    </row>
    <row r="939" spans="1:7">
      <c r="A939" t="s">
        <v>73</v>
      </c>
      <c r="B939">
        <v>11</v>
      </c>
      <c r="C939" s="55">
        <v>103112</v>
      </c>
      <c r="D939" t="s">
        <v>2990</v>
      </c>
      <c r="E939" t="s">
        <v>59</v>
      </c>
      <c r="F939"/>
      <c r="G939" s="130" t="str">
        <f t="shared" si="14"/>
        <v>資訊二忠</v>
      </c>
    </row>
    <row r="940" spans="1:7">
      <c r="A940" t="s">
        <v>73</v>
      </c>
      <c r="B940">
        <v>12</v>
      </c>
      <c r="C940" s="55">
        <v>103113</v>
      </c>
      <c r="D940" t="s">
        <v>3009</v>
      </c>
      <c r="E940" t="s">
        <v>59</v>
      </c>
      <c r="F940"/>
      <c r="G940" s="130" t="str">
        <f t="shared" si="14"/>
        <v>資訊二忠</v>
      </c>
    </row>
    <row r="941" spans="1:7">
      <c r="A941" t="s">
        <v>73</v>
      </c>
      <c r="B941">
        <v>13</v>
      </c>
      <c r="C941" s="55">
        <v>103114</v>
      </c>
      <c r="D941" t="s">
        <v>3028</v>
      </c>
      <c r="E941" t="s">
        <v>59</v>
      </c>
      <c r="F941"/>
      <c r="G941" s="130" t="str">
        <f t="shared" si="14"/>
        <v>資訊二忠</v>
      </c>
    </row>
    <row r="942" spans="1:7">
      <c r="A942" t="s">
        <v>73</v>
      </c>
      <c r="B942">
        <v>14</v>
      </c>
      <c r="C942" s="55">
        <v>103115</v>
      </c>
      <c r="D942" t="s">
        <v>3044</v>
      </c>
      <c r="E942" t="s">
        <v>59</v>
      </c>
      <c r="F942"/>
      <c r="G942" s="130" t="str">
        <f t="shared" si="14"/>
        <v>資訊二忠</v>
      </c>
    </row>
    <row r="943" spans="1:7">
      <c r="A943" t="s">
        <v>73</v>
      </c>
      <c r="B943">
        <v>15</v>
      </c>
      <c r="C943" s="55">
        <v>103116</v>
      </c>
      <c r="D943" t="s">
        <v>3062</v>
      </c>
      <c r="E943" t="s">
        <v>59</v>
      </c>
      <c r="F943"/>
      <c r="G943" s="130" t="str">
        <f t="shared" si="14"/>
        <v>資訊二忠</v>
      </c>
    </row>
    <row r="944" spans="1:7">
      <c r="A944" t="s">
        <v>73</v>
      </c>
      <c r="B944">
        <v>16</v>
      </c>
      <c r="C944" s="55">
        <v>103117</v>
      </c>
      <c r="D944" t="s">
        <v>3080</v>
      </c>
      <c r="E944" t="s">
        <v>60</v>
      </c>
      <c r="F944"/>
      <c r="G944" s="130" t="str">
        <f t="shared" si="14"/>
        <v>資訊二忠</v>
      </c>
    </row>
    <row r="945" spans="1:7">
      <c r="A945" t="s">
        <v>73</v>
      </c>
      <c r="B945">
        <v>17</v>
      </c>
      <c r="C945" s="55">
        <v>103118</v>
      </c>
      <c r="D945" t="s">
        <v>3097</v>
      </c>
      <c r="E945" t="s">
        <v>59</v>
      </c>
      <c r="F945"/>
      <c r="G945" s="130" t="str">
        <f t="shared" si="14"/>
        <v>資訊二忠</v>
      </c>
    </row>
    <row r="946" spans="1:7">
      <c r="A946" t="s">
        <v>73</v>
      </c>
      <c r="B946">
        <v>18</v>
      </c>
      <c r="C946" s="55">
        <v>103119</v>
      </c>
      <c r="D946" t="s">
        <v>3113</v>
      </c>
      <c r="E946" t="s">
        <v>59</v>
      </c>
      <c r="F946"/>
      <c r="G946" s="130" t="str">
        <f t="shared" si="14"/>
        <v>資訊二忠</v>
      </c>
    </row>
    <row r="947" spans="1:7">
      <c r="A947" t="s">
        <v>73</v>
      </c>
      <c r="B947">
        <v>19</v>
      </c>
      <c r="C947" s="55">
        <v>103120</v>
      </c>
      <c r="D947" t="s">
        <v>3129</v>
      </c>
      <c r="E947" t="s">
        <v>59</v>
      </c>
      <c r="F947"/>
      <c r="G947" s="130" t="str">
        <f t="shared" si="14"/>
        <v>資訊二忠</v>
      </c>
    </row>
    <row r="948" spans="1:7">
      <c r="A948" t="s">
        <v>73</v>
      </c>
      <c r="B948">
        <v>20</v>
      </c>
      <c r="C948" s="55">
        <v>103121</v>
      </c>
      <c r="D948" t="s">
        <v>3147</v>
      </c>
      <c r="E948" t="s">
        <v>59</v>
      </c>
      <c r="F948"/>
      <c r="G948" s="130" t="str">
        <f t="shared" si="14"/>
        <v>資訊二忠</v>
      </c>
    </row>
    <row r="949" spans="1:7">
      <c r="A949" t="s">
        <v>73</v>
      </c>
      <c r="B949">
        <v>21</v>
      </c>
      <c r="C949" s="55">
        <v>103122</v>
      </c>
      <c r="D949" t="s">
        <v>3164</v>
      </c>
      <c r="E949" t="s">
        <v>60</v>
      </c>
      <c r="F949"/>
      <c r="G949" s="130" t="str">
        <f t="shared" si="14"/>
        <v>資訊二忠</v>
      </c>
    </row>
    <row r="950" spans="1:7">
      <c r="A950" t="s">
        <v>73</v>
      </c>
      <c r="B950">
        <v>22</v>
      </c>
      <c r="C950" s="55">
        <v>103123</v>
      </c>
      <c r="D950" t="s">
        <v>3179</v>
      </c>
      <c r="E950" t="s">
        <v>59</v>
      </c>
      <c r="F950"/>
      <c r="G950" s="130" t="str">
        <f t="shared" si="14"/>
        <v>資訊二忠</v>
      </c>
    </row>
    <row r="951" spans="1:7">
      <c r="A951" t="s">
        <v>73</v>
      </c>
      <c r="B951">
        <v>23</v>
      </c>
      <c r="C951" s="55">
        <v>103124</v>
      </c>
      <c r="D951" t="s">
        <v>3197</v>
      </c>
      <c r="E951" t="s">
        <v>59</v>
      </c>
      <c r="F951"/>
      <c r="G951" s="130" t="str">
        <f t="shared" si="14"/>
        <v>資訊二忠</v>
      </c>
    </row>
    <row r="952" spans="1:7">
      <c r="A952" t="s">
        <v>73</v>
      </c>
      <c r="B952">
        <v>24</v>
      </c>
      <c r="C952" s="55">
        <v>103125</v>
      </c>
      <c r="D952" t="s">
        <v>3211</v>
      </c>
      <c r="E952" t="s">
        <v>59</v>
      </c>
      <c r="F952"/>
      <c r="G952" s="130" t="str">
        <f t="shared" si="14"/>
        <v>資訊二忠</v>
      </c>
    </row>
    <row r="953" spans="1:7">
      <c r="A953" t="s">
        <v>73</v>
      </c>
      <c r="B953">
        <v>25</v>
      </c>
      <c r="C953" s="55">
        <v>103126</v>
      </c>
      <c r="D953" t="s">
        <v>3228</v>
      </c>
      <c r="E953" t="s">
        <v>60</v>
      </c>
      <c r="F953"/>
      <c r="G953" s="130" t="str">
        <f t="shared" si="14"/>
        <v>資訊二忠</v>
      </c>
    </row>
    <row r="954" spans="1:7">
      <c r="A954" t="s">
        <v>73</v>
      </c>
      <c r="B954">
        <v>26</v>
      </c>
      <c r="C954" s="55">
        <v>103127</v>
      </c>
      <c r="D954" t="s">
        <v>3245</v>
      </c>
      <c r="E954" t="s">
        <v>59</v>
      </c>
      <c r="F954"/>
      <c r="G954" s="130" t="str">
        <f t="shared" si="14"/>
        <v>資訊二忠</v>
      </c>
    </row>
    <row r="955" spans="1:7">
      <c r="A955" t="s">
        <v>73</v>
      </c>
      <c r="B955">
        <v>27</v>
      </c>
      <c r="C955" s="55">
        <v>103128</v>
      </c>
      <c r="D955" t="s">
        <v>3262</v>
      </c>
      <c r="E955" t="s">
        <v>59</v>
      </c>
      <c r="F955"/>
      <c r="G955" s="130" t="str">
        <f t="shared" si="14"/>
        <v>資訊二忠</v>
      </c>
    </row>
    <row r="956" spans="1:7">
      <c r="A956" t="s">
        <v>73</v>
      </c>
      <c r="B956">
        <v>28</v>
      </c>
      <c r="C956" s="55">
        <v>103129</v>
      </c>
      <c r="D956" t="s">
        <v>3279</v>
      </c>
      <c r="E956" t="s">
        <v>59</v>
      </c>
      <c r="F956"/>
      <c r="G956" s="130" t="str">
        <f t="shared" si="14"/>
        <v>資訊二忠</v>
      </c>
    </row>
    <row r="957" spans="1:7">
      <c r="A957" t="s">
        <v>73</v>
      </c>
      <c r="B957">
        <v>29</v>
      </c>
      <c r="C957" s="55">
        <v>103130</v>
      </c>
      <c r="D957" t="s">
        <v>3296</v>
      </c>
      <c r="E957" t="s">
        <v>59</v>
      </c>
      <c r="F957"/>
      <c r="G957" s="130" t="str">
        <f t="shared" si="14"/>
        <v>資訊二忠</v>
      </c>
    </row>
    <row r="958" spans="1:7">
      <c r="A958" t="s">
        <v>73</v>
      </c>
      <c r="B958">
        <v>30</v>
      </c>
      <c r="C958" s="55">
        <v>103131</v>
      </c>
      <c r="D958" t="s">
        <v>3312</v>
      </c>
      <c r="E958" t="s">
        <v>59</v>
      </c>
      <c r="F958"/>
      <c r="G958" s="130" t="str">
        <f t="shared" si="14"/>
        <v>資訊二忠</v>
      </c>
    </row>
    <row r="959" spans="1:7">
      <c r="A959" t="s">
        <v>73</v>
      </c>
      <c r="B959">
        <v>31</v>
      </c>
      <c r="C959" s="55">
        <v>103132</v>
      </c>
      <c r="D959" t="s">
        <v>3327</v>
      </c>
      <c r="E959" t="s">
        <v>59</v>
      </c>
      <c r="F959"/>
      <c r="G959" s="130" t="str">
        <f t="shared" si="14"/>
        <v>資訊二忠</v>
      </c>
    </row>
    <row r="960" spans="1:7">
      <c r="A960" t="s">
        <v>73</v>
      </c>
      <c r="B960">
        <v>32</v>
      </c>
      <c r="C960" s="55">
        <v>103133</v>
      </c>
      <c r="D960" t="s">
        <v>3340</v>
      </c>
      <c r="E960" t="s">
        <v>59</v>
      </c>
      <c r="F960"/>
      <c r="G960" s="130" t="str">
        <f t="shared" si="14"/>
        <v>資訊二忠</v>
      </c>
    </row>
    <row r="961" spans="1:7">
      <c r="A961" t="s">
        <v>73</v>
      </c>
      <c r="B961">
        <v>33</v>
      </c>
      <c r="C961" s="55">
        <v>103135</v>
      </c>
      <c r="D961" t="s">
        <v>3360</v>
      </c>
      <c r="E961" t="s">
        <v>60</v>
      </c>
      <c r="F961"/>
      <c r="G961" s="130" t="str">
        <f t="shared" si="14"/>
        <v>資訊二忠</v>
      </c>
    </row>
    <row r="962" spans="1:7">
      <c r="A962" t="s">
        <v>73</v>
      </c>
      <c r="B962">
        <v>34</v>
      </c>
      <c r="C962" s="55" t="s">
        <v>1695</v>
      </c>
      <c r="D962" t="s">
        <v>1696</v>
      </c>
      <c r="E962" t="s">
        <v>59</v>
      </c>
      <c r="F962"/>
      <c r="G962" s="130" t="str">
        <f t="shared" si="14"/>
        <v>資訊二忠</v>
      </c>
    </row>
    <row r="963" spans="1:7">
      <c r="A963" t="s">
        <v>74</v>
      </c>
      <c r="B963">
        <v>1</v>
      </c>
      <c r="C963" s="55">
        <v>103201</v>
      </c>
      <c r="D963" t="s">
        <v>2764</v>
      </c>
      <c r="E963" t="s">
        <v>59</v>
      </c>
      <c r="F963"/>
      <c r="G963" s="130" t="str">
        <f t="shared" ref="G963:G1026" si="15">A963&amp;F963</f>
        <v>資訊二孝</v>
      </c>
    </row>
    <row r="964" spans="1:7">
      <c r="A964" t="s">
        <v>74</v>
      </c>
      <c r="B964">
        <v>2</v>
      </c>
      <c r="C964" s="55">
        <v>103202</v>
      </c>
      <c r="D964" t="s">
        <v>2783</v>
      </c>
      <c r="E964" t="s">
        <v>59</v>
      </c>
      <c r="F964"/>
      <c r="G964" s="130" t="str">
        <f t="shared" si="15"/>
        <v>資訊二孝</v>
      </c>
    </row>
    <row r="965" spans="1:7">
      <c r="A965" t="s">
        <v>74</v>
      </c>
      <c r="B965">
        <v>3</v>
      </c>
      <c r="C965" s="55">
        <v>103203</v>
      </c>
      <c r="D965" t="s">
        <v>2802</v>
      </c>
      <c r="E965" t="s">
        <v>59</v>
      </c>
      <c r="F965"/>
      <c r="G965" s="130" t="str">
        <f t="shared" si="15"/>
        <v>資訊二孝</v>
      </c>
    </row>
    <row r="966" spans="1:7">
      <c r="A966" t="s">
        <v>74</v>
      </c>
      <c r="B966">
        <v>4</v>
      </c>
      <c r="C966" s="55">
        <v>103204</v>
      </c>
      <c r="D966" t="s">
        <v>2821</v>
      </c>
      <c r="E966" t="s">
        <v>59</v>
      </c>
      <c r="F966"/>
      <c r="G966" s="130" t="str">
        <f t="shared" si="15"/>
        <v>資訊二孝</v>
      </c>
    </row>
    <row r="967" spans="1:7">
      <c r="A967" t="s">
        <v>74</v>
      </c>
      <c r="B967">
        <v>5</v>
      </c>
      <c r="C967" s="55">
        <v>103205</v>
      </c>
      <c r="D967" t="s">
        <v>2839</v>
      </c>
      <c r="E967" t="s">
        <v>59</v>
      </c>
      <c r="F967"/>
      <c r="G967" s="130" t="str">
        <f t="shared" si="15"/>
        <v>資訊二孝</v>
      </c>
    </row>
    <row r="968" spans="1:7">
      <c r="A968" t="s">
        <v>74</v>
      </c>
      <c r="B968">
        <v>6</v>
      </c>
      <c r="C968" s="55">
        <v>103206</v>
      </c>
      <c r="D968" t="s">
        <v>2859</v>
      </c>
      <c r="E968" t="s">
        <v>59</v>
      </c>
      <c r="F968"/>
      <c r="G968" s="130" t="str">
        <f t="shared" si="15"/>
        <v>資訊二孝</v>
      </c>
    </row>
    <row r="969" spans="1:7">
      <c r="A969" t="s">
        <v>74</v>
      </c>
      <c r="B969">
        <v>7</v>
      </c>
      <c r="C969" s="55">
        <v>103207</v>
      </c>
      <c r="D969" t="s">
        <v>2878</v>
      </c>
      <c r="E969" t="s">
        <v>59</v>
      </c>
      <c r="F969"/>
      <c r="G969" s="130" t="str">
        <f t="shared" si="15"/>
        <v>資訊二孝</v>
      </c>
    </row>
    <row r="970" spans="1:7">
      <c r="A970" t="s">
        <v>74</v>
      </c>
      <c r="B970">
        <v>8</v>
      </c>
      <c r="C970" s="55">
        <v>103208</v>
      </c>
      <c r="D970" t="s">
        <v>2898</v>
      </c>
      <c r="E970" t="s">
        <v>59</v>
      </c>
      <c r="F970"/>
      <c r="G970" s="130" t="str">
        <f t="shared" si="15"/>
        <v>資訊二孝</v>
      </c>
    </row>
    <row r="971" spans="1:7">
      <c r="A971" t="s">
        <v>74</v>
      </c>
      <c r="B971">
        <v>9</v>
      </c>
      <c r="C971" s="55">
        <v>103209</v>
      </c>
      <c r="D971" t="s">
        <v>2916</v>
      </c>
      <c r="E971" t="s">
        <v>59</v>
      </c>
      <c r="F971"/>
      <c r="G971" s="130" t="str">
        <f t="shared" si="15"/>
        <v>資訊二孝</v>
      </c>
    </row>
    <row r="972" spans="1:7">
      <c r="A972" t="s">
        <v>74</v>
      </c>
      <c r="B972">
        <v>10</v>
      </c>
      <c r="C972" s="55">
        <v>103210</v>
      </c>
      <c r="D972" t="s">
        <v>2934</v>
      </c>
      <c r="E972" t="s">
        <v>59</v>
      </c>
      <c r="F972"/>
      <c r="G972" s="130" t="str">
        <f t="shared" si="15"/>
        <v>資訊二孝</v>
      </c>
    </row>
    <row r="973" spans="1:7">
      <c r="A973" t="s">
        <v>74</v>
      </c>
      <c r="B973">
        <v>11</v>
      </c>
      <c r="C973" s="55">
        <v>103211</v>
      </c>
      <c r="D973" t="s">
        <v>2953</v>
      </c>
      <c r="E973" t="s">
        <v>59</v>
      </c>
      <c r="F973"/>
      <c r="G973" s="130" t="str">
        <f t="shared" si="15"/>
        <v>資訊二孝</v>
      </c>
    </row>
    <row r="974" spans="1:7">
      <c r="A974" t="s">
        <v>74</v>
      </c>
      <c r="B974">
        <v>12</v>
      </c>
      <c r="C974" s="55">
        <v>103212</v>
      </c>
      <c r="D974" t="s">
        <v>2972</v>
      </c>
      <c r="E974" t="s">
        <v>59</v>
      </c>
      <c r="F974"/>
      <c r="G974" s="130" t="str">
        <f t="shared" si="15"/>
        <v>資訊二孝</v>
      </c>
    </row>
    <row r="975" spans="1:7">
      <c r="A975" t="s">
        <v>74</v>
      </c>
      <c r="B975">
        <v>13</v>
      </c>
      <c r="C975" s="55">
        <v>103213</v>
      </c>
      <c r="D975" t="s">
        <v>2991</v>
      </c>
      <c r="E975" t="s">
        <v>59</v>
      </c>
      <c r="F975"/>
      <c r="G975" s="130" t="str">
        <f t="shared" si="15"/>
        <v>資訊二孝</v>
      </c>
    </row>
    <row r="976" spans="1:7">
      <c r="A976" t="s">
        <v>74</v>
      </c>
      <c r="B976">
        <v>14</v>
      </c>
      <c r="C976" s="55">
        <v>103215</v>
      </c>
      <c r="D976" t="s">
        <v>3029</v>
      </c>
      <c r="E976" t="s">
        <v>59</v>
      </c>
      <c r="F976"/>
      <c r="G976" s="130" t="str">
        <f t="shared" si="15"/>
        <v>資訊二孝</v>
      </c>
    </row>
    <row r="977" spans="1:7">
      <c r="A977" t="s">
        <v>74</v>
      </c>
      <c r="B977">
        <v>15</v>
      </c>
      <c r="C977" s="55">
        <v>103216</v>
      </c>
      <c r="D977" t="s">
        <v>3045</v>
      </c>
      <c r="E977" t="s">
        <v>59</v>
      </c>
      <c r="F977"/>
      <c r="G977" s="130" t="str">
        <f t="shared" si="15"/>
        <v>資訊二孝</v>
      </c>
    </row>
    <row r="978" spans="1:7">
      <c r="A978" t="s">
        <v>74</v>
      </c>
      <c r="B978">
        <v>16</v>
      </c>
      <c r="C978" s="55">
        <v>103218</v>
      </c>
      <c r="D978" t="s">
        <v>3081</v>
      </c>
      <c r="E978" t="s">
        <v>59</v>
      </c>
      <c r="F978"/>
      <c r="G978" s="130" t="str">
        <f t="shared" si="15"/>
        <v>資訊二孝</v>
      </c>
    </row>
    <row r="979" spans="1:7">
      <c r="A979" t="s">
        <v>74</v>
      </c>
      <c r="B979">
        <v>17</v>
      </c>
      <c r="C979" s="55">
        <v>103219</v>
      </c>
      <c r="D979" t="s">
        <v>3098</v>
      </c>
      <c r="E979" t="s">
        <v>59</v>
      </c>
      <c r="F979"/>
      <c r="G979" s="130" t="str">
        <f t="shared" si="15"/>
        <v>資訊二孝</v>
      </c>
    </row>
    <row r="980" spans="1:7">
      <c r="A980" t="s">
        <v>74</v>
      </c>
      <c r="B980">
        <v>18</v>
      </c>
      <c r="C980" s="55">
        <v>103220</v>
      </c>
      <c r="D980" t="s">
        <v>3114</v>
      </c>
      <c r="E980" t="s">
        <v>59</v>
      </c>
      <c r="F980"/>
      <c r="G980" s="130" t="str">
        <f t="shared" si="15"/>
        <v>資訊二孝</v>
      </c>
    </row>
    <row r="981" spans="1:7">
      <c r="A981" t="s">
        <v>74</v>
      </c>
      <c r="B981">
        <v>19</v>
      </c>
      <c r="C981" s="55">
        <v>103221</v>
      </c>
      <c r="D981" t="s">
        <v>3130</v>
      </c>
      <c r="E981" t="s">
        <v>59</v>
      </c>
      <c r="F981"/>
      <c r="G981" s="130" t="str">
        <f t="shared" si="15"/>
        <v>資訊二孝</v>
      </c>
    </row>
    <row r="982" spans="1:7">
      <c r="A982" t="s">
        <v>74</v>
      </c>
      <c r="B982">
        <v>20</v>
      </c>
      <c r="C982" s="55">
        <v>103222</v>
      </c>
      <c r="D982" t="s">
        <v>3148</v>
      </c>
      <c r="E982" t="s">
        <v>59</v>
      </c>
      <c r="F982"/>
      <c r="G982" s="130" t="str">
        <f t="shared" si="15"/>
        <v>資訊二孝</v>
      </c>
    </row>
    <row r="983" spans="1:7">
      <c r="A983" t="s">
        <v>74</v>
      </c>
      <c r="B983">
        <v>21</v>
      </c>
      <c r="C983" s="55">
        <v>103223</v>
      </c>
      <c r="D983" t="s">
        <v>3131</v>
      </c>
      <c r="E983" t="s">
        <v>59</v>
      </c>
      <c r="F983"/>
      <c r="G983" s="130" t="str">
        <f t="shared" si="15"/>
        <v>資訊二孝</v>
      </c>
    </row>
    <row r="984" spans="1:7">
      <c r="A984" t="s">
        <v>74</v>
      </c>
      <c r="B984">
        <v>22</v>
      </c>
      <c r="C984" s="55">
        <v>103224</v>
      </c>
      <c r="D984" t="s">
        <v>3180</v>
      </c>
      <c r="E984" t="s">
        <v>59</v>
      </c>
      <c r="F984"/>
      <c r="G984" s="130" t="str">
        <f t="shared" si="15"/>
        <v>資訊二孝</v>
      </c>
    </row>
    <row r="985" spans="1:7">
      <c r="A985" t="s">
        <v>74</v>
      </c>
      <c r="B985">
        <v>23</v>
      </c>
      <c r="C985" s="55">
        <v>103225</v>
      </c>
      <c r="D985" t="s">
        <v>3198</v>
      </c>
      <c r="E985" t="s">
        <v>59</v>
      </c>
      <c r="F985"/>
      <c r="G985" s="130" t="str">
        <f t="shared" si="15"/>
        <v>資訊二孝</v>
      </c>
    </row>
    <row r="986" spans="1:7">
      <c r="A986" t="s">
        <v>74</v>
      </c>
      <c r="B986">
        <v>24</v>
      </c>
      <c r="C986" s="55">
        <v>103226</v>
      </c>
      <c r="D986" t="s">
        <v>3212</v>
      </c>
      <c r="E986" t="s">
        <v>59</v>
      </c>
      <c r="F986"/>
      <c r="G986" s="130" t="str">
        <f t="shared" si="15"/>
        <v>資訊二孝</v>
      </c>
    </row>
    <row r="987" spans="1:7">
      <c r="A987" t="s">
        <v>74</v>
      </c>
      <c r="B987">
        <v>25</v>
      </c>
      <c r="C987" s="55">
        <v>103227</v>
      </c>
      <c r="D987" t="s">
        <v>3229</v>
      </c>
      <c r="E987" t="s">
        <v>59</v>
      </c>
      <c r="F987"/>
      <c r="G987" s="130" t="str">
        <f t="shared" si="15"/>
        <v>資訊二孝</v>
      </c>
    </row>
    <row r="988" spans="1:7">
      <c r="A988" t="s">
        <v>74</v>
      </c>
      <c r="B988">
        <v>26</v>
      </c>
      <c r="C988" s="55">
        <v>103228</v>
      </c>
      <c r="D988" t="s">
        <v>3246</v>
      </c>
      <c r="E988" t="s">
        <v>60</v>
      </c>
      <c r="F988"/>
      <c r="G988" s="130" t="str">
        <f t="shared" si="15"/>
        <v>資訊二孝</v>
      </c>
    </row>
    <row r="989" spans="1:7">
      <c r="A989" t="s">
        <v>74</v>
      </c>
      <c r="B989">
        <v>27</v>
      </c>
      <c r="C989" s="55">
        <v>103229</v>
      </c>
      <c r="D989" t="s">
        <v>3263</v>
      </c>
      <c r="E989" t="s">
        <v>60</v>
      </c>
      <c r="F989"/>
      <c r="G989" s="130" t="str">
        <f t="shared" si="15"/>
        <v>資訊二孝</v>
      </c>
    </row>
    <row r="990" spans="1:7">
      <c r="A990" t="s">
        <v>74</v>
      </c>
      <c r="B990">
        <v>28</v>
      </c>
      <c r="C990" s="55">
        <v>103231</v>
      </c>
      <c r="D990" t="s">
        <v>3297</v>
      </c>
      <c r="E990" t="s">
        <v>60</v>
      </c>
      <c r="F990"/>
      <c r="G990" s="130" t="str">
        <f t="shared" si="15"/>
        <v>資訊二孝</v>
      </c>
    </row>
    <row r="991" spans="1:7">
      <c r="A991" t="s">
        <v>74</v>
      </c>
      <c r="B991">
        <v>29</v>
      </c>
      <c r="C991" s="55">
        <v>103232</v>
      </c>
      <c r="D991" t="s">
        <v>3313</v>
      </c>
      <c r="E991" t="s">
        <v>59</v>
      </c>
      <c r="F991"/>
      <c r="G991" s="130" t="str">
        <f t="shared" si="15"/>
        <v>資訊二孝</v>
      </c>
    </row>
    <row r="992" spans="1:7">
      <c r="A992" t="s">
        <v>74</v>
      </c>
      <c r="B992">
        <v>30</v>
      </c>
      <c r="C992" s="55">
        <v>103233</v>
      </c>
      <c r="D992" t="s">
        <v>3328</v>
      </c>
      <c r="E992" t="s">
        <v>60</v>
      </c>
      <c r="F992"/>
      <c r="G992" s="130" t="str">
        <f t="shared" si="15"/>
        <v>資訊二孝</v>
      </c>
    </row>
    <row r="993" spans="1:7">
      <c r="A993" t="s">
        <v>74</v>
      </c>
      <c r="B993">
        <v>31</v>
      </c>
      <c r="C993" s="55">
        <v>103234</v>
      </c>
      <c r="D993" t="s">
        <v>3341</v>
      </c>
      <c r="E993" t="s">
        <v>59</v>
      </c>
      <c r="F993"/>
      <c r="G993" s="130" t="str">
        <f t="shared" si="15"/>
        <v>資訊二孝</v>
      </c>
    </row>
    <row r="994" spans="1:7">
      <c r="A994" t="s">
        <v>74</v>
      </c>
      <c r="B994">
        <v>32</v>
      </c>
      <c r="C994" s="55">
        <v>103235</v>
      </c>
      <c r="D994" t="s">
        <v>3351</v>
      </c>
      <c r="E994" t="s">
        <v>59</v>
      </c>
      <c r="F994"/>
      <c r="G994" s="130" t="str">
        <f t="shared" si="15"/>
        <v>資訊二孝</v>
      </c>
    </row>
    <row r="995" spans="1:7">
      <c r="A995" t="s">
        <v>74</v>
      </c>
      <c r="B995">
        <v>33</v>
      </c>
      <c r="C995" s="55">
        <v>103236</v>
      </c>
      <c r="D995" t="s">
        <v>3361</v>
      </c>
      <c r="E995" t="s">
        <v>60</v>
      </c>
      <c r="F995"/>
      <c r="G995" s="130" t="str">
        <f t="shared" si="15"/>
        <v>資訊二孝</v>
      </c>
    </row>
    <row r="996" spans="1:7">
      <c r="A996" t="s">
        <v>74</v>
      </c>
      <c r="B996">
        <v>34</v>
      </c>
      <c r="C996" s="55">
        <v>103237</v>
      </c>
      <c r="D996" t="s">
        <v>3368</v>
      </c>
      <c r="E996" t="s">
        <v>59</v>
      </c>
      <c r="F996"/>
      <c r="G996" s="130" t="str">
        <f t="shared" si="15"/>
        <v>資訊二孝</v>
      </c>
    </row>
    <row r="997" spans="1:7">
      <c r="A997" t="s">
        <v>75</v>
      </c>
      <c r="B997">
        <v>1</v>
      </c>
      <c r="C997" s="55">
        <v>103301</v>
      </c>
      <c r="D997" t="s">
        <v>2765</v>
      </c>
      <c r="E997" t="s">
        <v>59</v>
      </c>
      <c r="F997"/>
      <c r="G997" s="130" t="str">
        <f t="shared" si="15"/>
        <v>資訊二仁</v>
      </c>
    </row>
    <row r="998" spans="1:7">
      <c r="A998" t="s">
        <v>75</v>
      </c>
      <c r="B998">
        <v>2</v>
      </c>
      <c r="C998" s="55">
        <v>103302</v>
      </c>
      <c r="D998" t="s">
        <v>2784</v>
      </c>
      <c r="E998" t="s">
        <v>59</v>
      </c>
      <c r="F998"/>
      <c r="G998" s="130" t="str">
        <f t="shared" si="15"/>
        <v>資訊二仁</v>
      </c>
    </row>
    <row r="999" spans="1:7">
      <c r="A999" t="s">
        <v>75</v>
      </c>
      <c r="B999">
        <v>3</v>
      </c>
      <c r="C999" s="55">
        <v>103303</v>
      </c>
      <c r="D999" t="s">
        <v>2803</v>
      </c>
      <c r="E999" t="s">
        <v>59</v>
      </c>
      <c r="F999"/>
      <c r="G999" s="130" t="str">
        <f t="shared" si="15"/>
        <v>資訊二仁</v>
      </c>
    </row>
    <row r="1000" spans="1:7">
      <c r="A1000" t="s">
        <v>75</v>
      </c>
      <c r="B1000">
        <v>4</v>
      </c>
      <c r="C1000" s="55">
        <v>103304</v>
      </c>
      <c r="D1000" t="s">
        <v>2822</v>
      </c>
      <c r="E1000" t="s">
        <v>59</v>
      </c>
      <c r="F1000"/>
      <c r="G1000" s="130" t="str">
        <f t="shared" si="15"/>
        <v>資訊二仁</v>
      </c>
    </row>
    <row r="1001" spans="1:7">
      <c r="A1001" t="s">
        <v>75</v>
      </c>
      <c r="B1001">
        <v>5</v>
      </c>
      <c r="C1001" s="55">
        <v>103305</v>
      </c>
      <c r="D1001" t="s">
        <v>2840</v>
      </c>
      <c r="E1001" t="s">
        <v>59</v>
      </c>
      <c r="F1001"/>
      <c r="G1001" s="130" t="str">
        <f t="shared" si="15"/>
        <v>資訊二仁</v>
      </c>
    </row>
    <row r="1002" spans="1:7">
      <c r="A1002" t="s">
        <v>75</v>
      </c>
      <c r="B1002">
        <v>6</v>
      </c>
      <c r="C1002" s="55">
        <v>103306</v>
      </c>
      <c r="D1002" t="s">
        <v>2860</v>
      </c>
      <c r="E1002" t="s">
        <v>59</v>
      </c>
      <c r="F1002"/>
      <c r="G1002" s="130" t="str">
        <f t="shared" si="15"/>
        <v>資訊二仁</v>
      </c>
    </row>
    <row r="1003" spans="1:7">
      <c r="A1003" t="s">
        <v>75</v>
      </c>
      <c r="B1003">
        <v>7</v>
      </c>
      <c r="C1003" s="55">
        <v>103307</v>
      </c>
      <c r="D1003" t="s">
        <v>2879</v>
      </c>
      <c r="E1003" t="s">
        <v>60</v>
      </c>
      <c r="F1003"/>
      <c r="G1003" s="130" t="str">
        <f t="shared" si="15"/>
        <v>資訊二仁</v>
      </c>
    </row>
    <row r="1004" spans="1:7">
      <c r="A1004" t="s">
        <v>75</v>
      </c>
      <c r="B1004">
        <v>8</v>
      </c>
      <c r="C1004" s="55">
        <v>103308</v>
      </c>
      <c r="D1004" t="s">
        <v>2899</v>
      </c>
      <c r="E1004" t="s">
        <v>59</v>
      </c>
      <c r="F1004"/>
      <c r="G1004" s="130" t="str">
        <f t="shared" si="15"/>
        <v>資訊二仁</v>
      </c>
    </row>
    <row r="1005" spans="1:7">
      <c r="A1005" t="s">
        <v>75</v>
      </c>
      <c r="B1005">
        <v>9</v>
      </c>
      <c r="C1005" s="55">
        <v>103309</v>
      </c>
      <c r="D1005" t="s">
        <v>2917</v>
      </c>
      <c r="E1005" t="s">
        <v>59</v>
      </c>
      <c r="F1005"/>
      <c r="G1005" s="130" t="str">
        <f t="shared" si="15"/>
        <v>資訊二仁</v>
      </c>
    </row>
    <row r="1006" spans="1:7">
      <c r="A1006" t="s">
        <v>75</v>
      </c>
      <c r="B1006">
        <v>10</v>
      </c>
      <c r="C1006" s="55">
        <v>103310</v>
      </c>
      <c r="D1006" t="s">
        <v>2935</v>
      </c>
      <c r="E1006" t="s">
        <v>59</v>
      </c>
      <c r="F1006"/>
      <c r="G1006" s="130" t="str">
        <f t="shared" si="15"/>
        <v>資訊二仁</v>
      </c>
    </row>
    <row r="1007" spans="1:7">
      <c r="A1007" t="s">
        <v>75</v>
      </c>
      <c r="B1007">
        <v>11</v>
      </c>
      <c r="C1007" s="55">
        <v>103311</v>
      </c>
      <c r="D1007" t="s">
        <v>2954</v>
      </c>
      <c r="E1007" t="s">
        <v>59</v>
      </c>
      <c r="F1007"/>
      <c r="G1007" s="130" t="str">
        <f t="shared" si="15"/>
        <v>資訊二仁</v>
      </c>
    </row>
    <row r="1008" spans="1:7">
      <c r="A1008" t="s">
        <v>75</v>
      </c>
      <c r="B1008">
        <v>12</v>
      </c>
      <c r="C1008" s="55">
        <v>103312</v>
      </c>
      <c r="D1008" t="s">
        <v>2973</v>
      </c>
      <c r="E1008" t="s">
        <v>59</v>
      </c>
      <c r="F1008"/>
      <c r="G1008" s="130" t="str">
        <f t="shared" si="15"/>
        <v>資訊二仁</v>
      </c>
    </row>
    <row r="1009" spans="1:7">
      <c r="A1009" t="s">
        <v>75</v>
      </c>
      <c r="B1009">
        <v>13</v>
      </c>
      <c r="C1009" s="55">
        <v>103314</v>
      </c>
      <c r="D1009" t="s">
        <v>3011</v>
      </c>
      <c r="E1009" t="s">
        <v>59</v>
      </c>
      <c r="F1009"/>
      <c r="G1009" s="130" t="str">
        <f t="shared" si="15"/>
        <v>資訊二仁</v>
      </c>
    </row>
    <row r="1010" spans="1:7">
      <c r="A1010" t="s">
        <v>75</v>
      </c>
      <c r="B1010">
        <v>14</v>
      </c>
      <c r="C1010" s="55">
        <v>103315</v>
      </c>
      <c r="D1010" t="s">
        <v>3030</v>
      </c>
      <c r="E1010" t="s">
        <v>59</v>
      </c>
      <c r="F1010"/>
      <c r="G1010" s="130" t="str">
        <f t="shared" si="15"/>
        <v>資訊二仁</v>
      </c>
    </row>
    <row r="1011" spans="1:7">
      <c r="A1011" t="s">
        <v>75</v>
      </c>
      <c r="B1011">
        <v>15</v>
      </c>
      <c r="C1011" s="55">
        <v>103316</v>
      </c>
      <c r="D1011" t="s">
        <v>3046</v>
      </c>
      <c r="E1011" t="s">
        <v>59</v>
      </c>
      <c r="F1011"/>
      <c r="G1011" s="130" t="str">
        <f t="shared" si="15"/>
        <v>資訊二仁</v>
      </c>
    </row>
    <row r="1012" spans="1:7">
      <c r="A1012" t="s">
        <v>75</v>
      </c>
      <c r="B1012">
        <v>16</v>
      </c>
      <c r="C1012" s="55">
        <v>103317</v>
      </c>
      <c r="D1012" t="s">
        <v>3064</v>
      </c>
      <c r="E1012" t="s">
        <v>59</v>
      </c>
      <c r="F1012"/>
      <c r="G1012" s="130" t="str">
        <f t="shared" si="15"/>
        <v>資訊二仁</v>
      </c>
    </row>
    <row r="1013" spans="1:7">
      <c r="A1013" t="s">
        <v>75</v>
      </c>
      <c r="B1013">
        <v>17</v>
      </c>
      <c r="C1013" s="55">
        <v>103318</v>
      </c>
      <c r="D1013" t="s">
        <v>3082</v>
      </c>
      <c r="E1013" t="s">
        <v>59</v>
      </c>
      <c r="F1013"/>
      <c r="G1013" s="130" t="str">
        <f t="shared" si="15"/>
        <v>資訊二仁</v>
      </c>
    </row>
    <row r="1014" spans="1:7">
      <c r="A1014" t="s">
        <v>75</v>
      </c>
      <c r="B1014">
        <v>18</v>
      </c>
      <c r="C1014" s="55">
        <v>103319</v>
      </c>
      <c r="D1014" t="s">
        <v>3073</v>
      </c>
      <c r="E1014" t="s">
        <v>59</v>
      </c>
      <c r="F1014"/>
      <c r="G1014" s="130" t="str">
        <f t="shared" si="15"/>
        <v>資訊二仁</v>
      </c>
    </row>
    <row r="1015" spans="1:7">
      <c r="A1015" t="s">
        <v>75</v>
      </c>
      <c r="B1015">
        <v>19</v>
      </c>
      <c r="C1015" s="55">
        <v>103320</v>
      </c>
      <c r="D1015" t="s">
        <v>3106</v>
      </c>
      <c r="E1015" t="s">
        <v>59</v>
      </c>
      <c r="F1015"/>
      <c r="G1015" s="130" t="str">
        <f t="shared" si="15"/>
        <v>資訊二仁</v>
      </c>
    </row>
    <row r="1016" spans="1:7">
      <c r="A1016" t="s">
        <v>75</v>
      </c>
      <c r="B1016">
        <v>20</v>
      </c>
      <c r="C1016" s="55">
        <v>103321</v>
      </c>
      <c r="D1016" t="s">
        <v>3131</v>
      </c>
      <c r="E1016" t="s">
        <v>59</v>
      </c>
      <c r="F1016"/>
      <c r="G1016" s="130" t="str">
        <f t="shared" si="15"/>
        <v>資訊二仁</v>
      </c>
    </row>
    <row r="1017" spans="1:7">
      <c r="A1017" t="s">
        <v>75</v>
      </c>
      <c r="B1017">
        <v>21</v>
      </c>
      <c r="C1017" s="55">
        <v>103322</v>
      </c>
      <c r="D1017" t="s">
        <v>3149</v>
      </c>
      <c r="E1017" t="s">
        <v>59</v>
      </c>
      <c r="F1017"/>
      <c r="G1017" s="130" t="str">
        <f t="shared" si="15"/>
        <v>資訊二仁</v>
      </c>
    </row>
    <row r="1018" spans="1:7">
      <c r="A1018" t="s">
        <v>75</v>
      </c>
      <c r="B1018">
        <v>22</v>
      </c>
      <c r="C1018" s="55">
        <v>103323</v>
      </c>
      <c r="D1018" t="s">
        <v>119</v>
      </c>
      <c r="E1018" t="s">
        <v>59</v>
      </c>
      <c r="F1018"/>
      <c r="G1018" s="130" t="str">
        <f t="shared" si="15"/>
        <v>資訊二仁</v>
      </c>
    </row>
    <row r="1019" spans="1:7">
      <c r="A1019" t="s">
        <v>75</v>
      </c>
      <c r="B1019">
        <v>23</v>
      </c>
      <c r="C1019" s="55">
        <v>103324</v>
      </c>
      <c r="D1019" t="s">
        <v>3181</v>
      </c>
      <c r="E1019" t="s">
        <v>59</v>
      </c>
      <c r="F1019"/>
      <c r="G1019" s="130" t="str">
        <f t="shared" si="15"/>
        <v>資訊二仁</v>
      </c>
    </row>
    <row r="1020" spans="1:7">
      <c r="A1020" t="s">
        <v>75</v>
      </c>
      <c r="B1020">
        <v>24</v>
      </c>
      <c r="C1020" s="55">
        <v>103325</v>
      </c>
      <c r="D1020" t="s">
        <v>3199</v>
      </c>
      <c r="E1020" t="s">
        <v>59</v>
      </c>
      <c r="F1020"/>
      <c r="G1020" s="130" t="str">
        <f t="shared" si="15"/>
        <v>資訊二仁</v>
      </c>
    </row>
    <row r="1021" spans="1:7">
      <c r="A1021" t="s">
        <v>75</v>
      </c>
      <c r="B1021">
        <v>25</v>
      </c>
      <c r="C1021" s="55">
        <v>103326</v>
      </c>
      <c r="D1021" t="s">
        <v>3213</v>
      </c>
      <c r="E1021" t="s">
        <v>59</v>
      </c>
      <c r="F1021"/>
      <c r="G1021" s="130" t="str">
        <f t="shared" si="15"/>
        <v>資訊二仁</v>
      </c>
    </row>
    <row r="1022" spans="1:7">
      <c r="A1022" t="s">
        <v>75</v>
      </c>
      <c r="B1022">
        <v>26</v>
      </c>
      <c r="C1022" s="55">
        <v>103327</v>
      </c>
      <c r="D1022" t="s">
        <v>3230</v>
      </c>
      <c r="E1022" t="s">
        <v>60</v>
      </c>
      <c r="F1022"/>
      <c r="G1022" s="130" t="str">
        <f t="shared" si="15"/>
        <v>資訊二仁</v>
      </c>
    </row>
    <row r="1023" spans="1:7">
      <c r="A1023" t="s">
        <v>75</v>
      </c>
      <c r="B1023">
        <v>27</v>
      </c>
      <c r="C1023" s="55">
        <v>103328</v>
      </c>
      <c r="D1023" t="s">
        <v>3247</v>
      </c>
      <c r="E1023" t="s">
        <v>59</v>
      </c>
      <c r="F1023"/>
      <c r="G1023" s="130" t="str">
        <f t="shared" si="15"/>
        <v>資訊二仁</v>
      </c>
    </row>
    <row r="1024" spans="1:7">
      <c r="A1024" t="s">
        <v>75</v>
      </c>
      <c r="B1024">
        <v>28</v>
      </c>
      <c r="C1024" s="55">
        <v>103329</v>
      </c>
      <c r="D1024" t="s">
        <v>3264</v>
      </c>
      <c r="E1024" t="s">
        <v>60</v>
      </c>
      <c r="F1024"/>
      <c r="G1024" s="130" t="str">
        <f t="shared" si="15"/>
        <v>資訊二仁</v>
      </c>
    </row>
    <row r="1025" spans="1:7">
      <c r="A1025" t="s">
        <v>75</v>
      </c>
      <c r="B1025">
        <v>29</v>
      </c>
      <c r="C1025" s="55">
        <v>103330</v>
      </c>
      <c r="D1025" t="s">
        <v>3281</v>
      </c>
      <c r="E1025" t="s">
        <v>59</v>
      </c>
      <c r="F1025"/>
      <c r="G1025" s="130" t="str">
        <f t="shared" si="15"/>
        <v>資訊二仁</v>
      </c>
    </row>
    <row r="1026" spans="1:7">
      <c r="A1026" t="s">
        <v>75</v>
      </c>
      <c r="B1026">
        <v>30</v>
      </c>
      <c r="C1026" s="55">
        <v>103331</v>
      </c>
      <c r="D1026" t="s">
        <v>3298</v>
      </c>
      <c r="E1026" t="s">
        <v>59</v>
      </c>
      <c r="F1026"/>
      <c r="G1026" s="130" t="str">
        <f t="shared" si="15"/>
        <v>資訊二仁</v>
      </c>
    </row>
    <row r="1027" spans="1:7">
      <c r="A1027" t="s">
        <v>75</v>
      </c>
      <c r="B1027">
        <v>31</v>
      </c>
      <c r="C1027" s="55">
        <v>103332</v>
      </c>
      <c r="D1027" t="s">
        <v>3314</v>
      </c>
      <c r="E1027" t="s">
        <v>59</v>
      </c>
      <c r="F1027"/>
      <c r="G1027" s="130" t="str">
        <f t="shared" ref="G1027:G1090" si="16">A1027&amp;F1027</f>
        <v>資訊二仁</v>
      </c>
    </row>
    <row r="1028" spans="1:7">
      <c r="A1028" t="s">
        <v>75</v>
      </c>
      <c r="B1028">
        <v>32</v>
      </c>
      <c r="C1028" s="55">
        <v>103333</v>
      </c>
      <c r="D1028" t="s">
        <v>3329</v>
      </c>
      <c r="E1028" t="s">
        <v>59</v>
      </c>
      <c r="F1028"/>
      <c r="G1028" s="130" t="str">
        <f t="shared" si="16"/>
        <v>資訊二仁</v>
      </c>
    </row>
    <row r="1029" spans="1:7">
      <c r="A1029" t="s">
        <v>75</v>
      </c>
      <c r="B1029">
        <v>33</v>
      </c>
      <c r="C1029" s="55">
        <v>103334</v>
      </c>
      <c r="D1029" t="s">
        <v>3342</v>
      </c>
      <c r="E1029" t="s">
        <v>60</v>
      </c>
      <c r="F1029"/>
      <c r="G1029" s="130" t="str">
        <f t="shared" si="16"/>
        <v>資訊二仁</v>
      </c>
    </row>
    <row r="1030" spans="1:7">
      <c r="A1030" t="s">
        <v>75</v>
      </c>
      <c r="B1030">
        <v>34</v>
      </c>
      <c r="C1030" s="55">
        <v>103336</v>
      </c>
      <c r="D1030" t="s">
        <v>3362</v>
      </c>
      <c r="E1030" t="s">
        <v>60</v>
      </c>
      <c r="F1030"/>
      <c r="G1030" s="130" t="str">
        <f t="shared" si="16"/>
        <v>資訊二仁</v>
      </c>
    </row>
    <row r="1031" spans="1:7">
      <c r="A1031" t="s">
        <v>76</v>
      </c>
      <c r="B1031">
        <v>1</v>
      </c>
      <c r="C1031" s="55">
        <v>104101</v>
      </c>
      <c r="D1031" t="s">
        <v>2766</v>
      </c>
      <c r="E1031" t="s">
        <v>59</v>
      </c>
      <c r="F1031"/>
      <c r="G1031" s="130" t="str">
        <f t="shared" si="16"/>
        <v>控制二忠</v>
      </c>
    </row>
    <row r="1032" spans="1:7">
      <c r="A1032" t="s">
        <v>76</v>
      </c>
      <c r="B1032">
        <v>2</v>
      </c>
      <c r="C1032" s="55">
        <v>104102</v>
      </c>
      <c r="D1032" t="s">
        <v>2785</v>
      </c>
      <c r="E1032" t="s">
        <v>59</v>
      </c>
      <c r="F1032"/>
      <c r="G1032" s="130" t="str">
        <f t="shared" si="16"/>
        <v>控制二忠</v>
      </c>
    </row>
    <row r="1033" spans="1:7">
      <c r="A1033" t="s">
        <v>76</v>
      </c>
      <c r="B1033">
        <v>3</v>
      </c>
      <c r="C1033" s="55">
        <v>104104</v>
      </c>
      <c r="D1033" t="s">
        <v>2823</v>
      </c>
      <c r="E1033" t="s">
        <v>59</v>
      </c>
      <c r="F1033"/>
      <c r="G1033" s="130" t="str">
        <f t="shared" si="16"/>
        <v>控制二忠</v>
      </c>
    </row>
    <row r="1034" spans="1:7">
      <c r="A1034" t="s">
        <v>76</v>
      </c>
      <c r="B1034">
        <v>4</v>
      </c>
      <c r="C1034" s="55">
        <v>104105</v>
      </c>
      <c r="D1034" t="s">
        <v>2841</v>
      </c>
      <c r="E1034" t="s">
        <v>59</v>
      </c>
      <c r="F1034"/>
      <c r="G1034" s="130" t="str">
        <f t="shared" si="16"/>
        <v>控制二忠</v>
      </c>
    </row>
    <row r="1035" spans="1:7">
      <c r="A1035" t="s">
        <v>76</v>
      </c>
      <c r="B1035">
        <v>5</v>
      </c>
      <c r="C1035" s="55">
        <v>104106</v>
      </c>
      <c r="D1035" t="s">
        <v>2861</v>
      </c>
      <c r="E1035" t="s">
        <v>59</v>
      </c>
      <c r="F1035"/>
      <c r="G1035" s="130" t="str">
        <f t="shared" si="16"/>
        <v>控制二忠</v>
      </c>
    </row>
    <row r="1036" spans="1:7">
      <c r="A1036" t="s">
        <v>76</v>
      </c>
      <c r="B1036">
        <v>6</v>
      </c>
      <c r="C1036" s="55">
        <v>104107</v>
      </c>
      <c r="D1036" t="s">
        <v>2880</v>
      </c>
      <c r="E1036" t="s">
        <v>59</v>
      </c>
      <c r="F1036"/>
      <c r="G1036" s="130" t="str">
        <f t="shared" si="16"/>
        <v>控制二忠</v>
      </c>
    </row>
    <row r="1037" spans="1:7">
      <c r="A1037" t="s">
        <v>76</v>
      </c>
      <c r="B1037">
        <v>7</v>
      </c>
      <c r="C1037" s="55">
        <v>104108</v>
      </c>
      <c r="D1037" t="s">
        <v>2900</v>
      </c>
      <c r="E1037" t="s">
        <v>59</v>
      </c>
      <c r="F1037"/>
      <c r="G1037" s="130" t="str">
        <f t="shared" si="16"/>
        <v>控制二忠</v>
      </c>
    </row>
    <row r="1038" spans="1:7">
      <c r="A1038" t="s">
        <v>76</v>
      </c>
      <c r="B1038">
        <v>8</v>
      </c>
      <c r="C1038" s="55">
        <v>104109</v>
      </c>
      <c r="D1038" t="s">
        <v>2918</v>
      </c>
      <c r="E1038" t="s">
        <v>59</v>
      </c>
      <c r="F1038"/>
      <c r="G1038" s="130" t="str">
        <f t="shared" si="16"/>
        <v>控制二忠</v>
      </c>
    </row>
    <row r="1039" spans="1:7">
      <c r="A1039" t="s">
        <v>76</v>
      </c>
      <c r="B1039">
        <v>9</v>
      </c>
      <c r="C1039" s="55">
        <v>104110</v>
      </c>
      <c r="D1039" t="s">
        <v>2936</v>
      </c>
      <c r="E1039" t="s">
        <v>59</v>
      </c>
      <c r="F1039"/>
      <c r="G1039" s="130" t="str">
        <f t="shared" si="16"/>
        <v>控制二忠</v>
      </c>
    </row>
    <row r="1040" spans="1:7">
      <c r="A1040" t="s">
        <v>76</v>
      </c>
      <c r="B1040">
        <v>10</v>
      </c>
      <c r="C1040" s="55">
        <v>104111</v>
      </c>
      <c r="D1040" t="s">
        <v>2955</v>
      </c>
      <c r="E1040" t="s">
        <v>59</v>
      </c>
      <c r="F1040"/>
      <c r="G1040" s="130" t="str">
        <f t="shared" si="16"/>
        <v>控制二忠</v>
      </c>
    </row>
    <row r="1041" spans="1:7">
      <c r="A1041" t="s">
        <v>76</v>
      </c>
      <c r="B1041">
        <v>11</v>
      </c>
      <c r="C1041" s="55">
        <v>104112</v>
      </c>
      <c r="D1041" t="s">
        <v>2974</v>
      </c>
      <c r="E1041" t="s">
        <v>59</v>
      </c>
      <c r="F1041"/>
      <c r="G1041" s="130" t="str">
        <f t="shared" si="16"/>
        <v>控制二忠</v>
      </c>
    </row>
    <row r="1042" spans="1:7">
      <c r="A1042" t="s">
        <v>76</v>
      </c>
      <c r="B1042">
        <v>12</v>
      </c>
      <c r="C1042" s="55">
        <v>104113</v>
      </c>
      <c r="D1042" t="s">
        <v>2993</v>
      </c>
      <c r="E1042" t="s">
        <v>59</v>
      </c>
      <c r="F1042"/>
      <c r="G1042" s="130" t="str">
        <f t="shared" si="16"/>
        <v>控制二忠</v>
      </c>
    </row>
    <row r="1043" spans="1:7">
      <c r="A1043" t="s">
        <v>76</v>
      </c>
      <c r="B1043">
        <v>13</v>
      </c>
      <c r="C1043" s="55">
        <v>104114</v>
      </c>
      <c r="D1043" t="s">
        <v>3012</v>
      </c>
      <c r="E1043" t="s">
        <v>59</v>
      </c>
      <c r="F1043"/>
      <c r="G1043" s="130" t="str">
        <f t="shared" si="16"/>
        <v>控制二忠</v>
      </c>
    </row>
    <row r="1044" spans="1:7">
      <c r="A1044" t="s">
        <v>76</v>
      </c>
      <c r="B1044">
        <v>14</v>
      </c>
      <c r="C1044" s="55">
        <v>104115</v>
      </c>
      <c r="D1044" t="s">
        <v>3031</v>
      </c>
      <c r="E1044" t="s">
        <v>59</v>
      </c>
      <c r="F1044"/>
      <c r="G1044" s="130" t="str">
        <f t="shared" si="16"/>
        <v>控制二忠</v>
      </c>
    </row>
    <row r="1045" spans="1:7">
      <c r="A1045" t="s">
        <v>76</v>
      </c>
      <c r="B1045">
        <v>15</v>
      </c>
      <c r="C1045" s="55">
        <v>104116</v>
      </c>
      <c r="D1045" t="s">
        <v>3047</v>
      </c>
      <c r="E1045" t="s">
        <v>60</v>
      </c>
      <c r="F1045"/>
      <c r="G1045" s="130" t="str">
        <f t="shared" si="16"/>
        <v>控制二忠</v>
      </c>
    </row>
    <row r="1046" spans="1:7">
      <c r="A1046" t="s">
        <v>76</v>
      </c>
      <c r="B1046">
        <v>16</v>
      </c>
      <c r="C1046" s="55">
        <v>104117</v>
      </c>
      <c r="D1046" t="s">
        <v>3065</v>
      </c>
      <c r="E1046" t="s">
        <v>59</v>
      </c>
      <c r="F1046"/>
      <c r="G1046" s="130" t="str">
        <f t="shared" si="16"/>
        <v>控制二忠</v>
      </c>
    </row>
    <row r="1047" spans="1:7">
      <c r="A1047" t="s">
        <v>76</v>
      </c>
      <c r="B1047">
        <v>17</v>
      </c>
      <c r="C1047" s="55">
        <v>104118</v>
      </c>
      <c r="D1047" t="s">
        <v>3083</v>
      </c>
      <c r="E1047" t="s">
        <v>59</v>
      </c>
      <c r="F1047"/>
      <c r="G1047" s="130" t="str">
        <f t="shared" si="16"/>
        <v>控制二忠</v>
      </c>
    </row>
    <row r="1048" spans="1:7">
      <c r="A1048" t="s">
        <v>76</v>
      </c>
      <c r="B1048">
        <v>18</v>
      </c>
      <c r="C1048" s="55">
        <v>104119</v>
      </c>
      <c r="D1048" t="s">
        <v>3099</v>
      </c>
      <c r="E1048" t="s">
        <v>59</v>
      </c>
      <c r="F1048"/>
      <c r="G1048" s="130" t="str">
        <f t="shared" si="16"/>
        <v>控制二忠</v>
      </c>
    </row>
    <row r="1049" spans="1:7">
      <c r="A1049" t="s">
        <v>76</v>
      </c>
      <c r="B1049">
        <v>19</v>
      </c>
      <c r="C1049" s="55">
        <v>104120</v>
      </c>
      <c r="D1049" t="s">
        <v>3115</v>
      </c>
      <c r="E1049" t="s">
        <v>59</v>
      </c>
      <c r="F1049"/>
      <c r="G1049" s="130" t="str">
        <f t="shared" si="16"/>
        <v>控制二忠</v>
      </c>
    </row>
    <row r="1050" spans="1:7">
      <c r="A1050" t="s">
        <v>76</v>
      </c>
      <c r="B1050">
        <v>20</v>
      </c>
      <c r="C1050" s="55">
        <v>104121</v>
      </c>
      <c r="D1050" t="s">
        <v>3132</v>
      </c>
      <c r="E1050" t="s">
        <v>59</v>
      </c>
      <c r="F1050"/>
      <c r="G1050" s="130" t="str">
        <f t="shared" si="16"/>
        <v>控制二忠</v>
      </c>
    </row>
    <row r="1051" spans="1:7">
      <c r="A1051" t="s">
        <v>76</v>
      </c>
      <c r="B1051">
        <v>21</v>
      </c>
      <c r="C1051" s="55">
        <v>104122</v>
      </c>
      <c r="D1051" t="s">
        <v>3150</v>
      </c>
      <c r="E1051" t="s">
        <v>59</v>
      </c>
      <c r="F1051"/>
      <c r="G1051" s="130" t="str">
        <f t="shared" si="16"/>
        <v>控制二忠</v>
      </c>
    </row>
    <row r="1052" spans="1:7">
      <c r="A1052" t="s">
        <v>76</v>
      </c>
      <c r="B1052">
        <v>22</v>
      </c>
      <c r="C1052" s="55">
        <v>104124</v>
      </c>
      <c r="D1052" t="s">
        <v>3182</v>
      </c>
      <c r="E1052" t="s">
        <v>60</v>
      </c>
      <c r="F1052"/>
      <c r="G1052" s="130" t="str">
        <f t="shared" si="16"/>
        <v>控制二忠</v>
      </c>
    </row>
    <row r="1053" spans="1:7">
      <c r="A1053" t="s">
        <v>76</v>
      </c>
      <c r="B1053">
        <v>23</v>
      </c>
      <c r="C1053" s="55">
        <v>104125</v>
      </c>
      <c r="D1053" t="s">
        <v>3200</v>
      </c>
      <c r="E1053" t="s">
        <v>59</v>
      </c>
      <c r="F1053"/>
      <c r="G1053" s="130" t="str">
        <f t="shared" si="16"/>
        <v>控制二忠</v>
      </c>
    </row>
    <row r="1054" spans="1:7">
      <c r="A1054" t="s">
        <v>76</v>
      </c>
      <c r="B1054">
        <v>24</v>
      </c>
      <c r="C1054" s="55">
        <v>104126</v>
      </c>
      <c r="D1054" t="s">
        <v>3214</v>
      </c>
      <c r="E1054" t="s">
        <v>60</v>
      </c>
      <c r="F1054"/>
      <c r="G1054" s="130" t="str">
        <f t="shared" si="16"/>
        <v>控制二忠</v>
      </c>
    </row>
    <row r="1055" spans="1:7">
      <c r="A1055" t="s">
        <v>76</v>
      </c>
      <c r="B1055">
        <v>25</v>
      </c>
      <c r="C1055" s="55">
        <v>104127</v>
      </c>
      <c r="D1055" t="s">
        <v>3231</v>
      </c>
      <c r="E1055" t="s">
        <v>59</v>
      </c>
      <c r="F1055"/>
      <c r="G1055" s="130" t="str">
        <f t="shared" si="16"/>
        <v>控制二忠</v>
      </c>
    </row>
    <row r="1056" spans="1:7">
      <c r="A1056" t="s">
        <v>76</v>
      </c>
      <c r="B1056">
        <v>26</v>
      </c>
      <c r="C1056" s="55">
        <v>104128</v>
      </c>
      <c r="D1056" t="s">
        <v>3248</v>
      </c>
      <c r="E1056" t="s">
        <v>59</v>
      </c>
      <c r="F1056"/>
      <c r="G1056" s="130" t="str">
        <f t="shared" si="16"/>
        <v>控制二忠</v>
      </c>
    </row>
    <row r="1057" spans="1:7">
      <c r="A1057" t="s">
        <v>76</v>
      </c>
      <c r="B1057">
        <v>27</v>
      </c>
      <c r="C1057" s="55">
        <v>104130</v>
      </c>
      <c r="D1057" t="s">
        <v>3282</v>
      </c>
      <c r="E1057" t="s">
        <v>59</v>
      </c>
      <c r="F1057"/>
      <c r="G1057" s="130" t="str">
        <f t="shared" si="16"/>
        <v>控制二忠</v>
      </c>
    </row>
    <row r="1058" spans="1:7">
      <c r="A1058" t="s">
        <v>76</v>
      </c>
      <c r="B1058">
        <v>28</v>
      </c>
      <c r="C1058" s="55">
        <v>104131</v>
      </c>
      <c r="D1058" t="s">
        <v>3299</v>
      </c>
      <c r="E1058" t="s">
        <v>59</v>
      </c>
      <c r="F1058"/>
      <c r="G1058" s="130" t="str">
        <f t="shared" si="16"/>
        <v>控制二忠</v>
      </c>
    </row>
    <row r="1059" spans="1:7">
      <c r="A1059" t="s">
        <v>76</v>
      </c>
      <c r="B1059">
        <v>29</v>
      </c>
      <c r="C1059" s="55">
        <v>104132</v>
      </c>
      <c r="D1059" t="s">
        <v>3315</v>
      </c>
      <c r="E1059" t="s">
        <v>59</v>
      </c>
      <c r="F1059"/>
      <c r="G1059" s="130" t="str">
        <f t="shared" si="16"/>
        <v>控制二忠</v>
      </c>
    </row>
    <row r="1060" spans="1:7">
      <c r="A1060" t="s">
        <v>76</v>
      </c>
      <c r="B1060">
        <v>30</v>
      </c>
      <c r="C1060" s="55">
        <v>104133</v>
      </c>
      <c r="D1060" t="s">
        <v>3330</v>
      </c>
      <c r="E1060" t="s">
        <v>59</v>
      </c>
      <c r="F1060"/>
      <c r="G1060" s="130" t="str">
        <f t="shared" si="16"/>
        <v>控制二忠</v>
      </c>
    </row>
    <row r="1061" spans="1:7">
      <c r="A1061" t="s">
        <v>76</v>
      </c>
      <c r="B1061">
        <v>31</v>
      </c>
      <c r="C1061" s="55">
        <v>104134</v>
      </c>
      <c r="D1061" t="s">
        <v>3343</v>
      </c>
      <c r="E1061" t="s">
        <v>59</v>
      </c>
      <c r="F1061"/>
      <c r="G1061" s="130" t="str">
        <f t="shared" si="16"/>
        <v>控制二忠</v>
      </c>
    </row>
    <row r="1062" spans="1:7">
      <c r="A1062" t="s">
        <v>76</v>
      </c>
      <c r="B1062">
        <v>32</v>
      </c>
      <c r="C1062" s="55">
        <v>104135</v>
      </c>
      <c r="D1062" t="s">
        <v>3353</v>
      </c>
      <c r="E1062" t="s">
        <v>59</v>
      </c>
      <c r="F1062"/>
      <c r="G1062" s="130" t="str">
        <f t="shared" si="16"/>
        <v>控制二忠</v>
      </c>
    </row>
    <row r="1063" spans="1:7">
      <c r="A1063" t="s">
        <v>77</v>
      </c>
      <c r="B1063">
        <v>1</v>
      </c>
      <c r="C1063" s="55">
        <v>104201</v>
      </c>
      <c r="D1063" t="s">
        <v>2767</v>
      </c>
      <c r="E1063" t="s">
        <v>59</v>
      </c>
      <c r="F1063"/>
      <c r="G1063" s="130" t="str">
        <f t="shared" si="16"/>
        <v>控制二孝</v>
      </c>
    </row>
    <row r="1064" spans="1:7">
      <c r="A1064" t="s">
        <v>77</v>
      </c>
      <c r="B1064">
        <v>2</v>
      </c>
      <c r="C1064" s="55">
        <v>104202</v>
      </c>
      <c r="D1064" t="s">
        <v>2786</v>
      </c>
      <c r="E1064" t="s">
        <v>59</v>
      </c>
      <c r="F1064"/>
      <c r="G1064" s="130" t="str">
        <f t="shared" si="16"/>
        <v>控制二孝</v>
      </c>
    </row>
    <row r="1065" spans="1:7">
      <c r="A1065" t="s">
        <v>77</v>
      </c>
      <c r="B1065">
        <v>3</v>
      </c>
      <c r="C1065" s="55">
        <v>104205</v>
      </c>
      <c r="D1065" t="s">
        <v>2842</v>
      </c>
      <c r="E1065" t="s">
        <v>59</v>
      </c>
      <c r="F1065"/>
      <c r="G1065" s="130" t="str">
        <f t="shared" si="16"/>
        <v>控制二孝</v>
      </c>
    </row>
    <row r="1066" spans="1:7">
      <c r="A1066" t="s">
        <v>77</v>
      </c>
      <c r="B1066">
        <v>4</v>
      </c>
      <c r="C1066" s="55">
        <v>104206</v>
      </c>
      <c r="D1066" t="s">
        <v>2836</v>
      </c>
      <c r="E1066" t="s">
        <v>59</v>
      </c>
      <c r="F1066"/>
      <c r="G1066" s="130" t="str">
        <f t="shared" si="16"/>
        <v>控制二孝</v>
      </c>
    </row>
    <row r="1067" spans="1:7">
      <c r="A1067" t="s">
        <v>77</v>
      </c>
      <c r="B1067">
        <v>5</v>
      </c>
      <c r="C1067" s="55">
        <v>104207</v>
      </c>
      <c r="D1067" t="s">
        <v>2881</v>
      </c>
      <c r="E1067" t="s">
        <v>59</v>
      </c>
      <c r="F1067"/>
      <c r="G1067" s="130" t="str">
        <f t="shared" si="16"/>
        <v>控制二孝</v>
      </c>
    </row>
    <row r="1068" spans="1:7">
      <c r="A1068" t="s">
        <v>77</v>
      </c>
      <c r="B1068">
        <v>6</v>
      </c>
      <c r="C1068" s="55">
        <v>104209</v>
      </c>
      <c r="D1068" t="s">
        <v>2919</v>
      </c>
      <c r="E1068" t="s">
        <v>59</v>
      </c>
      <c r="F1068"/>
      <c r="G1068" s="130" t="str">
        <f t="shared" si="16"/>
        <v>控制二孝</v>
      </c>
    </row>
    <row r="1069" spans="1:7">
      <c r="A1069" t="s">
        <v>77</v>
      </c>
      <c r="B1069">
        <v>7</v>
      </c>
      <c r="C1069" s="55">
        <v>104210</v>
      </c>
      <c r="D1069" t="s">
        <v>2937</v>
      </c>
      <c r="E1069" t="s">
        <v>59</v>
      </c>
      <c r="F1069"/>
      <c r="G1069" s="130" t="str">
        <f t="shared" si="16"/>
        <v>控制二孝</v>
      </c>
    </row>
    <row r="1070" spans="1:7">
      <c r="A1070" t="s">
        <v>77</v>
      </c>
      <c r="B1070">
        <v>8</v>
      </c>
      <c r="C1070" s="55">
        <v>104211</v>
      </c>
      <c r="D1070" t="s">
        <v>2956</v>
      </c>
      <c r="E1070" t="s">
        <v>59</v>
      </c>
      <c r="F1070"/>
      <c r="G1070" s="130" t="str">
        <f t="shared" si="16"/>
        <v>控制二孝</v>
      </c>
    </row>
    <row r="1071" spans="1:7">
      <c r="A1071" t="s">
        <v>77</v>
      </c>
      <c r="B1071">
        <v>9</v>
      </c>
      <c r="C1071" s="55">
        <v>104212</v>
      </c>
      <c r="D1071" t="s">
        <v>2975</v>
      </c>
      <c r="E1071" t="s">
        <v>59</v>
      </c>
      <c r="F1071"/>
      <c r="G1071" s="130" t="str">
        <f t="shared" si="16"/>
        <v>控制二孝</v>
      </c>
    </row>
    <row r="1072" spans="1:7">
      <c r="A1072" t="s">
        <v>77</v>
      </c>
      <c r="B1072">
        <v>10</v>
      </c>
      <c r="C1072" s="55">
        <v>104213</v>
      </c>
      <c r="D1072" t="s">
        <v>2994</v>
      </c>
      <c r="E1072" t="s">
        <v>59</v>
      </c>
      <c r="F1072"/>
      <c r="G1072" s="130" t="str">
        <f t="shared" si="16"/>
        <v>控制二孝</v>
      </c>
    </row>
    <row r="1073" spans="1:7">
      <c r="A1073" t="s">
        <v>77</v>
      </c>
      <c r="B1073">
        <v>11</v>
      </c>
      <c r="C1073" s="55">
        <v>104214</v>
      </c>
      <c r="D1073" t="s">
        <v>3013</v>
      </c>
      <c r="E1073" t="s">
        <v>59</v>
      </c>
      <c r="F1073"/>
      <c r="G1073" s="130" t="str">
        <f t="shared" si="16"/>
        <v>控制二孝</v>
      </c>
    </row>
    <row r="1074" spans="1:7">
      <c r="A1074" t="s">
        <v>77</v>
      </c>
      <c r="B1074">
        <v>12</v>
      </c>
      <c r="C1074" s="55">
        <v>104215</v>
      </c>
      <c r="D1074" t="s">
        <v>3032</v>
      </c>
      <c r="E1074" t="s">
        <v>59</v>
      </c>
      <c r="F1074"/>
      <c r="G1074" s="130" t="str">
        <f t="shared" si="16"/>
        <v>控制二孝</v>
      </c>
    </row>
    <row r="1075" spans="1:7">
      <c r="A1075" t="s">
        <v>77</v>
      </c>
      <c r="B1075">
        <v>13</v>
      </c>
      <c r="C1075" s="55">
        <v>104216</v>
      </c>
      <c r="D1075" t="s">
        <v>3048</v>
      </c>
      <c r="E1075" t="s">
        <v>60</v>
      </c>
      <c r="F1075"/>
      <c r="G1075" s="130" t="str">
        <f t="shared" si="16"/>
        <v>控制二孝</v>
      </c>
    </row>
    <row r="1076" spans="1:7">
      <c r="A1076" t="s">
        <v>77</v>
      </c>
      <c r="B1076">
        <v>14</v>
      </c>
      <c r="C1076" s="55">
        <v>104217</v>
      </c>
      <c r="D1076" t="s">
        <v>3066</v>
      </c>
      <c r="E1076" t="s">
        <v>60</v>
      </c>
      <c r="F1076"/>
      <c r="G1076" s="130" t="str">
        <f t="shared" si="16"/>
        <v>控制二孝</v>
      </c>
    </row>
    <row r="1077" spans="1:7">
      <c r="A1077" t="s">
        <v>77</v>
      </c>
      <c r="B1077">
        <v>15</v>
      </c>
      <c r="C1077" s="55">
        <v>104219</v>
      </c>
      <c r="D1077" t="s">
        <v>3100</v>
      </c>
      <c r="E1077" t="s">
        <v>59</v>
      </c>
      <c r="F1077"/>
      <c r="G1077" s="130" t="str">
        <f t="shared" si="16"/>
        <v>控制二孝</v>
      </c>
    </row>
    <row r="1078" spans="1:7">
      <c r="A1078" t="s">
        <v>77</v>
      </c>
      <c r="B1078">
        <v>16</v>
      </c>
      <c r="C1078" s="55">
        <v>104220</v>
      </c>
      <c r="D1078" t="s">
        <v>3116</v>
      </c>
      <c r="E1078" t="s">
        <v>59</v>
      </c>
      <c r="F1078"/>
      <c r="G1078" s="130" t="str">
        <f t="shared" si="16"/>
        <v>控制二孝</v>
      </c>
    </row>
    <row r="1079" spans="1:7">
      <c r="A1079" t="s">
        <v>77</v>
      </c>
      <c r="B1079">
        <v>17</v>
      </c>
      <c r="C1079" s="55">
        <v>104221</v>
      </c>
      <c r="D1079" t="s">
        <v>3133</v>
      </c>
      <c r="E1079" t="s">
        <v>59</v>
      </c>
      <c r="F1079"/>
      <c r="G1079" s="130" t="str">
        <f t="shared" si="16"/>
        <v>控制二孝</v>
      </c>
    </row>
    <row r="1080" spans="1:7">
      <c r="A1080" t="s">
        <v>77</v>
      </c>
      <c r="B1080">
        <v>18</v>
      </c>
      <c r="C1080" s="55">
        <v>104222</v>
      </c>
      <c r="D1080" t="s">
        <v>3151</v>
      </c>
      <c r="E1080" t="s">
        <v>59</v>
      </c>
      <c r="F1080"/>
      <c r="G1080" s="130" t="str">
        <f t="shared" si="16"/>
        <v>控制二孝</v>
      </c>
    </row>
    <row r="1081" spans="1:7">
      <c r="A1081" t="s">
        <v>77</v>
      </c>
      <c r="B1081">
        <v>19</v>
      </c>
      <c r="C1081" s="55">
        <v>104223</v>
      </c>
      <c r="D1081" t="s">
        <v>3166</v>
      </c>
      <c r="E1081" t="s">
        <v>59</v>
      </c>
      <c r="F1081"/>
      <c r="G1081" s="130" t="str">
        <f t="shared" si="16"/>
        <v>控制二孝</v>
      </c>
    </row>
    <row r="1082" spans="1:7">
      <c r="A1082" t="s">
        <v>77</v>
      </c>
      <c r="B1082">
        <v>20</v>
      </c>
      <c r="C1082" s="55">
        <v>104224</v>
      </c>
      <c r="D1082" t="s">
        <v>3183</v>
      </c>
      <c r="E1082" t="s">
        <v>59</v>
      </c>
      <c r="F1082"/>
      <c r="G1082" s="130" t="str">
        <f t="shared" si="16"/>
        <v>控制二孝</v>
      </c>
    </row>
    <row r="1083" spans="1:7">
      <c r="A1083" t="s">
        <v>77</v>
      </c>
      <c r="B1083">
        <v>21</v>
      </c>
      <c r="C1083" s="55">
        <v>104225</v>
      </c>
      <c r="D1083" t="s">
        <v>3201</v>
      </c>
      <c r="E1083" t="s">
        <v>59</v>
      </c>
      <c r="F1083"/>
      <c r="G1083" s="130" t="str">
        <f t="shared" si="16"/>
        <v>控制二孝</v>
      </c>
    </row>
    <row r="1084" spans="1:7">
      <c r="A1084" t="s">
        <v>77</v>
      </c>
      <c r="B1084">
        <v>22</v>
      </c>
      <c r="C1084" s="55">
        <v>104226</v>
      </c>
      <c r="D1084" t="s">
        <v>3215</v>
      </c>
      <c r="E1084" t="s">
        <v>59</v>
      </c>
      <c r="F1084"/>
      <c r="G1084" s="130" t="str">
        <f t="shared" si="16"/>
        <v>控制二孝</v>
      </c>
    </row>
    <row r="1085" spans="1:7">
      <c r="A1085" t="s">
        <v>77</v>
      </c>
      <c r="B1085">
        <v>23</v>
      </c>
      <c r="C1085" s="55">
        <v>104227</v>
      </c>
      <c r="D1085" t="s">
        <v>3232</v>
      </c>
      <c r="E1085" t="s">
        <v>59</v>
      </c>
      <c r="F1085"/>
      <c r="G1085" s="130" t="str">
        <f t="shared" si="16"/>
        <v>控制二孝</v>
      </c>
    </row>
    <row r="1086" spans="1:7">
      <c r="A1086" t="s">
        <v>77</v>
      </c>
      <c r="B1086">
        <v>24</v>
      </c>
      <c r="C1086" s="55">
        <v>104229</v>
      </c>
      <c r="D1086" t="s">
        <v>3266</v>
      </c>
      <c r="E1086" t="s">
        <v>59</v>
      </c>
      <c r="F1086"/>
      <c r="G1086" s="130" t="str">
        <f t="shared" si="16"/>
        <v>控制二孝</v>
      </c>
    </row>
    <row r="1087" spans="1:7">
      <c r="A1087" t="s">
        <v>77</v>
      </c>
      <c r="B1087">
        <v>25</v>
      </c>
      <c r="C1087" s="55">
        <v>104230</v>
      </c>
      <c r="D1087" t="s">
        <v>3283</v>
      </c>
      <c r="E1087" t="s">
        <v>59</v>
      </c>
      <c r="F1087"/>
      <c r="G1087" s="130" t="str">
        <f t="shared" si="16"/>
        <v>控制二孝</v>
      </c>
    </row>
    <row r="1088" spans="1:7">
      <c r="A1088" t="s">
        <v>77</v>
      </c>
      <c r="B1088">
        <v>26</v>
      </c>
      <c r="C1088" s="55">
        <v>104231</v>
      </c>
      <c r="D1088" t="s">
        <v>3300</v>
      </c>
      <c r="E1088" t="s">
        <v>59</v>
      </c>
      <c r="F1088"/>
      <c r="G1088" s="130" t="str">
        <f t="shared" si="16"/>
        <v>控制二孝</v>
      </c>
    </row>
    <row r="1089" spans="1:7">
      <c r="A1089" t="s">
        <v>77</v>
      </c>
      <c r="B1089">
        <v>27</v>
      </c>
      <c r="C1089" s="55">
        <v>104232</v>
      </c>
      <c r="D1089" t="s">
        <v>3316</v>
      </c>
      <c r="E1089" t="s">
        <v>59</v>
      </c>
      <c r="F1089"/>
      <c r="G1089" s="130" t="str">
        <f t="shared" si="16"/>
        <v>控制二孝</v>
      </c>
    </row>
    <row r="1090" spans="1:7">
      <c r="A1090" t="s">
        <v>77</v>
      </c>
      <c r="B1090">
        <v>28</v>
      </c>
      <c r="C1090" s="55">
        <v>104233</v>
      </c>
      <c r="D1090" t="s">
        <v>3331</v>
      </c>
      <c r="E1090" t="s">
        <v>59</v>
      </c>
      <c r="F1090"/>
      <c r="G1090" s="130" t="str">
        <f t="shared" si="16"/>
        <v>控制二孝</v>
      </c>
    </row>
    <row r="1091" spans="1:7">
      <c r="A1091" t="s">
        <v>77</v>
      </c>
      <c r="B1091">
        <v>29</v>
      </c>
      <c r="C1091" s="55">
        <v>104234</v>
      </c>
      <c r="D1091" t="s">
        <v>3344</v>
      </c>
      <c r="E1091" t="s">
        <v>59</v>
      </c>
      <c r="F1091"/>
      <c r="G1091" s="130" t="str">
        <f t="shared" ref="G1091:G1154" si="17">A1091&amp;F1091</f>
        <v>控制二孝</v>
      </c>
    </row>
    <row r="1092" spans="1:7">
      <c r="A1092" t="s">
        <v>78</v>
      </c>
      <c r="B1092">
        <v>1</v>
      </c>
      <c r="C1092" s="55">
        <v>105101</v>
      </c>
      <c r="D1092" t="s">
        <v>2768</v>
      </c>
      <c r="E1092" t="s">
        <v>59</v>
      </c>
      <c r="F1092"/>
      <c r="G1092" s="130" t="str">
        <f t="shared" si="17"/>
        <v>冷凍二忠</v>
      </c>
    </row>
    <row r="1093" spans="1:7">
      <c r="A1093" t="s">
        <v>78</v>
      </c>
      <c r="B1093">
        <v>2</v>
      </c>
      <c r="C1093" s="55">
        <v>105102</v>
      </c>
      <c r="D1093" t="s">
        <v>2787</v>
      </c>
      <c r="E1093" t="s">
        <v>59</v>
      </c>
      <c r="F1093"/>
      <c r="G1093" s="130" t="str">
        <f t="shared" si="17"/>
        <v>冷凍二忠</v>
      </c>
    </row>
    <row r="1094" spans="1:7">
      <c r="A1094" t="s">
        <v>78</v>
      </c>
      <c r="B1094">
        <v>3</v>
      </c>
      <c r="C1094" s="55">
        <v>105104</v>
      </c>
      <c r="D1094" t="s">
        <v>2825</v>
      </c>
      <c r="E1094" t="s">
        <v>59</v>
      </c>
      <c r="F1094"/>
      <c r="G1094" s="130" t="str">
        <f t="shared" si="17"/>
        <v>冷凍二忠</v>
      </c>
    </row>
    <row r="1095" spans="1:7">
      <c r="A1095" t="s">
        <v>78</v>
      </c>
      <c r="B1095">
        <v>4</v>
      </c>
      <c r="C1095" s="55">
        <v>105105</v>
      </c>
      <c r="D1095" t="s">
        <v>2843</v>
      </c>
      <c r="E1095" t="s">
        <v>60</v>
      </c>
      <c r="F1095"/>
      <c r="G1095" s="130" t="str">
        <f t="shared" si="17"/>
        <v>冷凍二忠</v>
      </c>
    </row>
    <row r="1096" spans="1:7">
      <c r="A1096" t="s">
        <v>78</v>
      </c>
      <c r="B1096">
        <v>5</v>
      </c>
      <c r="C1096" s="55">
        <v>105106</v>
      </c>
      <c r="D1096" t="s">
        <v>2862</v>
      </c>
      <c r="E1096" t="s">
        <v>59</v>
      </c>
      <c r="F1096"/>
      <c r="G1096" s="130" t="str">
        <f t="shared" si="17"/>
        <v>冷凍二忠</v>
      </c>
    </row>
    <row r="1097" spans="1:7">
      <c r="A1097" t="s">
        <v>78</v>
      </c>
      <c r="B1097">
        <v>6</v>
      </c>
      <c r="C1097" s="55">
        <v>105107</v>
      </c>
      <c r="D1097" t="s">
        <v>2882</v>
      </c>
      <c r="E1097" t="s">
        <v>59</v>
      </c>
      <c r="F1097"/>
      <c r="G1097" s="130" t="str">
        <f t="shared" si="17"/>
        <v>冷凍二忠</v>
      </c>
    </row>
    <row r="1098" spans="1:7">
      <c r="A1098" t="s">
        <v>78</v>
      </c>
      <c r="B1098">
        <v>7</v>
      </c>
      <c r="C1098" s="55">
        <v>105108</v>
      </c>
      <c r="D1098" t="s">
        <v>2902</v>
      </c>
      <c r="E1098" t="s">
        <v>59</v>
      </c>
      <c r="F1098"/>
      <c r="G1098" s="130" t="str">
        <f t="shared" si="17"/>
        <v>冷凍二忠</v>
      </c>
    </row>
    <row r="1099" spans="1:7">
      <c r="A1099" t="s">
        <v>78</v>
      </c>
      <c r="B1099">
        <v>8</v>
      </c>
      <c r="C1099" s="55">
        <v>105109</v>
      </c>
      <c r="D1099" t="s">
        <v>2920</v>
      </c>
      <c r="E1099" t="s">
        <v>59</v>
      </c>
      <c r="F1099"/>
      <c r="G1099" s="130" t="str">
        <f t="shared" si="17"/>
        <v>冷凍二忠</v>
      </c>
    </row>
    <row r="1100" spans="1:7">
      <c r="A1100" t="s">
        <v>78</v>
      </c>
      <c r="B1100">
        <v>9</v>
      </c>
      <c r="C1100" s="55">
        <v>105110</v>
      </c>
      <c r="D1100" t="s">
        <v>2938</v>
      </c>
      <c r="E1100" t="s">
        <v>59</v>
      </c>
      <c r="F1100"/>
      <c r="G1100" s="130" t="str">
        <f t="shared" si="17"/>
        <v>冷凍二忠</v>
      </c>
    </row>
    <row r="1101" spans="1:7">
      <c r="A1101" t="s">
        <v>78</v>
      </c>
      <c r="B1101">
        <v>10</v>
      </c>
      <c r="C1101" s="55">
        <v>105111</v>
      </c>
      <c r="D1101" t="s">
        <v>2957</v>
      </c>
      <c r="E1101" t="s">
        <v>59</v>
      </c>
      <c r="F1101"/>
      <c r="G1101" s="130" t="str">
        <f t="shared" si="17"/>
        <v>冷凍二忠</v>
      </c>
    </row>
    <row r="1102" spans="1:7">
      <c r="A1102" t="s">
        <v>78</v>
      </c>
      <c r="B1102">
        <v>11</v>
      </c>
      <c r="C1102" s="55">
        <v>105112</v>
      </c>
      <c r="D1102" t="s">
        <v>2976</v>
      </c>
      <c r="E1102" t="s">
        <v>59</v>
      </c>
      <c r="F1102"/>
      <c r="G1102" s="130" t="str">
        <f t="shared" si="17"/>
        <v>冷凍二忠</v>
      </c>
    </row>
    <row r="1103" spans="1:7">
      <c r="A1103" t="s">
        <v>78</v>
      </c>
      <c r="B1103">
        <v>12</v>
      </c>
      <c r="C1103" s="55">
        <v>105113</v>
      </c>
      <c r="D1103" t="s">
        <v>2995</v>
      </c>
      <c r="E1103" t="s">
        <v>59</v>
      </c>
      <c r="F1103"/>
      <c r="G1103" s="130" t="str">
        <f t="shared" si="17"/>
        <v>冷凍二忠</v>
      </c>
    </row>
    <row r="1104" spans="1:7">
      <c r="A1104" t="s">
        <v>78</v>
      </c>
      <c r="B1104">
        <v>13</v>
      </c>
      <c r="C1104" s="55">
        <v>105114</v>
      </c>
      <c r="D1104" t="s">
        <v>3014</v>
      </c>
      <c r="E1104" t="s">
        <v>59</v>
      </c>
      <c r="F1104"/>
      <c r="G1104" s="130" t="str">
        <f t="shared" si="17"/>
        <v>冷凍二忠</v>
      </c>
    </row>
    <row r="1105" spans="1:7">
      <c r="A1105" t="s">
        <v>78</v>
      </c>
      <c r="B1105">
        <v>14</v>
      </c>
      <c r="C1105" s="55">
        <v>105115</v>
      </c>
      <c r="D1105" t="s">
        <v>3033</v>
      </c>
      <c r="E1105" t="s">
        <v>59</v>
      </c>
      <c r="F1105"/>
      <c r="G1105" s="130" t="str">
        <f t="shared" si="17"/>
        <v>冷凍二忠</v>
      </c>
    </row>
    <row r="1106" spans="1:7">
      <c r="A1106" t="s">
        <v>78</v>
      </c>
      <c r="B1106">
        <v>15</v>
      </c>
      <c r="C1106" s="55">
        <v>105116</v>
      </c>
      <c r="D1106" t="s">
        <v>3049</v>
      </c>
      <c r="E1106" t="s">
        <v>59</v>
      </c>
      <c r="F1106"/>
      <c r="G1106" s="130" t="str">
        <f t="shared" si="17"/>
        <v>冷凍二忠</v>
      </c>
    </row>
    <row r="1107" spans="1:7">
      <c r="A1107" t="s">
        <v>78</v>
      </c>
      <c r="B1107">
        <v>16</v>
      </c>
      <c r="C1107" s="55">
        <v>105117</v>
      </c>
      <c r="D1107" t="s">
        <v>3067</v>
      </c>
      <c r="E1107" t="s">
        <v>59</v>
      </c>
      <c r="F1107"/>
      <c r="G1107" s="130" t="str">
        <f t="shared" si="17"/>
        <v>冷凍二忠</v>
      </c>
    </row>
    <row r="1108" spans="1:7">
      <c r="A1108" t="s">
        <v>78</v>
      </c>
      <c r="B1108">
        <v>17</v>
      </c>
      <c r="C1108" s="55">
        <v>105119</v>
      </c>
      <c r="D1108" t="s">
        <v>0</v>
      </c>
      <c r="E1108" t="s">
        <v>59</v>
      </c>
      <c r="F1108"/>
      <c r="G1108" s="130" t="str">
        <f t="shared" si="17"/>
        <v>冷凍二忠</v>
      </c>
    </row>
    <row r="1109" spans="1:7">
      <c r="A1109" t="s">
        <v>78</v>
      </c>
      <c r="B1109">
        <v>18</v>
      </c>
      <c r="C1109" s="55">
        <v>105120</v>
      </c>
      <c r="D1109" t="s">
        <v>3391</v>
      </c>
      <c r="E1109" t="s">
        <v>59</v>
      </c>
      <c r="F1109"/>
      <c r="G1109" s="130" t="str">
        <f t="shared" si="17"/>
        <v>冷凍二忠</v>
      </c>
    </row>
    <row r="1110" spans="1:7">
      <c r="A1110" t="s">
        <v>78</v>
      </c>
      <c r="B1110">
        <v>19</v>
      </c>
      <c r="C1110" s="55">
        <v>105121</v>
      </c>
      <c r="D1110" t="s">
        <v>3134</v>
      </c>
      <c r="E1110" t="s">
        <v>59</v>
      </c>
      <c r="F1110"/>
      <c r="G1110" s="130" t="str">
        <f t="shared" si="17"/>
        <v>冷凍二忠</v>
      </c>
    </row>
    <row r="1111" spans="1:7">
      <c r="A1111" t="s">
        <v>78</v>
      </c>
      <c r="B1111">
        <v>20</v>
      </c>
      <c r="C1111" s="55">
        <v>105122</v>
      </c>
      <c r="D1111" t="s">
        <v>3152</v>
      </c>
      <c r="E1111" t="s">
        <v>59</v>
      </c>
      <c r="F1111"/>
      <c r="G1111" s="130" t="str">
        <f t="shared" si="17"/>
        <v>冷凍二忠</v>
      </c>
    </row>
    <row r="1112" spans="1:7">
      <c r="A1112" t="s">
        <v>78</v>
      </c>
      <c r="B1112">
        <v>21</v>
      </c>
      <c r="C1112" s="55">
        <v>105123</v>
      </c>
      <c r="D1112" t="s">
        <v>3167</v>
      </c>
      <c r="E1112" t="s">
        <v>59</v>
      </c>
      <c r="F1112"/>
      <c r="G1112" s="130" t="str">
        <f t="shared" si="17"/>
        <v>冷凍二忠</v>
      </c>
    </row>
    <row r="1113" spans="1:7">
      <c r="A1113" t="s">
        <v>78</v>
      </c>
      <c r="B1113">
        <v>22</v>
      </c>
      <c r="C1113" s="55">
        <v>105124</v>
      </c>
      <c r="D1113" t="s">
        <v>3184</v>
      </c>
      <c r="E1113" t="s">
        <v>59</v>
      </c>
      <c r="F1113"/>
      <c r="G1113" s="130" t="str">
        <f t="shared" si="17"/>
        <v>冷凍二忠</v>
      </c>
    </row>
    <row r="1114" spans="1:7">
      <c r="A1114" t="s">
        <v>78</v>
      </c>
      <c r="B1114">
        <v>23</v>
      </c>
      <c r="C1114" s="55">
        <v>105126</v>
      </c>
      <c r="D1114" t="s">
        <v>3216</v>
      </c>
      <c r="E1114" t="s">
        <v>60</v>
      </c>
      <c r="F1114"/>
      <c r="G1114" s="130" t="str">
        <f t="shared" si="17"/>
        <v>冷凍二忠</v>
      </c>
    </row>
    <row r="1115" spans="1:7">
      <c r="A1115" t="s">
        <v>78</v>
      </c>
      <c r="B1115">
        <v>24</v>
      </c>
      <c r="C1115" s="55">
        <v>105127</v>
      </c>
      <c r="D1115" t="s">
        <v>3233</v>
      </c>
      <c r="E1115" t="s">
        <v>59</v>
      </c>
      <c r="F1115"/>
      <c r="G1115" s="130" t="str">
        <f t="shared" si="17"/>
        <v>冷凍二忠</v>
      </c>
    </row>
    <row r="1116" spans="1:7">
      <c r="A1116" t="s">
        <v>78</v>
      </c>
      <c r="B1116">
        <v>25</v>
      </c>
      <c r="C1116" s="55">
        <v>105128</v>
      </c>
      <c r="D1116" t="s">
        <v>3250</v>
      </c>
      <c r="E1116" t="s">
        <v>59</v>
      </c>
      <c r="F1116"/>
      <c r="G1116" s="130" t="str">
        <f t="shared" si="17"/>
        <v>冷凍二忠</v>
      </c>
    </row>
    <row r="1117" spans="1:7">
      <c r="A1117" t="s">
        <v>78</v>
      </c>
      <c r="B1117">
        <v>26</v>
      </c>
      <c r="C1117" s="55">
        <v>105129</v>
      </c>
      <c r="D1117" t="s">
        <v>3267</v>
      </c>
      <c r="E1117" t="s">
        <v>59</v>
      </c>
      <c r="F1117"/>
      <c r="G1117" s="130" t="str">
        <f t="shared" si="17"/>
        <v>冷凍二忠</v>
      </c>
    </row>
    <row r="1118" spans="1:7">
      <c r="A1118" t="s">
        <v>78</v>
      </c>
      <c r="B1118">
        <v>27</v>
      </c>
      <c r="C1118" s="55">
        <v>105131</v>
      </c>
      <c r="D1118" t="s">
        <v>3301</v>
      </c>
      <c r="E1118" t="s">
        <v>59</v>
      </c>
      <c r="F1118"/>
      <c r="G1118" s="130" t="str">
        <f t="shared" si="17"/>
        <v>冷凍二忠</v>
      </c>
    </row>
    <row r="1119" spans="1:7">
      <c r="A1119" t="s">
        <v>78</v>
      </c>
      <c r="B1119">
        <v>28</v>
      </c>
      <c r="C1119" s="55">
        <v>105132</v>
      </c>
      <c r="D1119" t="s">
        <v>3317</v>
      </c>
      <c r="E1119" t="s">
        <v>59</v>
      </c>
      <c r="F1119"/>
      <c r="G1119" s="130" t="str">
        <f t="shared" si="17"/>
        <v>冷凍二忠</v>
      </c>
    </row>
    <row r="1120" spans="1:7">
      <c r="A1120" t="s">
        <v>78</v>
      </c>
      <c r="B1120">
        <v>29</v>
      </c>
      <c r="C1120" s="55">
        <v>105133</v>
      </c>
      <c r="D1120" t="s">
        <v>3332</v>
      </c>
      <c r="E1120" t="s">
        <v>60</v>
      </c>
      <c r="F1120"/>
      <c r="G1120" s="130" t="str">
        <f t="shared" si="17"/>
        <v>冷凍二忠</v>
      </c>
    </row>
    <row r="1121" spans="1:7">
      <c r="A1121" t="s">
        <v>78</v>
      </c>
      <c r="B1121">
        <v>30</v>
      </c>
      <c r="C1121" s="55">
        <v>105134</v>
      </c>
      <c r="D1121" t="s">
        <v>3345</v>
      </c>
      <c r="E1121" t="s">
        <v>59</v>
      </c>
      <c r="F1121"/>
      <c r="G1121" s="130" t="str">
        <f t="shared" si="17"/>
        <v>冷凍二忠</v>
      </c>
    </row>
    <row r="1122" spans="1:7">
      <c r="A1122" t="s">
        <v>78</v>
      </c>
      <c r="B1122">
        <v>31</v>
      </c>
      <c r="C1122" s="55">
        <v>105135</v>
      </c>
      <c r="D1122" t="s">
        <v>3354</v>
      </c>
      <c r="E1122" t="s">
        <v>59</v>
      </c>
      <c r="F1122"/>
      <c r="G1122" s="130" t="str">
        <f t="shared" si="17"/>
        <v>冷凍二忠</v>
      </c>
    </row>
    <row r="1123" spans="1:7">
      <c r="A1123" t="s">
        <v>78</v>
      </c>
      <c r="B1123">
        <v>32</v>
      </c>
      <c r="C1123" s="55">
        <v>105136</v>
      </c>
      <c r="D1123" t="s">
        <v>3363</v>
      </c>
      <c r="E1123" t="s">
        <v>59</v>
      </c>
      <c r="F1123"/>
      <c r="G1123" s="130" t="str">
        <f t="shared" si="17"/>
        <v>冷凍二忠</v>
      </c>
    </row>
    <row r="1124" spans="1:7">
      <c r="A1124" t="s">
        <v>78</v>
      </c>
      <c r="B1124">
        <v>33</v>
      </c>
      <c r="C1124" s="55" t="s">
        <v>1056</v>
      </c>
      <c r="D1124" t="s">
        <v>1057</v>
      </c>
      <c r="E1124" t="s">
        <v>59</v>
      </c>
      <c r="F1124"/>
      <c r="G1124" s="130" t="str">
        <f t="shared" si="17"/>
        <v>冷凍二忠</v>
      </c>
    </row>
    <row r="1125" spans="1:7">
      <c r="A1125" t="s">
        <v>79</v>
      </c>
      <c r="B1125">
        <v>1</v>
      </c>
      <c r="C1125" s="55">
        <v>105201</v>
      </c>
      <c r="D1125" t="s">
        <v>2769</v>
      </c>
      <c r="E1125" t="s">
        <v>59</v>
      </c>
      <c r="F1125"/>
      <c r="G1125" s="130" t="str">
        <f t="shared" si="17"/>
        <v>冷凍二孝</v>
      </c>
    </row>
    <row r="1126" spans="1:7">
      <c r="A1126" t="s">
        <v>79</v>
      </c>
      <c r="B1126">
        <v>2</v>
      </c>
      <c r="C1126" s="55">
        <v>105202</v>
      </c>
      <c r="D1126" t="s">
        <v>2788</v>
      </c>
      <c r="E1126" t="s">
        <v>59</v>
      </c>
      <c r="F1126"/>
      <c r="G1126" s="130" t="str">
        <f t="shared" si="17"/>
        <v>冷凍二孝</v>
      </c>
    </row>
    <row r="1127" spans="1:7">
      <c r="A1127" t="s">
        <v>79</v>
      </c>
      <c r="B1127">
        <v>3</v>
      </c>
      <c r="C1127" s="55">
        <v>105203</v>
      </c>
      <c r="D1127" t="s">
        <v>2806</v>
      </c>
      <c r="E1127" t="s">
        <v>59</v>
      </c>
      <c r="F1127"/>
      <c r="G1127" s="130" t="str">
        <f t="shared" si="17"/>
        <v>冷凍二孝</v>
      </c>
    </row>
    <row r="1128" spans="1:7">
      <c r="A1128" t="s">
        <v>79</v>
      </c>
      <c r="B1128">
        <v>4</v>
      </c>
      <c r="C1128" s="55">
        <v>105204</v>
      </c>
      <c r="D1128" t="s">
        <v>2826</v>
      </c>
      <c r="E1128" t="s">
        <v>59</v>
      </c>
      <c r="F1128"/>
      <c r="G1128" s="130" t="str">
        <f t="shared" si="17"/>
        <v>冷凍二孝</v>
      </c>
    </row>
    <row r="1129" spans="1:7">
      <c r="A1129" t="s">
        <v>79</v>
      </c>
      <c r="B1129">
        <v>5</v>
      </c>
      <c r="C1129" s="55">
        <v>105206</v>
      </c>
      <c r="D1129" t="s">
        <v>2863</v>
      </c>
      <c r="E1129" t="s">
        <v>59</v>
      </c>
      <c r="F1129"/>
      <c r="G1129" s="130" t="str">
        <f t="shared" si="17"/>
        <v>冷凍二孝</v>
      </c>
    </row>
    <row r="1130" spans="1:7">
      <c r="A1130" t="s">
        <v>79</v>
      </c>
      <c r="B1130">
        <v>6</v>
      </c>
      <c r="C1130" s="55">
        <v>105207</v>
      </c>
      <c r="D1130" t="s">
        <v>2883</v>
      </c>
      <c r="E1130" t="s">
        <v>59</v>
      </c>
      <c r="F1130"/>
      <c r="G1130" s="130" t="str">
        <f t="shared" si="17"/>
        <v>冷凍二孝</v>
      </c>
    </row>
    <row r="1131" spans="1:7">
      <c r="A1131" t="s">
        <v>79</v>
      </c>
      <c r="B1131">
        <v>7</v>
      </c>
      <c r="C1131" s="55">
        <v>105208</v>
      </c>
      <c r="D1131" t="s">
        <v>2903</v>
      </c>
      <c r="E1131" t="s">
        <v>59</v>
      </c>
      <c r="F1131"/>
      <c r="G1131" s="130" t="str">
        <f t="shared" si="17"/>
        <v>冷凍二孝</v>
      </c>
    </row>
    <row r="1132" spans="1:7">
      <c r="A1132" t="s">
        <v>79</v>
      </c>
      <c r="B1132">
        <v>8</v>
      </c>
      <c r="C1132" s="55">
        <v>105209</v>
      </c>
      <c r="D1132" t="s">
        <v>2921</v>
      </c>
      <c r="E1132" t="s">
        <v>59</v>
      </c>
      <c r="F1132"/>
      <c r="G1132" s="130" t="str">
        <f t="shared" si="17"/>
        <v>冷凍二孝</v>
      </c>
    </row>
    <row r="1133" spans="1:7">
      <c r="A1133" t="s">
        <v>79</v>
      </c>
      <c r="B1133">
        <v>9</v>
      </c>
      <c r="C1133" s="55">
        <v>105210</v>
      </c>
      <c r="D1133" t="s">
        <v>2939</v>
      </c>
      <c r="E1133" t="s">
        <v>59</v>
      </c>
      <c r="F1133"/>
      <c r="G1133" s="130" t="str">
        <f t="shared" si="17"/>
        <v>冷凍二孝</v>
      </c>
    </row>
    <row r="1134" spans="1:7">
      <c r="A1134" t="s">
        <v>79</v>
      </c>
      <c r="B1134">
        <v>10</v>
      </c>
      <c r="C1134" s="55">
        <v>105211</v>
      </c>
      <c r="D1134" t="s">
        <v>2958</v>
      </c>
      <c r="E1134" t="s">
        <v>59</v>
      </c>
      <c r="F1134"/>
      <c r="G1134" s="130" t="str">
        <f t="shared" si="17"/>
        <v>冷凍二孝</v>
      </c>
    </row>
    <row r="1135" spans="1:7">
      <c r="A1135" t="s">
        <v>79</v>
      </c>
      <c r="B1135">
        <v>11</v>
      </c>
      <c r="C1135" s="55">
        <v>105212</v>
      </c>
      <c r="D1135" t="s">
        <v>2977</v>
      </c>
      <c r="E1135" t="s">
        <v>59</v>
      </c>
      <c r="F1135"/>
      <c r="G1135" s="130" t="str">
        <f t="shared" si="17"/>
        <v>冷凍二孝</v>
      </c>
    </row>
    <row r="1136" spans="1:7">
      <c r="A1136" t="s">
        <v>79</v>
      </c>
      <c r="B1136">
        <v>12</v>
      </c>
      <c r="C1136" s="55">
        <v>105213</v>
      </c>
      <c r="D1136" t="s">
        <v>2996</v>
      </c>
      <c r="E1136" t="s">
        <v>59</v>
      </c>
      <c r="F1136"/>
      <c r="G1136" s="130" t="str">
        <f t="shared" si="17"/>
        <v>冷凍二孝</v>
      </c>
    </row>
    <row r="1137" spans="1:7">
      <c r="A1137" t="s">
        <v>79</v>
      </c>
      <c r="B1137">
        <v>13</v>
      </c>
      <c r="C1137" s="55">
        <v>105214</v>
      </c>
      <c r="D1137" t="s">
        <v>3015</v>
      </c>
      <c r="E1137" t="s">
        <v>59</v>
      </c>
      <c r="F1137"/>
      <c r="G1137" s="130" t="str">
        <f t="shared" si="17"/>
        <v>冷凍二孝</v>
      </c>
    </row>
    <row r="1138" spans="1:7">
      <c r="A1138" t="s">
        <v>79</v>
      </c>
      <c r="B1138">
        <v>14</v>
      </c>
      <c r="C1138" s="55">
        <v>105215</v>
      </c>
      <c r="D1138" t="s">
        <v>3034</v>
      </c>
      <c r="E1138" t="s">
        <v>59</v>
      </c>
      <c r="F1138"/>
      <c r="G1138" s="130" t="str">
        <f t="shared" si="17"/>
        <v>冷凍二孝</v>
      </c>
    </row>
    <row r="1139" spans="1:7">
      <c r="A1139" t="s">
        <v>79</v>
      </c>
      <c r="B1139">
        <v>15</v>
      </c>
      <c r="C1139" s="55">
        <v>105216</v>
      </c>
      <c r="D1139" t="s">
        <v>3050</v>
      </c>
      <c r="E1139" t="s">
        <v>59</v>
      </c>
      <c r="F1139"/>
      <c r="G1139" s="130" t="str">
        <f t="shared" si="17"/>
        <v>冷凍二孝</v>
      </c>
    </row>
    <row r="1140" spans="1:7">
      <c r="A1140" t="s">
        <v>79</v>
      </c>
      <c r="B1140">
        <v>16</v>
      </c>
      <c r="C1140" s="55">
        <v>105217</v>
      </c>
      <c r="D1140" t="s">
        <v>3068</v>
      </c>
      <c r="E1140" t="s">
        <v>59</v>
      </c>
      <c r="F1140"/>
      <c r="G1140" s="130" t="str">
        <f t="shared" si="17"/>
        <v>冷凍二孝</v>
      </c>
    </row>
    <row r="1141" spans="1:7">
      <c r="A1141" t="s">
        <v>79</v>
      </c>
      <c r="B1141">
        <v>17</v>
      </c>
      <c r="C1141" s="55">
        <v>105218</v>
      </c>
      <c r="D1141" t="s">
        <v>3086</v>
      </c>
      <c r="E1141" t="s">
        <v>59</v>
      </c>
      <c r="F1141"/>
      <c r="G1141" s="130" t="str">
        <f t="shared" si="17"/>
        <v>冷凍二孝</v>
      </c>
    </row>
    <row r="1142" spans="1:7">
      <c r="A1142" t="s">
        <v>79</v>
      </c>
      <c r="B1142">
        <v>18</v>
      </c>
      <c r="C1142" s="55">
        <v>105219</v>
      </c>
      <c r="D1142" t="s">
        <v>3101</v>
      </c>
      <c r="E1142" t="s">
        <v>59</v>
      </c>
      <c r="F1142"/>
      <c r="G1142" s="130" t="str">
        <f t="shared" si="17"/>
        <v>冷凍二孝</v>
      </c>
    </row>
    <row r="1143" spans="1:7">
      <c r="A1143" t="s">
        <v>79</v>
      </c>
      <c r="B1143">
        <v>19</v>
      </c>
      <c r="C1143" s="55">
        <v>105220</v>
      </c>
      <c r="D1143" t="s">
        <v>3117</v>
      </c>
      <c r="E1143" t="s">
        <v>59</v>
      </c>
      <c r="F1143"/>
      <c r="G1143" s="130" t="str">
        <f t="shared" si="17"/>
        <v>冷凍二孝</v>
      </c>
    </row>
    <row r="1144" spans="1:7">
      <c r="A1144" t="s">
        <v>79</v>
      </c>
      <c r="B1144">
        <v>20</v>
      </c>
      <c r="C1144" s="55">
        <v>105221</v>
      </c>
      <c r="D1144" t="s">
        <v>3135</v>
      </c>
      <c r="E1144" t="s">
        <v>59</v>
      </c>
      <c r="F1144"/>
      <c r="G1144" s="130" t="str">
        <f t="shared" si="17"/>
        <v>冷凍二孝</v>
      </c>
    </row>
    <row r="1145" spans="1:7">
      <c r="A1145" t="s">
        <v>79</v>
      </c>
      <c r="B1145">
        <v>21</v>
      </c>
      <c r="C1145" s="55">
        <v>105222</v>
      </c>
      <c r="D1145" t="s">
        <v>3153</v>
      </c>
      <c r="E1145" t="s">
        <v>59</v>
      </c>
      <c r="F1145"/>
      <c r="G1145" s="130" t="str">
        <f t="shared" si="17"/>
        <v>冷凍二孝</v>
      </c>
    </row>
    <row r="1146" spans="1:7">
      <c r="A1146" t="s">
        <v>79</v>
      </c>
      <c r="B1146">
        <v>22</v>
      </c>
      <c r="C1146" s="55">
        <v>105223</v>
      </c>
      <c r="D1146" t="s">
        <v>3168</v>
      </c>
      <c r="E1146" t="s">
        <v>59</v>
      </c>
      <c r="F1146"/>
      <c r="G1146" s="130" t="str">
        <f t="shared" si="17"/>
        <v>冷凍二孝</v>
      </c>
    </row>
    <row r="1147" spans="1:7">
      <c r="A1147" t="s">
        <v>79</v>
      </c>
      <c r="B1147">
        <v>23</v>
      </c>
      <c r="C1147" s="55">
        <v>105224</v>
      </c>
      <c r="D1147" t="s">
        <v>3185</v>
      </c>
      <c r="E1147" t="s">
        <v>59</v>
      </c>
      <c r="F1147"/>
      <c r="G1147" s="130" t="str">
        <f t="shared" si="17"/>
        <v>冷凍二孝</v>
      </c>
    </row>
    <row r="1148" spans="1:7">
      <c r="A1148" t="s">
        <v>79</v>
      </c>
      <c r="B1148">
        <v>24</v>
      </c>
      <c r="C1148" s="55">
        <v>105225</v>
      </c>
      <c r="D1148" t="s">
        <v>3202</v>
      </c>
      <c r="E1148" t="s">
        <v>59</v>
      </c>
      <c r="F1148"/>
      <c r="G1148" s="130" t="str">
        <f t="shared" si="17"/>
        <v>冷凍二孝</v>
      </c>
    </row>
    <row r="1149" spans="1:7">
      <c r="A1149" t="s">
        <v>79</v>
      </c>
      <c r="B1149">
        <v>25</v>
      </c>
      <c r="C1149" s="55">
        <v>105226</v>
      </c>
      <c r="D1149" t="s">
        <v>3217</v>
      </c>
      <c r="E1149" t="s">
        <v>59</v>
      </c>
      <c r="F1149"/>
      <c r="G1149" s="130" t="str">
        <f t="shared" si="17"/>
        <v>冷凍二孝</v>
      </c>
    </row>
    <row r="1150" spans="1:7">
      <c r="A1150" t="s">
        <v>79</v>
      </c>
      <c r="B1150">
        <v>26</v>
      </c>
      <c r="C1150" s="55">
        <v>105227</v>
      </c>
      <c r="D1150" t="s">
        <v>3234</v>
      </c>
      <c r="E1150" t="s">
        <v>59</v>
      </c>
      <c r="F1150"/>
      <c r="G1150" s="130" t="str">
        <f t="shared" si="17"/>
        <v>冷凍二孝</v>
      </c>
    </row>
    <row r="1151" spans="1:7">
      <c r="A1151" t="s">
        <v>79</v>
      </c>
      <c r="B1151">
        <v>27</v>
      </c>
      <c r="C1151" s="55">
        <v>105228</v>
      </c>
      <c r="D1151" t="s">
        <v>3251</v>
      </c>
      <c r="E1151" t="s">
        <v>59</v>
      </c>
      <c r="F1151"/>
      <c r="G1151" s="130" t="str">
        <f t="shared" si="17"/>
        <v>冷凍二孝</v>
      </c>
    </row>
    <row r="1152" spans="1:7">
      <c r="A1152" t="s">
        <v>79</v>
      </c>
      <c r="B1152">
        <v>28</v>
      </c>
      <c r="C1152" s="55">
        <v>105229</v>
      </c>
      <c r="D1152" t="s">
        <v>3268</v>
      </c>
      <c r="E1152" t="s">
        <v>59</v>
      </c>
      <c r="F1152"/>
      <c r="G1152" s="130" t="str">
        <f t="shared" si="17"/>
        <v>冷凍二孝</v>
      </c>
    </row>
    <row r="1153" spans="1:7">
      <c r="A1153" t="s">
        <v>79</v>
      </c>
      <c r="B1153">
        <v>29</v>
      </c>
      <c r="C1153" s="55">
        <v>105230</v>
      </c>
      <c r="D1153" t="s">
        <v>3285</v>
      </c>
      <c r="E1153" t="s">
        <v>59</v>
      </c>
      <c r="F1153"/>
      <c r="G1153" s="130" t="str">
        <f t="shared" si="17"/>
        <v>冷凍二孝</v>
      </c>
    </row>
    <row r="1154" spans="1:7">
      <c r="A1154" t="s">
        <v>79</v>
      </c>
      <c r="B1154">
        <v>30</v>
      </c>
      <c r="C1154" s="55">
        <v>105231</v>
      </c>
      <c r="D1154" t="s">
        <v>3302</v>
      </c>
      <c r="E1154" t="s">
        <v>59</v>
      </c>
      <c r="F1154"/>
      <c r="G1154" s="130" t="str">
        <f t="shared" si="17"/>
        <v>冷凍二孝</v>
      </c>
    </row>
    <row r="1155" spans="1:7">
      <c r="A1155" t="s">
        <v>79</v>
      </c>
      <c r="B1155">
        <v>31</v>
      </c>
      <c r="C1155" s="55">
        <v>105233</v>
      </c>
      <c r="D1155" t="s">
        <v>3333</v>
      </c>
      <c r="E1155" t="s">
        <v>59</v>
      </c>
      <c r="F1155"/>
      <c r="G1155" s="130" t="str">
        <f t="shared" ref="G1155:G1218" si="18">A1155&amp;F1155</f>
        <v>冷凍二孝</v>
      </c>
    </row>
    <row r="1156" spans="1:7">
      <c r="A1156" t="s">
        <v>79</v>
      </c>
      <c r="B1156">
        <v>32</v>
      </c>
      <c r="C1156" s="55">
        <v>105234</v>
      </c>
      <c r="D1156" t="s">
        <v>3346</v>
      </c>
      <c r="E1156" t="s">
        <v>59</v>
      </c>
      <c r="F1156"/>
      <c r="G1156" s="130" t="str">
        <f t="shared" si="18"/>
        <v>冷凍二孝</v>
      </c>
    </row>
    <row r="1157" spans="1:7">
      <c r="A1157" t="s">
        <v>79</v>
      </c>
      <c r="B1157">
        <v>33</v>
      </c>
      <c r="C1157" s="55">
        <v>105235</v>
      </c>
      <c r="D1157" t="s">
        <v>3355</v>
      </c>
      <c r="E1157" t="s">
        <v>59</v>
      </c>
      <c r="F1157"/>
      <c r="G1157" s="130" t="str">
        <f t="shared" si="18"/>
        <v>冷凍二孝</v>
      </c>
    </row>
    <row r="1158" spans="1:7">
      <c r="A1158" t="s">
        <v>79</v>
      </c>
      <c r="B1158">
        <v>34</v>
      </c>
      <c r="C1158" s="55">
        <v>105236</v>
      </c>
      <c r="D1158" t="s">
        <v>3364</v>
      </c>
      <c r="E1158" t="s">
        <v>59</v>
      </c>
      <c r="F1158"/>
      <c r="G1158" s="130" t="str">
        <f t="shared" si="18"/>
        <v>冷凍二孝</v>
      </c>
    </row>
    <row r="1159" spans="1:7">
      <c r="A1159" t="s">
        <v>1296</v>
      </c>
      <c r="B1159">
        <v>1</v>
      </c>
      <c r="C1159" s="55">
        <v>108101</v>
      </c>
      <c r="D1159" t="s">
        <v>2770</v>
      </c>
      <c r="E1159" t="s">
        <v>59</v>
      </c>
      <c r="F1159"/>
      <c r="G1159" s="130" t="str">
        <f t="shared" si="18"/>
        <v>應英二忠</v>
      </c>
    </row>
    <row r="1160" spans="1:7">
      <c r="A1160" t="s">
        <v>1296</v>
      </c>
      <c r="B1160">
        <v>2</v>
      </c>
      <c r="C1160" s="55">
        <v>108102</v>
      </c>
      <c r="D1160" t="s">
        <v>2789</v>
      </c>
      <c r="E1160" t="s">
        <v>60</v>
      </c>
      <c r="F1160"/>
      <c r="G1160" s="130" t="str">
        <f t="shared" si="18"/>
        <v>應英二忠</v>
      </c>
    </row>
    <row r="1161" spans="1:7">
      <c r="A1161" t="s">
        <v>1296</v>
      </c>
      <c r="B1161">
        <v>3</v>
      </c>
      <c r="C1161" s="55">
        <v>108103</v>
      </c>
      <c r="D1161" t="s">
        <v>2807</v>
      </c>
      <c r="E1161" t="s">
        <v>60</v>
      </c>
      <c r="F1161"/>
      <c r="G1161" s="130" t="str">
        <f t="shared" si="18"/>
        <v>應英二忠</v>
      </c>
    </row>
    <row r="1162" spans="1:7">
      <c r="A1162" t="s">
        <v>1296</v>
      </c>
      <c r="B1162">
        <v>4</v>
      </c>
      <c r="C1162" s="55">
        <v>108104</v>
      </c>
      <c r="D1162" t="s">
        <v>2827</v>
      </c>
      <c r="E1162" t="s">
        <v>60</v>
      </c>
      <c r="F1162"/>
      <c r="G1162" s="130" t="str">
        <f t="shared" si="18"/>
        <v>應英二忠</v>
      </c>
    </row>
    <row r="1163" spans="1:7">
      <c r="A1163" t="s">
        <v>1296</v>
      </c>
      <c r="B1163">
        <v>5</v>
      </c>
      <c r="C1163" s="55">
        <v>108105</v>
      </c>
      <c r="D1163" t="s">
        <v>2845</v>
      </c>
      <c r="E1163" t="s">
        <v>59</v>
      </c>
      <c r="F1163"/>
      <c r="G1163" s="130" t="str">
        <f t="shared" si="18"/>
        <v>應英二忠</v>
      </c>
    </row>
    <row r="1164" spans="1:7">
      <c r="A1164" t="s">
        <v>1296</v>
      </c>
      <c r="B1164">
        <v>6</v>
      </c>
      <c r="C1164" s="55">
        <v>108106</v>
      </c>
      <c r="D1164" t="s">
        <v>2864</v>
      </c>
      <c r="E1164" t="s">
        <v>59</v>
      </c>
      <c r="F1164"/>
      <c r="G1164" s="130" t="str">
        <f t="shared" si="18"/>
        <v>應英二忠</v>
      </c>
    </row>
    <row r="1165" spans="1:7">
      <c r="A1165" t="s">
        <v>1296</v>
      </c>
      <c r="B1165">
        <v>7</v>
      </c>
      <c r="C1165" s="55">
        <v>108107</v>
      </c>
      <c r="D1165" t="s">
        <v>2884</v>
      </c>
      <c r="E1165" t="s">
        <v>60</v>
      </c>
      <c r="F1165"/>
      <c r="G1165" s="130" t="str">
        <f t="shared" si="18"/>
        <v>應英二忠</v>
      </c>
    </row>
    <row r="1166" spans="1:7">
      <c r="A1166" t="s">
        <v>1296</v>
      </c>
      <c r="B1166">
        <v>8</v>
      </c>
      <c r="C1166" s="55">
        <v>108108</v>
      </c>
      <c r="D1166" t="s">
        <v>2904</v>
      </c>
      <c r="E1166" t="s">
        <v>60</v>
      </c>
      <c r="F1166"/>
      <c r="G1166" s="130" t="str">
        <f t="shared" si="18"/>
        <v>應英二忠</v>
      </c>
    </row>
    <row r="1167" spans="1:7">
      <c r="A1167" t="s">
        <v>1296</v>
      </c>
      <c r="B1167">
        <v>9</v>
      </c>
      <c r="C1167" s="55">
        <v>108109</v>
      </c>
      <c r="D1167" t="s">
        <v>2922</v>
      </c>
      <c r="E1167" t="s">
        <v>59</v>
      </c>
      <c r="F1167"/>
      <c r="G1167" s="130" t="str">
        <f t="shared" si="18"/>
        <v>應英二忠</v>
      </c>
    </row>
    <row r="1168" spans="1:7">
      <c r="A1168" t="s">
        <v>1296</v>
      </c>
      <c r="B1168">
        <v>10</v>
      </c>
      <c r="C1168" s="55">
        <v>108110</v>
      </c>
      <c r="D1168" t="s">
        <v>2940</v>
      </c>
      <c r="E1168" t="s">
        <v>60</v>
      </c>
      <c r="F1168"/>
      <c r="G1168" s="130" t="str">
        <f t="shared" si="18"/>
        <v>應英二忠</v>
      </c>
    </row>
    <row r="1169" spans="1:7">
      <c r="A1169" t="s">
        <v>1296</v>
      </c>
      <c r="B1169">
        <v>11</v>
      </c>
      <c r="C1169" s="55">
        <v>108111</v>
      </c>
      <c r="D1169" t="s">
        <v>2959</v>
      </c>
      <c r="E1169" t="s">
        <v>60</v>
      </c>
      <c r="F1169"/>
      <c r="G1169" s="130" t="str">
        <f t="shared" si="18"/>
        <v>應英二忠</v>
      </c>
    </row>
    <row r="1170" spans="1:7">
      <c r="A1170" t="s">
        <v>1296</v>
      </c>
      <c r="B1170">
        <v>12</v>
      </c>
      <c r="C1170" s="55">
        <v>108112</v>
      </c>
      <c r="D1170" t="s">
        <v>2978</v>
      </c>
      <c r="E1170" t="s">
        <v>59</v>
      </c>
      <c r="F1170"/>
      <c r="G1170" s="130" t="str">
        <f t="shared" si="18"/>
        <v>應英二忠</v>
      </c>
    </row>
    <row r="1171" spans="1:7">
      <c r="A1171" t="s">
        <v>1296</v>
      </c>
      <c r="B1171">
        <v>13</v>
      </c>
      <c r="C1171" s="55">
        <v>108113</v>
      </c>
      <c r="D1171" t="s">
        <v>2997</v>
      </c>
      <c r="E1171" t="s">
        <v>60</v>
      </c>
      <c r="F1171"/>
      <c r="G1171" s="130" t="str">
        <f t="shared" si="18"/>
        <v>應英二忠</v>
      </c>
    </row>
    <row r="1172" spans="1:7">
      <c r="A1172" t="s">
        <v>1296</v>
      </c>
      <c r="B1172">
        <v>14</v>
      </c>
      <c r="C1172" s="55">
        <v>108114</v>
      </c>
      <c r="D1172" t="s">
        <v>3016</v>
      </c>
      <c r="E1172" t="s">
        <v>60</v>
      </c>
      <c r="F1172"/>
      <c r="G1172" s="130" t="str">
        <f t="shared" si="18"/>
        <v>應英二忠</v>
      </c>
    </row>
    <row r="1173" spans="1:7">
      <c r="A1173" t="s">
        <v>1296</v>
      </c>
      <c r="B1173">
        <v>15</v>
      </c>
      <c r="C1173" s="55">
        <v>108115</v>
      </c>
      <c r="D1173" t="s">
        <v>3035</v>
      </c>
      <c r="E1173" t="s">
        <v>59</v>
      </c>
      <c r="F1173"/>
      <c r="G1173" s="130" t="str">
        <f t="shared" si="18"/>
        <v>應英二忠</v>
      </c>
    </row>
    <row r="1174" spans="1:7">
      <c r="A1174" t="s">
        <v>1296</v>
      </c>
      <c r="B1174">
        <v>16</v>
      </c>
      <c r="C1174" s="55">
        <v>108116</v>
      </c>
      <c r="D1174" t="s">
        <v>3051</v>
      </c>
      <c r="E1174" t="s">
        <v>59</v>
      </c>
      <c r="F1174"/>
      <c r="G1174" s="130" t="str">
        <f t="shared" si="18"/>
        <v>應英二忠</v>
      </c>
    </row>
    <row r="1175" spans="1:7">
      <c r="A1175" t="s">
        <v>1296</v>
      </c>
      <c r="B1175">
        <v>17</v>
      </c>
      <c r="C1175" s="55">
        <v>108117</v>
      </c>
      <c r="D1175" t="s">
        <v>3069</v>
      </c>
      <c r="E1175" t="s">
        <v>60</v>
      </c>
      <c r="F1175"/>
      <c r="G1175" s="130" t="str">
        <f t="shared" si="18"/>
        <v>應英二忠</v>
      </c>
    </row>
    <row r="1176" spans="1:7">
      <c r="A1176" t="s">
        <v>1296</v>
      </c>
      <c r="B1176">
        <v>18</v>
      </c>
      <c r="C1176" s="55">
        <v>108118</v>
      </c>
      <c r="D1176" t="s">
        <v>3087</v>
      </c>
      <c r="E1176" t="s">
        <v>59</v>
      </c>
      <c r="F1176"/>
      <c r="G1176" s="130" t="str">
        <f t="shared" si="18"/>
        <v>應英二忠</v>
      </c>
    </row>
    <row r="1177" spans="1:7">
      <c r="A1177" t="s">
        <v>1296</v>
      </c>
      <c r="B1177">
        <v>19</v>
      </c>
      <c r="C1177" s="55">
        <v>108119</v>
      </c>
      <c r="D1177" t="s">
        <v>3102</v>
      </c>
      <c r="E1177" t="s">
        <v>60</v>
      </c>
      <c r="F1177"/>
      <c r="G1177" s="130" t="str">
        <f t="shared" si="18"/>
        <v>應英二忠</v>
      </c>
    </row>
    <row r="1178" spans="1:7">
      <c r="A1178" t="s">
        <v>1296</v>
      </c>
      <c r="B1178">
        <v>20</v>
      </c>
      <c r="C1178" s="55">
        <v>108120</v>
      </c>
      <c r="D1178" t="s">
        <v>3118</v>
      </c>
      <c r="E1178" t="s">
        <v>59</v>
      </c>
      <c r="F1178"/>
      <c r="G1178" s="130" t="str">
        <f t="shared" si="18"/>
        <v>應英二忠</v>
      </c>
    </row>
    <row r="1179" spans="1:7">
      <c r="A1179" t="s">
        <v>1296</v>
      </c>
      <c r="B1179">
        <v>21</v>
      </c>
      <c r="C1179" s="55">
        <v>108121</v>
      </c>
      <c r="D1179" t="s">
        <v>3136</v>
      </c>
      <c r="E1179" t="s">
        <v>60</v>
      </c>
      <c r="F1179"/>
      <c r="G1179" s="130" t="str">
        <f t="shared" si="18"/>
        <v>應英二忠</v>
      </c>
    </row>
    <row r="1180" spans="1:7">
      <c r="A1180" t="s">
        <v>1296</v>
      </c>
      <c r="B1180">
        <v>22</v>
      </c>
      <c r="C1180" s="55">
        <v>108122</v>
      </c>
      <c r="D1180" t="s">
        <v>3154</v>
      </c>
      <c r="E1180" t="s">
        <v>59</v>
      </c>
      <c r="F1180"/>
      <c r="G1180" s="130" t="str">
        <f t="shared" si="18"/>
        <v>應英二忠</v>
      </c>
    </row>
    <row r="1181" spans="1:7">
      <c r="A1181" t="s">
        <v>1296</v>
      </c>
      <c r="B1181">
        <v>23</v>
      </c>
      <c r="C1181" s="55">
        <v>108123</v>
      </c>
      <c r="D1181" t="s">
        <v>3169</v>
      </c>
      <c r="E1181" t="s">
        <v>59</v>
      </c>
      <c r="F1181"/>
      <c r="G1181" s="130" t="str">
        <f t="shared" si="18"/>
        <v>應英二忠</v>
      </c>
    </row>
    <row r="1182" spans="1:7">
      <c r="A1182" t="s">
        <v>1296</v>
      </c>
      <c r="B1182">
        <v>24</v>
      </c>
      <c r="C1182" s="55">
        <v>108124</v>
      </c>
      <c r="D1182" t="s">
        <v>3186</v>
      </c>
      <c r="E1182" t="s">
        <v>59</v>
      </c>
      <c r="F1182"/>
      <c r="G1182" s="130" t="str">
        <f t="shared" si="18"/>
        <v>應英二忠</v>
      </c>
    </row>
    <row r="1183" spans="1:7">
      <c r="A1183" t="s">
        <v>1296</v>
      </c>
      <c r="B1183">
        <v>25</v>
      </c>
      <c r="C1183" s="55">
        <v>108125</v>
      </c>
      <c r="D1183" t="s">
        <v>3203</v>
      </c>
      <c r="E1183" t="s">
        <v>60</v>
      </c>
      <c r="F1183"/>
      <c r="G1183" s="130" t="str">
        <f t="shared" si="18"/>
        <v>應英二忠</v>
      </c>
    </row>
    <row r="1184" spans="1:7">
      <c r="A1184" t="s">
        <v>1296</v>
      </c>
      <c r="B1184">
        <v>26</v>
      </c>
      <c r="C1184" s="55">
        <v>108126</v>
      </c>
      <c r="D1184" t="s">
        <v>3218</v>
      </c>
      <c r="E1184" t="s">
        <v>60</v>
      </c>
      <c r="F1184"/>
      <c r="G1184" s="130" t="str">
        <f t="shared" si="18"/>
        <v>應英二忠</v>
      </c>
    </row>
    <row r="1185" spans="1:7">
      <c r="A1185" t="s">
        <v>1296</v>
      </c>
      <c r="B1185">
        <v>27</v>
      </c>
      <c r="C1185" s="55">
        <v>108127</v>
      </c>
      <c r="D1185" t="s">
        <v>3235</v>
      </c>
      <c r="E1185" t="s">
        <v>60</v>
      </c>
      <c r="F1185"/>
      <c r="G1185" s="130" t="str">
        <f t="shared" si="18"/>
        <v>應英二忠</v>
      </c>
    </row>
    <row r="1186" spans="1:7">
      <c r="A1186" t="s">
        <v>1296</v>
      </c>
      <c r="B1186">
        <v>28</v>
      </c>
      <c r="C1186" s="55">
        <v>108128</v>
      </c>
      <c r="D1186" t="s">
        <v>3252</v>
      </c>
      <c r="E1186" t="s">
        <v>60</v>
      </c>
      <c r="F1186"/>
      <c r="G1186" s="130" t="str">
        <f t="shared" si="18"/>
        <v>應英二忠</v>
      </c>
    </row>
    <row r="1187" spans="1:7">
      <c r="A1187" t="s">
        <v>1296</v>
      </c>
      <c r="B1187">
        <v>29</v>
      </c>
      <c r="C1187" s="55">
        <v>108129</v>
      </c>
      <c r="D1187" t="s">
        <v>3269</v>
      </c>
      <c r="E1187" t="s">
        <v>59</v>
      </c>
      <c r="F1187"/>
      <c r="G1187" s="130" t="str">
        <f t="shared" si="18"/>
        <v>應英二忠</v>
      </c>
    </row>
    <row r="1188" spans="1:7">
      <c r="A1188" t="s">
        <v>1296</v>
      </c>
      <c r="B1188">
        <v>30</v>
      </c>
      <c r="C1188" s="55">
        <v>108130</v>
      </c>
      <c r="D1188" t="s">
        <v>3286</v>
      </c>
      <c r="E1188" t="s">
        <v>59</v>
      </c>
      <c r="F1188"/>
      <c r="G1188" s="130" t="str">
        <f t="shared" si="18"/>
        <v>應英二忠</v>
      </c>
    </row>
    <row r="1189" spans="1:7">
      <c r="A1189" t="s">
        <v>1296</v>
      </c>
      <c r="B1189">
        <v>31</v>
      </c>
      <c r="C1189" s="55" t="s">
        <v>1992</v>
      </c>
      <c r="D1189" t="s">
        <v>1993</v>
      </c>
      <c r="E1189" t="s">
        <v>59</v>
      </c>
      <c r="F1189"/>
      <c r="G1189" s="130" t="str">
        <f t="shared" si="18"/>
        <v>應英二忠</v>
      </c>
    </row>
    <row r="1190" spans="1:7">
      <c r="A1190" t="s">
        <v>1296</v>
      </c>
      <c r="B1190">
        <v>32</v>
      </c>
      <c r="C1190" s="55" t="s">
        <v>3450</v>
      </c>
      <c r="D1190" t="s">
        <v>3447</v>
      </c>
      <c r="E1190" t="s">
        <v>59</v>
      </c>
      <c r="F1190"/>
      <c r="G1190" s="130" t="str">
        <f t="shared" si="18"/>
        <v>應英二忠</v>
      </c>
    </row>
    <row r="1191" spans="1:7">
      <c r="A1191" t="s">
        <v>1297</v>
      </c>
      <c r="B1191">
        <v>1</v>
      </c>
      <c r="C1191" s="55">
        <v>108201</v>
      </c>
      <c r="D1191" t="s">
        <v>2771</v>
      </c>
      <c r="E1191" t="s">
        <v>60</v>
      </c>
      <c r="F1191"/>
      <c r="G1191" s="130" t="str">
        <f t="shared" si="18"/>
        <v>應英二孝</v>
      </c>
    </row>
    <row r="1192" spans="1:7">
      <c r="A1192" t="s">
        <v>1297</v>
      </c>
      <c r="B1192">
        <v>2</v>
      </c>
      <c r="C1192" s="55">
        <v>108202</v>
      </c>
      <c r="D1192" t="s">
        <v>2790</v>
      </c>
      <c r="E1192" t="s">
        <v>59</v>
      </c>
      <c r="F1192"/>
      <c r="G1192" s="130" t="str">
        <f t="shared" si="18"/>
        <v>應英二孝</v>
      </c>
    </row>
    <row r="1193" spans="1:7">
      <c r="A1193" t="s">
        <v>1297</v>
      </c>
      <c r="B1193">
        <v>3</v>
      </c>
      <c r="C1193" s="55">
        <v>108203</v>
      </c>
      <c r="D1193" t="s">
        <v>2808</v>
      </c>
      <c r="E1193" t="s">
        <v>60</v>
      </c>
      <c r="F1193"/>
      <c r="G1193" s="130" t="str">
        <f t="shared" si="18"/>
        <v>應英二孝</v>
      </c>
    </row>
    <row r="1194" spans="1:7">
      <c r="A1194" t="s">
        <v>1297</v>
      </c>
      <c r="B1194">
        <v>4</v>
      </c>
      <c r="C1194" s="55">
        <v>108204</v>
      </c>
      <c r="D1194" t="s">
        <v>2828</v>
      </c>
      <c r="E1194" t="s">
        <v>60</v>
      </c>
      <c r="F1194"/>
      <c r="G1194" s="130" t="str">
        <f t="shared" si="18"/>
        <v>應英二孝</v>
      </c>
    </row>
    <row r="1195" spans="1:7">
      <c r="A1195" t="s">
        <v>1297</v>
      </c>
      <c r="B1195">
        <v>5</v>
      </c>
      <c r="C1195" s="55">
        <v>108205</v>
      </c>
      <c r="D1195" t="s">
        <v>2846</v>
      </c>
      <c r="E1195" t="s">
        <v>60</v>
      </c>
      <c r="F1195"/>
      <c r="G1195" s="130" t="str">
        <f t="shared" si="18"/>
        <v>應英二孝</v>
      </c>
    </row>
    <row r="1196" spans="1:7">
      <c r="A1196" t="s">
        <v>1297</v>
      </c>
      <c r="B1196">
        <v>6</v>
      </c>
      <c r="C1196" s="55">
        <v>108206</v>
      </c>
      <c r="D1196" t="s">
        <v>2865</v>
      </c>
      <c r="E1196" t="s">
        <v>59</v>
      </c>
      <c r="F1196"/>
      <c r="G1196" s="130" t="str">
        <f t="shared" si="18"/>
        <v>應英二孝</v>
      </c>
    </row>
    <row r="1197" spans="1:7">
      <c r="A1197" t="s">
        <v>1297</v>
      </c>
      <c r="B1197">
        <v>7</v>
      </c>
      <c r="C1197" s="55">
        <v>108207</v>
      </c>
      <c r="D1197" t="s">
        <v>2885</v>
      </c>
      <c r="E1197" t="s">
        <v>60</v>
      </c>
      <c r="F1197"/>
      <c r="G1197" s="130" t="str">
        <f t="shared" si="18"/>
        <v>應英二孝</v>
      </c>
    </row>
    <row r="1198" spans="1:7">
      <c r="A1198" t="s">
        <v>1297</v>
      </c>
      <c r="B1198">
        <v>8</v>
      </c>
      <c r="C1198" s="55">
        <v>108208</v>
      </c>
      <c r="D1198" t="s">
        <v>2904</v>
      </c>
      <c r="E1198" t="s">
        <v>60</v>
      </c>
      <c r="F1198"/>
      <c r="G1198" s="130" t="str">
        <f t="shared" si="18"/>
        <v>應英二孝</v>
      </c>
    </row>
    <row r="1199" spans="1:7">
      <c r="A1199" t="s">
        <v>1297</v>
      </c>
      <c r="B1199">
        <v>9</v>
      </c>
      <c r="C1199" s="55">
        <v>108209</v>
      </c>
      <c r="D1199" t="s">
        <v>2923</v>
      </c>
      <c r="E1199" t="s">
        <v>59</v>
      </c>
      <c r="F1199"/>
      <c r="G1199" s="130" t="str">
        <f t="shared" si="18"/>
        <v>應英二孝</v>
      </c>
    </row>
    <row r="1200" spans="1:7">
      <c r="A1200" t="s">
        <v>1297</v>
      </c>
      <c r="B1200">
        <v>10</v>
      </c>
      <c r="C1200" s="55">
        <v>108210</v>
      </c>
      <c r="D1200" t="s">
        <v>2941</v>
      </c>
      <c r="E1200" t="s">
        <v>59</v>
      </c>
      <c r="F1200"/>
      <c r="G1200" s="130" t="str">
        <f t="shared" si="18"/>
        <v>應英二孝</v>
      </c>
    </row>
    <row r="1201" spans="1:7">
      <c r="A1201" t="s">
        <v>1297</v>
      </c>
      <c r="B1201">
        <v>11</v>
      </c>
      <c r="C1201" s="55">
        <v>108212</v>
      </c>
      <c r="D1201" t="s">
        <v>2979</v>
      </c>
      <c r="E1201" t="s">
        <v>59</v>
      </c>
      <c r="F1201"/>
      <c r="G1201" s="130" t="str">
        <f t="shared" si="18"/>
        <v>應英二孝</v>
      </c>
    </row>
    <row r="1202" spans="1:7">
      <c r="A1202" t="s">
        <v>1297</v>
      </c>
      <c r="B1202">
        <v>12</v>
      </c>
      <c r="C1202" s="55">
        <v>108213</v>
      </c>
      <c r="D1202" t="s">
        <v>2998</v>
      </c>
      <c r="E1202" t="s">
        <v>59</v>
      </c>
      <c r="F1202"/>
      <c r="G1202" s="130" t="str">
        <f t="shared" si="18"/>
        <v>應英二孝</v>
      </c>
    </row>
    <row r="1203" spans="1:7">
      <c r="A1203" t="s">
        <v>1297</v>
      </c>
      <c r="B1203">
        <v>13</v>
      </c>
      <c r="C1203" s="55">
        <v>108214</v>
      </c>
      <c r="D1203" t="s">
        <v>3017</v>
      </c>
      <c r="E1203" t="s">
        <v>60</v>
      </c>
      <c r="F1203"/>
      <c r="G1203" s="130" t="str">
        <f t="shared" si="18"/>
        <v>應英二孝</v>
      </c>
    </row>
    <row r="1204" spans="1:7">
      <c r="A1204" t="s">
        <v>1297</v>
      </c>
      <c r="B1204">
        <v>14</v>
      </c>
      <c r="C1204" s="55">
        <v>108215</v>
      </c>
      <c r="D1204" t="s">
        <v>3036</v>
      </c>
      <c r="E1204" t="s">
        <v>59</v>
      </c>
      <c r="F1204"/>
      <c r="G1204" s="130" t="str">
        <f t="shared" si="18"/>
        <v>應英二孝</v>
      </c>
    </row>
    <row r="1205" spans="1:7">
      <c r="A1205" t="s">
        <v>1297</v>
      </c>
      <c r="B1205">
        <v>15</v>
      </c>
      <c r="C1205" s="55">
        <v>108216</v>
      </c>
      <c r="D1205" t="s">
        <v>3052</v>
      </c>
      <c r="E1205" t="s">
        <v>60</v>
      </c>
      <c r="F1205"/>
      <c r="G1205" s="130" t="str">
        <f t="shared" si="18"/>
        <v>應英二孝</v>
      </c>
    </row>
    <row r="1206" spans="1:7">
      <c r="A1206" t="s">
        <v>1297</v>
      </c>
      <c r="B1206">
        <v>16</v>
      </c>
      <c r="C1206" s="55">
        <v>108217</v>
      </c>
      <c r="D1206" t="s">
        <v>3070</v>
      </c>
      <c r="E1206" t="s">
        <v>60</v>
      </c>
      <c r="F1206"/>
      <c r="G1206" s="130" t="str">
        <f t="shared" si="18"/>
        <v>應英二孝</v>
      </c>
    </row>
    <row r="1207" spans="1:7">
      <c r="A1207" t="s">
        <v>1297</v>
      </c>
      <c r="B1207">
        <v>17</v>
      </c>
      <c r="C1207" s="55">
        <v>108218</v>
      </c>
      <c r="D1207" t="s">
        <v>3088</v>
      </c>
      <c r="E1207" t="s">
        <v>59</v>
      </c>
      <c r="F1207"/>
      <c r="G1207" s="130" t="str">
        <f t="shared" si="18"/>
        <v>應英二孝</v>
      </c>
    </row>
    <row r="1208" spans="1:7">
      <c r="A1208" t="s">
        <v>1297</v>
      </c>
      <c r="B1208">
        <v>18</v>
      </c>
      <c r="C1208" s="55">
        <v>108220</v>
      </c>
      <c r="D1208" t="s">
        <v>3119</v>
      </c>
      <c r="E1208" t="s">
        <v>59</v>
      </c>
      <c r="F1208"/>
      <c r="G1208" s="130" t="str">
        <f t="shared" si="18"/>
        <v>應英二孝</v>
      </c>
    </row>
    <row r="1209" spans="1:7">
      <c r="A1209" t="s">
        <v>1297</v>
      </c>
      <c r="B1209">
        <v>19</v>
      </c>
      <c r="C1209" s="55">
        <v>108221</v>
      </c>
      <c r="D1209" t="s">
        <v>3137</v>
      </c>
      <c r="E1209" t="s">
        <v>60</v>
      </c>
      <c r="F1209"/>
      <c r="G1209" s="130" t="str">
        <f t="shared" si="18"/>
        <v>應英二孝</v>
      </c>
    </row>
    <row r="1210" spans="1:7">
      <c r="A1210" t="s">
        <v>1297</v>
      </c>
      <c r="B1210">
        <v>20</v>
      </c>
      <c r="C1210" s="55">
        <v>108222</v>
      </c>
      <c r="D1210" t="s">
        <v>3155</v>
      </c>
      <c r="E1210" t="s">
        <v>60</v>
      </c>
      <c r="F1210"/>
      <c r="G1210" s="130" t="str">
        <f t="shared" si="18"/>
        <v>應英二孝</v>
      </c>
    </row>
    <row r="1211" spans="1:7">
      <c r="A1211" t="s">
        <v>1297</v>
      </c>
      <c r="B1211">
        <v>21</v>
      </c>
      <c r="C1211" s="55">
        <v>108223</v>
      </c>
      <c r="D1211" t="s">
        <v>3170</v>
      </c>
      <c r="E1211" t="s">
        <v>60</v>
      </c>
      <c r="F1211"/>
      <c r="G1211" s="130" t="str">
        <f t="shared" si="18"/>
        <v>應英二孝</v>
      </c>
    </row>
    <row r="1212" spans="1:7">
      <c r="A1212" t="s">
        <v>1297</v>
      </c>
      <c r="B1212">
        <v>22</v>
      </c>
      <c r="C1212" s="55">
        <v>108224</v>
      </c>
      <c r="D1212" t="s">
        <v>3187</v>
      </c>
      <c r="E1212" t="s">
        <v>60</v>
      </c>
      <c r="F1212"/>
      <c r="G1212" s="130" t="str">
        <f t="shared" si="18"/>
        <v>應英二孝</v>
      </c>
    </row>
    <row r="1213" spans="1:7">
      <c r="A1213" t="s">
        <v>1297</v>
      </c>
      <c r="B1213">
        <v>23</v>
      </c>
      <c r="C1213" s="55">
        <v>108225</v>
      </c>
      <c r="D1213" t="s">
        <v>3204</v>
      </c>
      <c r="E1213" t="s">
        <v>59</v>
      </c>
      <c r="F1213"/>
      <c r="G1213" s="130" t="str">
        <f t="shared" si="18"/>
        <v>應英二孝</v>
      </c>
    </row>
    <row r="1214" spans="1:7">
      <c r="A1214" t="s">
        <v>1297</v>
      </c>
      <c r="B1214">
        <v>24</v>
      </c>
      <c r="C1214" s="55">
        <v>108226</v>
      </c>
      <c r="D1214" t="s">
        <v>3219</v>
      </c>
      <c r="E1214" t="s">
        <v>59</v>
      </c>
      <c r="F1214"/>
      <c r="G1214" s="130" t="str">
        <f t="shared" si="18"/>
        <v>應英二孝</v>
      </c>
    </row>
    <row r="1215" spans="1:7">
      <c r="A1215" t="s">
        <v>1297</v>
      </c>
      <c r="B1215">
        <v>25</v>
      </c>
      <c r="C1215" s="55">
        <v>108227</v>
      </c>
      <c r="D1215" t="s">
        <v>3236</v>
      </c>
      <c r="E1215" t="s">
        <v>60</v>
      </c>
      <c r="F1215"/>
      <c r="G1215" s="130" t="str">
        <f t="shared" si="18"/>
        <v>應英二孝</v>
      </c>
    </row>
    <row r="1216" spans="1:7">
      <c r="A1216" t="s">
        <v>1297</v>
      </c>
      <c r="B1216">
        <v>26</v>
      </c>
      <c r="C1216" s="55">
        <v>108228</v>
      </c>
      <c r="D1216" t="s">
        <v>3253</v>
      </c>
      <c r="E1216" t="s">
        <v>59</v>
      </c>
      <c r="F1216"/>
      <c r="G1216" s="130" t="str">
        <f t="shared" si="18"/>
        <v>應英二孝</v>
      </c>
    </row>
    <row r="1217" spans="1:7">
      <c r="A1217" t="s">
        <v>1297</v>
      </c>
      <c r="B1217">
        <v>27</v>
      </c>
      <c r="C1217" s="55">
        <v>108229</v>
      </c>
      <c r="D1217" t="s">
        <v>3270</v>
      </c>
      <c r="E1217" t="s">
        <v>59</v>
      </c>
      <c r="F1217"/>
      <c r="G1217" s="130" t="str">
        <f t="shared" si="18"/>
        <v>應英二孝</v>
      </c>
    </row>
    <row r="1218" spans="1:7">
      <c r="A1218" t="s">
        <v>1297</v>
      </c>
      <c r="B1218">
        <v>28</v>
      </c>
      <c r="C1218" s="55">
        <v>108230</v>
      </c>
      <c r="D1218" t="s">
        <v>3287</v>
      </c>
      <c r="E1218" t="s">
        <v>59</v>
      </c>
      <c r="F1218"/>
      <c r="G1218" s="130" t="str">
        <f t="shared" si="18"/>
        <v>應英二孝</v>
      </c>
    </row>
    <row r="1219" spans="1:7">
      <c r="A1219" t="s">
        <v>1297</v>
      </c>
      <c r="B1219">
        <v>29</v>
      </c>
      <c r="C1219" s="55">
        <v>108231</v>
      </c>
      <c r="D1219" t="s">
        <v>3303</v>
      </c>
      <c r="E1219" t="s">
        <v>60</v>
      </c>
      <c r="F1219"/>
      <c r="G1219" s="130" t="str">
        <f t="shared" ref="G1219:G1282" si="19">A1219&amp;F1219</f>
        <v>應英二孝</v>
      </c>
    </row>
    <row r="1220" spans="1:7">
      <c r="A1220" t="s">
        <v>1297</v>
      </c>
      <c r="B1220">
        <v>30</v>
      </c>
      <c r="C1220" s="55" t="s">
        <v>3567</v>
      </c>
      <c r="D1220" t="s">
        <v>2805</v>
      </c>
      <c r="E1220" t="s">
        <v>59</v>
      </c>
      <c r="F1220"/>
      <c r="G1220" s="130" t="str">
        <f t="shared" si="19"/>
        <v>應英二孝</v>
      </c>
    </row>
    <row r="1221" spans="1:7">
      <c r="A1221" t="s">
        <v>1297</v>
      </c>
      <c r="B1221">
        <v>31</v>
      </c>
      <c r="C1221" s="55" t="s">
        <v>3568</v>
      </c>
      <c r="D1221" t="s">
        <v>3165</v>
      </c>
      <c r="E1221" t="s">
        <v>59</v>
      </c>
      <c r="F1221"/>
      <c r="G1221" s="130" t="str">
        <f t="shared" si="19"/>
        <v>應英二孝</v>
      </c>
    </row>
    <row r="1222" spans="1:7">
      <c r="A1222" t="s">
        <v>1297</v>
      </c>
      <c r="B1222">
        <v>32</v>
      </c>
      <c r="C1222" s="55" t="s">
        <v>4377</v>
      </c>
      <c r="D1222" t="s">
        <v>3694</v>
      </c>
      <c r="E1222" t="s">
        <v>59</v>
      </c>
      <c r="F1222"/>
      <c r="G1222" s="130" t="str">
        <f t="shared" si="19"/>
        <v>應英二孝</v>
      </c>
    </row>
    <row r="1223" spans="1:7">
      <c r="A1223" t="s">
        <v>1298</v>
      </c>
      <c r="B1223">
        <v>1</v>
      </c>
      <c r="C1223" s="55">
        <v>106101</v>
      </c>
      <c r="D1223" t="s">
        <v>2772</v>
      </c>
      <c r="E1223" t="s">
        <v>59</v>
      </c>
      <c r="F1223"/>
      <c r="G1223" s="130" t="str">
        <f t="shared" si="19"/>
        <v>門服二忠</v>
      </c>
    </row>
    <row r="1224" spans="1:7">
      <c r="A1224" t="s">
        <v>1298</v>
      </c>
      <c r="B1224">
        <v>2</v>
      </c>
      <c r="C1224" s="55">
        <v>106102</v>
      </c>
      <c r="D1224" t="s">
        <v>2791</v>
      </c>
      <c r="E1224" t="s">
        <v>59</v>
      </c>
      <c r="F1224"/>
      <c r="G1224" s="130" t="str">
        <f t="shared" si="19"/>
        <v>門服二忠</v>
      </c>
    </row>
    <row r="1225" spans="1:7">
      <c r="A1225" t="s">
        <v>1298</v>
      </c>
      <c r="B1225">
        <v>3</v>
      </c>
      <c r="C1225" s="55">
        <v>106103</v>
      </c>
      <c r="D1225" t="s">
        <v>2809</v>
      </c>
      <c r="E1225" t="s">
        <v>59</v>
      </c>
      <c r="F1225"/>
      <c r="G1225" s="130" t="str">
        <f t="shared" si="19"/>
        <v>門服二忠</v>
      </c>
    </row>
    <row r="1226" spans="1:7">
      <c r="A1226" t="s">
        <v>1298</v>
      </c>
      <c r="B1226">
        <v>4</v>
      </c>
      <c r="C1226" s="55">
        <v>106105</v>
      </c>
      <c r="D1226" t="s">
        <v>2847</v>
      </c>
      <c r="E1226" t="s">
        <v>59</v>
      </c>
      <c r="F1226"/>
      <c r="G1226" s="130" t="str">
        <f t="shared" si="19"/>
        <v>門服二忠</v>
      </c>
    </row>
    <row r="1227" spans="1:7">
      <c r="A1227" t="s">
        <v>1298</v>
      </c>
      <c r="B1227">
        <v>5</v>
      </c>
      <c r="C1227" s="55">
        <v>106106</v>
      </c>
      <c r="D1227" t="s">
        <v>2866</v>
      </c>
      <c r="E1227" t="s">
        <v>59</v>
      </c>
      <c r="F1227"/>
      <c r="G1227" s="130" t="str">
        <f t="shared" si="19"/>
        <v>門服二忠</v>
      </c>
    </row>
    <row r="1228" spans="1:7">
      <c r="A1228" t="s">
        <v>1298</v>
      </c>
      <c r="B1228">
        <v>6</v>
      </c>
      <c r="C1228" s="55">
        <v>106107</v>
      </c>
      <c r="D1228" t="s">
        <v>2886</v>
      </c>
      <c r="E1228" t="s">
        <v>59</v>
      </c>
      <c r="F1228"/>
      <c r="G1228" s="130" t="str">
        <f t="shared" si="19"/>
        <v>門服二忠</v>
      </c>
    </row>
    <row r="1229" spans="1:7">
      <c r="A1229" t="s">
        <v>1298</v>
      </c>
      <c r="B1229">
        <v>7</v>
      </c>
      <c r="C1229" s="55">
        <v>106108</v>
      </c>
      <c r="D1229" t="s">
        <v>2905</v>
      </c>
      <c r="E1229" t="s">
        <v>59</v>
      </c>
      <c r="F1229"/>
      <c r="G1229" s="130" t="str">
        <f t="shared" si="19"/>
        <v>門服二忠</v>
      </c>
    </row>
    <row r="1230" spans="1:7">
      <c r="A1230" t="s">
        <v>1298</v>
      </c>
      <c r="B1230">
        <v>8</v>
      </c>
      <c r="C1230" s="55">
        <v>106110</v>
      </c>
      <c r="D1230" t="s">
        <v>2942</v>
      </c>
      <c r="E1230" t="s">
        <v>59</v>
      </c>
      <c r="F1230"/>
      <c r="G1230" s="130" t="str">
        <f t="shared" si="19"/>
        <v>門服二忠</v>
      </c>
    </row>
    <row r="1231" spans="1:7">
      <c r="A1231" t="s">
        <v>1298</v>
      </c>
      <c r="B1231">
        <v>9</v>
      </c>
      <c r="C1231" s="55">
        <v>106111</v>
      </c>
      <c r="D1231" t="s">
        <v>2961</v>
      </c>
      <c r="E1231" t="s">
        <v>60</v>
      </c>
      <c r="F1231"/>
      <c r="G1231" s="130" t="str">
        <f t="shared" si="19"/>
        <v>門服二忠</v>
      </c>
    </row>
    <row r="1232" spans="1:7">
      <c r="A1232" t="s">
        <v>1298</v>
      </c>
      <c r="B1232">
        <v>10</v>
      </c>
      <c r="C1232" s="55" t="s">
        <v>945</v>
      </c>
      <c r="D1232" t="s">
        <v>946</v>
      </c>
      <c r="E1232" t="s">
        <v>60</v>
      </c>
      <c r="F1232"/>
      <c r="G1232" s="130" t="str">
        <f t="shared" si="19"/>
        <v>門服二忠</v>
      </c>
    </row>
    <row r="1233" spans="1:7">
      <c r="A1233" t="s">
        <v>3698</v>
      </c>
      <c r="B1233">
        <v>1</v>
      </c>
      <c r="C1233" s="55">
        <v>109101</v>
      </c>
      <c r="D1233" t="s">
        <v>2773</v>
      </c>
      <c r="E1233" t="s">
        <v>59</v>
      </c>
      <c r="F1233"/>
      <c r="G1233" s="130" t="str">
        <f t="shared" si="19"/>
        <v>微電二忠</v>
      </c>
    </row>
    <row r="1234" spans="1:7">
      <c r="A1234" t="s">
        <v>3698</v>
      </c>
      <c r="B1234">
        <v>2</v>
      </c>
      <c r="C1234" s="55">
        <v>109102</v>
      </c>
      <c r="D1234" t="s">
        <v>2792</v>
      </c>
      <c r="E1234" t="s">
        <v>59</v>
      </c>
      <c r="F1234"/>
      <c r="G1234" s="130" t="str">
        <f t="shared" si="19"/>
        <v>微電二忠</v>
      </c>
    </row>
    <row r="1235" spans="1:7">
      <c r="A1235" t="s">
        <v>3698</v>
      </c>
      <c r="B1235">
        <v>3</v>
      </c>
      <c r="C1235" s="55">
        <v>109103</v>
      </c>
      <c r="D1235" t="s">
        <v>2810</v>
      </c>
      <c r="E1235" t="s">
        <v>60</v>
      </c>
      <c r="F1235"/>
      <c r="G1235" s="130" t="str">
        <f t="shared" si="19"/>
        <v>微電二忠</v>
      </c>
    </row>
    <row r="1236" spans="1:7">
      <c r="A1236" t="s">
        <v>3698</v>
      </c>
      <c r="B1236">
        <v>4</v>
      </c>
      <c r="C1236" s="55">
        <v>109104</v>
      </c>
      <c r="D1236" t="s">
        <v>2830</v>
      </c>
      <c r="E1236" t="s">
        <v>59</v>
      </c>
      <c r="F1236"/>
      <c r="G1236" s="130" t="str">
        <f t="shared" si="19"/>
        <v>微電二忠</v>
      </c>
    </row>
    <row r="1237" spans="1:7">
      <c r="A1237" t="s">
        <v>3698</v>
      </c>
      <c r="B1237">
        <v>5</v>
      </c>
      <c r="C1237" s="55">
        <v>109105</v>
      </c>
      <c r="D1237" t="s">
        <v>2848</v>
      </c>
      <c r="E1237" t="s">
        <v>59</v>
      </c>
      <c r="F1237"/>
      <c r="G1237" s="130" t="str">
        <f t="shared" si="19"/>
        <v>微電二忠</v>
      </c>
    </row>
    <row r="1238" spans="1:7">
      <c r="A1238" t="s">
        <v>3698</v>
      </c>
      <c r="B1238">
        <v>6</v>
      </c>
      <c r="C1238" s="55">
        <v>109106</v>
      </c>
      <c r="D1238" t="s">
        <v>2867</v>
      </c>
      <c r="E1238" t="s">
        <v>59</v>
      </c>
      <c r="F1238"/>
      <c r="G1238" s="130" t="str">
        <f t="shared" si="19"/>
        <v>微電二忠</v>
      </c>
    </row>
    <row r="1239" spans="1:7">
      <c r="A1239" t="s">
        <v>3698</v>
      </c>
      <c r="B1239">
        <v>7</v>
      </c>
      <c r="C1239" s="55">
        <v>109107</v>
      </c>
      <c r="D1239" t="s">
        <v>2887</v>
      </c>
      <c r="E1239" t="s">
        <v>59</v>
      </c>
      <c r="F1239"/>
      <c r="G1239" s="130" t="str">
        <f t="shared" si="19"/>
        <v>微電二忠</v>
      </c>
    </row>
    <row r="1240" spans="1:7">
      <c r="A1240" t="s">
        <v>3698</v>
      </c>
      <c r="B1240">
        <v>8</v>
      </c>
      <c r="C1240" s="55">
        <v>109108</v>
      </c>
      <c r="D1240" t="s">
        <v>2906</v>
      </c>
      <c r="E1240" t="s">
        <v>59</v>
      </c>
      <c r="F1240"/>
      <c r="G1240" s="130" t="str">
        <f t="shared" si="19"/>
        <v>微電二忠</v>
      </c>
    </row>
    <row r="1241" spans="1:7">
      <c r="A1241" t="s">
        <v>3698</v>
      </c>
      <c r="B1241">
        <v>9</v>
      </c>
      <c r="C1241" s="55">
        <v>109109</v>
      </c>
      <c r="D1241" t="s">
        <v>2925</v>
      </c>
      <c r="E1241" t="s">
        <v>59</v>
      </c>
      <c r="F1241"/>
      <c r="G1241" s="130" t="str">
        <f t="shared" si="19"/>
        <v>微電二忠</v>
      </c>
    </row>
    <row r="1242" spans="1:7">
      <c r="A1242" t="s">
        <v>3698</v>
      </c>
      <c r="B1242">
        <v>10</v>
      </c>
      <c r="C1242" s="55">
        <v>109110</v>
      </c>
      <c r="D1242" t="s">
        <v>2943</v>
      </c>
      <c r="E1242" t="s">
        <v>59</v>
      </c>
      <c r="F1242"/>
      <c r="G1242" s="130" t="str">
        <f t="shared" si="19"/>
        <v>微電二忠</v>
      </c>
    </row>
    <row r="1243" spans="1:7">
      <c r="A1243" t="s">
        <v>3698</v>
      </c>
      <c r="B1243">
        <v>11</v>
      </c>
      <c r="C1243" s="55">
        <v>109111</v>
      </c>
      <c r="D1243" t="s">
        <v>2962</v>
      </c>
      <c r="E1243" t="s">
        <v>59</v>
      </c>
      <c r="F1243"/>
      <c r="G1243" s="130" t="str">
        <f t="shared" si="19"/>
        <v>微電二忠</v>
      </c>
    </row>
    <row r="1244" spans="1:7">
      <c r="A1244" t="s">
        <v>3698</v>
      </c>
      <c r="B1244">
        <v>12</v>
      </c>
      <c r="C1244" s="55">
        <v>109112</v>
      </c>
      <c r="D1244" t="s">
        <v>2980</v>
      </c>
      <c r="E1244" t="s">
        <v>59</v>
      </c>
      <c r="F1244"/>
      <c r="G1244" s="130" t="str">
        <f t="shared" si="19"/>
        <v>微電二忠</v>
      </c>
    </row>
    <row r="1245" spans="1:7">
      <c r="A1245" t="s">
        <v>3698</v>
      </c>
      <c r="B1245">
        <v>13</v>
      </c>
      <c r="C1245" s="55">
        <v>109114</v>
      </c>
      <c r="D1245" t="s">
        <v>3018</v>
      </c>
      <c r="E1245" t="s">
        <v>59</v>
      </c>
      <c r="F1245"/>
      <c r="G1245" s="130" t="str">
        <f t="shared" si="19"/>
        <v>微電二忠</v>
      </c>
    </row>
    <row r="1246" spans="1:7">
      <c r="A1246" t="s">
        <v>80</v>
      </c>
      <c r="B1246">
        <v>1</v>
      </c>
      <c r="C1246" s="55">
        <v>107101</v>
      </c>
      <c r="D1246" t="s">
        <v>2774</v>
      </c>
      <c r="E1246" t="s">
        <v>59</v>
      </c>
      <c r="F1246"/>
      <c r="G1246" s="130" t="str">
        <f t="shared" si="19"/>
        <v>體育二忠</v>
      </c>
    </row>
    <row r="1247" spans="1:7">
      <c r="A1247" t="s">
        <v>80</v>
      </c>
      <c r="B1247">
        <v>2</v>
      </c>
      <c r="C1247" s="55">
        <v>107102</v>
      </c>
      <c r="D1247" t="s">
        <v>2793</v>
      </c>
      <c r="E1247" t="s">
        <v>60</v>
      </c>
      <c r="F1247"/>
      <c r="G1247" s="130" t="str">
        <f t="shared" si="19"/>
        <v>體育二忠</v>
      </c>
    </row>
    <row r="1248" spans="1:7">
      <c r="A1248" t="s">
        <v>80</v>
      </c>
      <c r="B1248">
        <v>3</v>
      </c>
      <c r="C1248" s="55">
        <v>107103</v>
      </c>
      <c r="D1248" t="s">
        <v>2811</v>
      </c>
      <c r="E1248" t="s">
        <v>59</v>
      </c>
      <c r="F1248"/>
      <c r="G1248" s="130" t="str">
        <f t="shared" si="19"/>
        <v>體育二忠</v>
      </c>
    </row>
    <row r="1249" spans="1:7">
      <c r="A1249" t="s">
        <v>80</v>
      </c>
      <c r="B1249">
        <v>4</v>
      </c>
      <c r="C1249" s="55">
        <v>107104</v>
      </c>
      <c r="D1249" t="s">
        <v>2831</v>
      </c>
      <c r="E1249" t="s">
        <v>59</v>
      </c>
      <c r="F1249"/>
      <c r="G1249" s="130" t="str">
        <f t="shared" si="19"/>
        <v>體育二忠</v>
      </c>
    </row>
    <row r="1250" spans="1:7">
      <c r="A1250" t="s">
        <v>80</v>
      </c>
      <c r="B1250">
        <v>5</v>
      </c>
      <c r="C1250" s="55">
        <v>107105</v>
      </c>
      <c r="D1250" t="s">
        <v>2849</v>
      </c>
      <c r="E1250" t="s">
        <v>59</v>
      </c>
      <c r="F1250"/>
      <c r="G1250" s="130" t="str">
        <f t="shared" si="19"/>
        <v>體育二忠</v>
      </c>
    </row>
    <row r="1251" spans="1:7">
      <c r="A1251" t="s">
        <v>80</v>
      </c>
      <c r="B1251">
        <v>6</v>
      </c>
      <c r="C1251" s="55">
        <v>107106</v>
      </c>
      <c r="D1251" t="s">
        <v>2868</v>
      </c>
      <c r="E1251" t="s">
        <v>60</v>
      </c>
      <c r="F1251"/>
      <c r="G1251" s="130" t="str">
        <f t="shared" si="19"/>
        <v>體育二忠</v>
      </c>
    </row>
    <row r="1252" spans="1:7">
      <c r="A1252" t="s">
        <v>80</v>
      </c>
      <c r="B1252">
        <v>7</v>
      </c>
      <c r="C1252" s="55">
        <v>107107</v>
      </c>
      <c r="D1252" t="s">
        <v>2888</v>
      </c>
      <c r="E1252" t="s">
        <v>59</v>
      </c>
      <c r="F1252"/>
      <c r="G1252" s="130" t="str">
        <f t="shared" si="19"/>
        <v>體育二忠</v>
      </c>
    </row>
    <row r="1253" spans="1:7">
      <c r="A1253" t="s">
        <v>80</v>
      </c>
      <c r="B1253">
        <v>8</v>
      </c>
      <c r="C1253" s="55">
        <v>107108</v>
      </c>
      <c r="D1253" t="s">
        <v>2907</v>
      </c>
      <c r="E1253" t="s">
        <v>59</v>
      </c>
      <c r="F1253"/>
      <c r="G1253" s="130" t="str">
        <f t="shared" si="19"/>
        <v>體育二忠</v>
      </c>
    </row>
    <row r="1254" spans="1:7">
      <c r="A1254" t="s">
        <v>80</v>
      </c>
      <c r="B1254">
        <v>9</v>
      </c>
      <c r="C1254" s="55">
        <v>107109</v>
      </c>
      <c r="D1254" t="s">
        <v>2926</v>
      </c>
      <c r="E1254" t="s">
        <v>59</v>
      </c>
      <c r="F1254"/>
      <c r="G1254" s="130" t="str">
        <f t="shared" si="19"/>
        <v>體育二忠</v>
      </c>
    </row>
    <row r="1255" spans="1:7">
      <c r="A1255" t="s">
        <v>80</v>
      </c>
      <c r="B1255">
        <v>10</v>
      </c>
      <c r="C1255" s="55">
        <v>107110</v>
      </c>
      <c r="D1255" t="s">
        <v>2944</v>
      </c>
      <c r="E1255" t="s">
        <v>59</v>
      </c>
      <c r="F1255"/>
      <c r="G1255" s="130" t="str">
        <f t="shared" si="19"/>
        <v>體育二忠</v>
      </c>
    </row>
    <row r="1256" spans="1:7">
      <c r="A1256" t="s">
        <v>80</v>
      </c>
      <c r="B1256">
        <v>11</v>
      </c>
      <c r="C1256" s="55">
        <v>107111</v>
      </c>
      <c r="D1256" t="s">
        <v>2963</v>
      </c>
      <c r="E1256" t="s">
        <v>59</v>
      </c>
      <c r="F1256"/>
      <c r="G1256" s="130" t="str">
        <f t="shared" si="19"/>
        <v>體育二忠</v>
      </c>
    </row>
    <row r="1257" spans="1:7">
      <c r="A1257" t="s">
        <v>80</v>
      </c>
      <c r="B1257">
        <v>12</v>
      </c>
      <c r="C1257" s="55">
        <v>107112</v>
      </c>
      <c r="D1257" t="s">
        <v>2981</v>
      </c>
      <c r="E1257" t="s">
        <v>59</v>
      </c>
      <c r="F1257"/>
      <c r="G1257" s="130" t="str">
        <f t="shared" si="19"/>
        <v>體育二忠</v>
      </c>
    </row>
    <row r="1258" spans="1:7">
      <c r="A1258" t="s">
        <v>80</v>
      </c>
      <c r="B1258">
        <v>13</v>
      </c>
      <c r="C1258" s="55">
        <v>107113</v>
      </c>
      <c r="D1258" t="s">
        <v>3000</v>
      </c>
      <c r="E1258" t="s">
        <v>59</v>
      </c>
      <c r="F1258"/>
      <c r="G1258" s="130" t="str">
        <f t="shared" si="19"/>
        <v>體育二忠</v>
      </c>
    </row>
    <row r="1259" spans="1:7">
      <c r="A1259" t="s">
        <v>80</v>
      </c>
      <c r="B1259">
        <v>14</v>
      </c>
      <c r="C1259" s="55">
        <v>107114</v>
      </c>
      <c r="D1259" t="s">
        <v>3019</v>
      </c>
      <c r="E1259" t="s">
        <v>59</v>
      </c>
      <c r="F1259"/>
      <c r="G1259" s="130" t="str">
        <f t="shared" si="19"/>
        <v>體育二忠</v>
      </c>
    </row>
    <row r="1260" spans="1:7">
      <c r="A1260" t="s">
        <v>80</v>
      </c>
      <c r="B1260">
        <v>15</v>
      </c>
      <c r="C1260" s="55">
        <v>107115</v>
      </c>
      <c r="D1260" t="s">
        <v>3037</v>
      </c>
      <c r="E1260" t="s">
        <v>59</v>
      </c>
      <c r="F1260"/>
      <c r="G1260" s="130" t="str">
        <f t="shared" si="19"/>
        <v>體育二忠</v>
      </c>
    </row>
    <row r="1261" spans="1:7">
      <c r="A1261" t="s">
        <v>80</v>
      </c>
      <c r="B1261">
        <v>16</v>
      </c>
      <c r="C1261" s="55">
        <v>107116</v>
      </c>
      <c r="D1261" t="s">
        <v>3053</v>
      </c>
      <c r="E1261" t="s">
        <v>59</v>
      </c>
      <c r="F1261"/>
      <c r="G1261" s="130" t="str">
        <f t="shared" si="19"/>
        <v>體育二忠</v>
      </c>
    </row>
    <row r="1262" spans="1:7">
      <c r="A1262" t="s">
        <v>80</v>
      </c>
      <c r="B1262">
        <v>17</v>
      </c>
      <c r="C1262" s="55">
        <v>107117</v>
      </c>
      <c r="D1262" t="s">
        <v>3071</v>
      </c>
      <c r="E1262" t="s">
        <v>59</v>
      </c>
      <c r="F1262"/>
      <c r="G1262" s="130" t="str">
        <f t="shared" si="19"/>
        <v>體育二忠</v>
      </c>
    </row>
    <row r="1263" spans="1:7">
      <c r="A1263" t="s">
        <v>80</v>
      </c>
      <c r="B1263">
        <v>18</v>
      </c>
      <c r="C1263" s="55">
        <v>107118</v>
      </c>
      <c r="D1263" t="s">
        <v>3089</v>
      </c>
      <c r="E1263" t="s">
        <v>59</v>
      </c>
      <c r="F1263"/>
      <c r="G1263" s="130" t="str">
        <f t="shared" si="19"/>
        <v>體育二忠</v>
      </c>
    </row>
    <row r="1264" spans="1:7">
      <c r="A1264" t="s">
        <v>80</v>
      </c>
      <c r="B1264">
        <v>19</v>
      </c>
      <c r="C1264" s="55">
        <v>107119</v>
      </c>
      <c r="D1264" t="s">
        <v>3104</v>
      </c>
      <c r="E1264" t="s">
        <v>60</v>
      </c>
      <c r="F1264"/>
      <c r="G1264" s="130" t="str">
        <f t="shared" si="19"/>
        <v>體育二忠</v>
      </c>
    </row>
    <row r="1265" spans="1:7">
      <c r="A1265" t="s">
        <v>80</v>
      </c>
      <c r="B1265">
        <v>20</v>
      </c>
      <c r="C1265" s="55">
        <v>107120</v>
      </c>
      <c r="D1265" t="s">
        <v>3120</v>
      </c>
      <c r="E1265" t="s">
        <v>59</v>
      </c>
      <c r="F1265"/>
      <c r="G1265" s="130" t="str">
        <f t="shared" si="19"/>
        <v>體育二忠</v>
      </c>
    </row>
    <row r="1266" spans="1:7">
      <c r="A1266" t="s">
        <v>80</v>
      </c>
      <c r="B1266">
        <v>21</v>
      </c>
      <c r="C1266" s="55">
        <v>107121</v>
      </c>
      <c r="D1266" t="s">
        <v>3138</v>
      </c>
      <c r="E1266" t="s">
        <v>59</v>
      </c>
      <c r="F1266"/>
      <c r="G1266" s="130" t="str">
        <f t="shared" si="19"/>
        <v>體育二忠</v>
      </c>
    </row>
    <row r="1267" spans="1:7">
      <c r="A1267" t="s">
        <v>80</v>
      </c>
      <c r="B1267">
        <v>22</v>
      </c>
      <c r="C1267" s="55">
        <v>107122</v>
      </c>
      <c r="D1267" t="s">
        <v>3156</v>
      </c>
      <c r="E1267" t="s">
        <v>60</v>
      </c>
      <c r="F1267"/>
      <c r="G1267" s="130" t="str">
        <f t="shared" si="19"/>
        <v>體育二忠</v>
      </c>
    </row>
    <row r="1268" spans="1:7">
      <c r="A1268" t="s">
        <v>80</v>
      </c>
      <c r="B1268">
        <v>23</v>
      </c>
      <c r="C1268" s="55">
        <v>107123</v>
      </c>
      <c r="D1268" t="s">
        <v>3171</v>
      </c>
      <c r="E1268" t="s">
        <v>59</v>
      </c>
      <c r="F1268"/>
      <c r="G1268" s="130" t="str">
        <f t="shared" si="19"/>
        <v>體育二忠</v>
      </c>
    </row>
    <row r="1269" spans="1:7">
      <c r="A1269" t="s">
        <v>80</v>
      </c>
      <c r="B1269">
        <v>24</v>
      </c>
      <c r="C1269" s="55">
        <v>107124</v>
      </c>
      <c r="D1269" t="s">
        <v>3188</v>
      </c>
      <c r="E1269" t="s">
        <v>59</v>
      </c>
      <c r="F1269"/>
      <c r="G1269" s="130" t="str">
        <f t="shared" si="19"/>
        <v>體育二忠</v>
      </c>
    </row>
    <row r="1270" spans="1:7">
      <c r="A1270" t="s">
        <v>81</v>
      </c>
      <c r="B1270">
        <v>1</v>
      </c>
      <c r="C1270" s="55" t="s">
        <v>1305</v>
      </c>
      <c r="D1270" t="s">
        <v>1306</v>
      </c>
      <c r="E1270" t="s">
        <v>59</v>
      </c>
      <c r="F1270"/>
      <c r="G1270" s="130" t="str">
        <f t="shared" si="19"/>
        <v>電子三忠</v>
      </c>
    </row>
    <row r="1271" spans="1:7">
      <c r="A1271" t="s">
        <v>81</v>
      </c>
      <c r="B1271">
        <v>2</v>
      </c>
      <c r="C1271" s="55" t="s">
        <v>1343</v>
      </c>
      <c r="D1271" t="s">
        <v>1344</v>
      </c>
      <c r="E1271" t="s">
        <v>59</v>
      </c>
      <c r="F1271"/>
      <c r="G1271" s="130" t="str">
        <f t="shared" si="19"/>
        <v>電子三忠</v>
      </c>
    </row>
    <row r="1272" spans="1:7">
      <c r="A1272" t="s">
        <v>81</v>
      </c>
      <c r="B1272">
        <v>3</v>
      </c>
      <c r="C1272" s="55" t="s">
        <v>1379</v>
      </c>
      <c r="D1272" t="s">
        <v>1380</v>
      </c>
      <c r="E1272" t="s">
        <v>59</v>
      </c>
      <c r="F1272"/>
      <c r="G1272" s="130" t="str">
        <f t="shared" si="19"/>
        <v>電子三忠</v>
      </c>
    </row>
    <row r="1273" spans="1:7">
      <c r="A1273" t="s">
        <v>81</v>
      </c>
      <c r="B1273">
        <v>4</v>
      </c>
      <c r="C1273" s="55" t="s">
        <v>1416</v>
      </c>
      <c r="D1273" t="s">
        <v>1417</v>
      </c>
      <c r="E1273" t="s">
        <v>59</v>
      </c>
      <c r="F1273"/>
      <c r="G1273" s="130" t="str">
        <f t="shared" si="19"/>
        <v>電子三忠</v>
      </c>
    </row>
    <row r="1274" spans="1:7">
      <c r="A1274" t="s">
        <v>81</v>
      </c>
      <c r="B1274">
        <v>5</v>
      </c>
      <c r="C1274" s="55" t="s">
        <v>1490</v>
      </c>
      <c r="D1274" t="s">
        <v>1491</v>
      </c>
      <c r="E1274" t="s">
        <v>59</v>
      </c>
      <c r="F1274"/>
      <c r="G1274" s="130" t="str">
        <f t="shared" si="19"/>
        <v>電子三忠</v>
      </c>
    </row>
    <row r="1275" spans="1:7">
      <c r="A1275" t="s">
        <v>81</v>
      </c>
      <c r="B1275">
        <v>6</v>
      </c>
      <c r="C1275" s="55" t="s">
        <v>1527</v>
      </c>
      <c r="D1275" t="s">
        <v>1528</v>
      </c>
      <c r="E1275" t="s">
        <v>59</v>
      </c>
      <c r="F1275"/>
      <c r="G1275" s="130" t="str">
        <f t="shared" si="19"/>
        <v>電子三忠</v>
      </c>
    </row>
    <row r="1276" spans="1:7">
      <c r="A1276" t="s">
        <v>81</v>
      </c>
      <c r="B1276">
        <v>7</v>
      </c>
      <c r="C1276" s="55" t="s">
        <v>1563</v>
      </c>
      <c r="D1276" t="s">
        <v>1564</v>
      </c>
      <c r="E1276" t="s">
        <v>59</v>
      </c>
      <c r="F1276"/>
      <c r="G1276" s="130" t="str">
        <f t="shared" si="19"/>
        <v>電子三忠</v>
      </c>
    </row>
    <row r="1277" spans="1:7">
      <c r="A1277" t="s">
        <v>81</v>
      </c>
      <c r="B1277">
        <v>8</v>
      </c>
      <c r="C1277" s="55" t="s">
        <v>1601</v>
      </c>
      <c r="D1277" t="s">
        <v>1602</v>
      </c>
      <c r="E1277" t="s">
        <v>59</v>
      </c>
      <c r="F1277"/>
      <c r="G1277" s="130" t="str">
        <f t="shared" si="19"/>
        <v>電子三忠</v>
      </c>
    </row>
    <row r="1278" spans="1:7">
      <c r="A1278" t="s">
        <v>81</v>
      </c>
      <c r="B1278">
        <v>9</v>
      </c>
      <c r="C1278" s="55" t="s">
        <v>1639</v>
      </c>
      <c r="D1278" t="s">
        <v>1640</v>
      </c>
      <c r="E1278" t="s">
        <v>59</v>
      </c>
      <c r="F1278"/>
      <c r="G1278" s="130" t="str">
        <f t="shared" si="19"/>
        <v>電子三忠</v>
      </c>
    </row>
    <row r="1279" spans="1:7">
      <c r="A1279" t="s">
        <v>81</v>
      </c>
      <c r="B1279">
        <v>10</v>
      </c>
      <c r="C1279" s="55" t="s">
        <v>1677</v>
      </c>
      <c r="D1279" t="s">
        <v>1678</v>
      </c>
      <c r="E1279" t="s">
        <v>60</v>
      </c>
      <c r="F1279"/>
      <c r="G1279" s="130" t="str">
        <f t="shared" si="19"/>
        <v>電子三忠</v>
      </c>
    </row>
    <row r="1280" spans="1:7">
      <c r="A1280" t="s">
        <v>81</v>
      </c>
      <c r="B1280">
        <v>11</v>
      </c>
      <c r="C1280" s="55" t="s">
        <v>1715</v>
      </c>
      <c r="D1280" t="s">
        <v>1716</v>
      </c>
      <c r="E1280" t="s">
        <v>59</v>
      </c>
      <c r="F1280"/>
      <c r="G1280" s="130" t="str">
        <f t="shared" si="19"/>
        <v>電子三忠</v>
      </c>
    </row>
    <row r="1281" spans="1:7">
      <c r="A1281" t="s">
        <v>81</v>
      </c>
      <c r="B1281">
        <v>12</v>
      </c>
      <c r="C1281" s="55" t="s">
        <v>1752</v>
      </c>
      <c r="D1281" t="s">
        <v>1753</v>
      </c>
      <c r="E1281" t="s">
        <v>60</v>
      </c>
      <c r="F1281"/>
      <c r="G1281" s="130" t="str">
        <f t="shared" si="19"/>
        <v>電子三忠</v>
      </c>
    </row>
    <row r="1282" spans="1:7">
      <c r="A1282" t="s">
        <v>81</v>
      </c>
      <c r="B1282">
        <v>13</v>
      </c>
      <c r="C1282" s="55" t="s">
        <v>1789</v>
      </c>
      <c r="D1282" t="s">
        <v>1790</v>
      </c>
      <c r="E1282" t="s">
        <v>59</v>
      </c>
      <c r="F1282"/>
      <c r="G1282" s="130" t="str">
        <f t="shared" si="19"/>
        <v>電子三忠</v>
      </c>
    </row>
    <row r="1283" spans="1:7">
      <c r="A1283" t="s">
        <v>81</v>
      </c>
      <c r="B1283">
        <v>14</v>
      </c>
      <c r="C1283" s="55" t="s">
        <v>1823</v>
      </c>
      <c r="D1283" t="s">
        <v>1824</v>
      </c>
      <c r="E1283" t="s">
        <v>59</v>
      </c>
      <c r="F1283"/>
      <c r="G1283" s="130" t="str">
        <f t="shared" ref="G1283:G1346" si="20">A1283&amp;F1283</f>
        <v>電子三忠</v>
      </c>
    </row>
    <row r="1284" spans="1:7">
      <c r="A1284" t="s">
        <v>81</v>
      </c>
      <c r="B1284">
        <v>15</v>
      </c>
      <c r="C1284" s="55" t="s">
        <v>1858</v>
      </c>
      <c r="D1284" t="s">
        <v>1859</v>
      </c>
      <c r="E1284" t="s">
        <v>59</v>
      </c>
      <c r="F1284"/>
      <c r="G1284" s="130" t="str">
        <f t="shared" si="20"/>
        <v>電子三忠</v>
      </c>
    </row>
    <row r="1285" spans="1:7">
      <c r="A1285" t="s">
        <v>81</v>
      </c>
      <c r="B1285">
        <v>16</v>
      </c>
      <c r="C1285" s="55" t="s">
        <v>1892</v>
      </c>
      <c r="D1285" t="s">
        <v>1893</v>
      </c>
      <c r="E1285" t="s">
        <v>59</v>
      </c>
      <c r="F1285"/>
      <c r="G1285" s="130" t="str">
        <f t="shared" si="20"/>
        <v>電子三忠</v>
      </c>
    </row>
    <row r="1286" spans="1:7">
      <c r="A1286" t="s">
        <v>81</v>
      </c>
      <c r="B1286">
        <v>17</v>
      </c>
      <c r="C1286" s="55" t="s">
        <v>1927</v>
      </c>
      <c r="D1286" t="s">
        <v>1928</v>
      </c>
      <c r="E1286" t="s">
        <v>60</v>
      </c>
      <c r="F1286"/>
      <c r="G1286" s="130" t="str">
        <f t="shared" si="20"/>
        <v>電子三忠</v>
      </c>
    </row>
    <row r="1287" spans="1:7">
      <c r="A1287" t="s">
        <v>81</v>
      </c>
      <c r="B1287">
        <v>18</v>
      </c>
      <c r="C1287" s="55" t="s">
        <v>1962</v>
      </c>
      <c r="D1287" t="s">
        <v>1963</v>
      </c>
      <c r="E1287" t="s">
        <v>59</v>
      </c>
      <c r="F1287"/>
      <c r="G1287" s="130" t="str">
        <f t="shared" si="20"/>
        <v>電子三忠</v>
      </c>
    </row>
    <row r="1288" spans="1:7">
      <c r="A1288" t="s">
        <v>81</v>
      </c>
      <c r="B1288">
        <v>19</v>
      </c>
      <c r="C1288" s="55" t="s">
        <v>1996</v>
      </c>
      <c r="D1288" t="s">
        <v>141</v>
      </c>
      <c r="E1288" t="s">
        <v>59</v>
      </c>
      <c r="F1288"/>
      <c r="G1288" s="130" t="str">
        <f t="shared" si="20"/>
        <v>電子三忠</v>
      </c>
    </row>
    <row r="1289" spans="1:7">
      <c r="A1289" t="s">
        <v>81</v>
      </c>
      <c r="B1289">
        <v>20</v>
      </c>
      <c r="C1289" s="55" t="s">
        <v>2027</v>
      </c>
      <c r="D1289" t="s">
        <v>143</v>
      </c>
      <c r="E1289" t="s">
        <v>59</v>
      </c>
      <c r="F1289"/>
      <c r="G1289" s="130" t="str">
        <f t="shared" si="20"/>
        <v>電子三忠</v>
      </c>
    </row>
    <row r="1290" spans="1:7">
      <c r="A1290" t="s">
        <v>81</v>
      </c>
      <c r="B1290">
        <v>21</v>
      </c>
      <c r="C1290" s="55" t="s">
        <v>2059</v>
      </c>
      <c r="D1290" t="s">
        <v>2060</v>
      </c>
      <c r="E1290" t="s">
        <v>59</v>
      </c>
      <c r="F1290"/>
      <c r="G1290" s="130" t="str">
        <f t="shared" si="20"/>
        <v>電子三忠</v>
      </c>
    </row>
    <row r="1291" spans="1:7">
      <c r="A1291" t="s">
        <v>81</v>
      </c>
      <c r="B1291">
        <v>22</v>
      </c>
      <c r="C1291" s="55" t="s">
        <v>2093</v>
      </c>
      <c r="D1291" t="s">
        <v>2094</v>
      </c>
      <c r="E1291" t="s">
        <v>59</v>
      </c>
      <c r="F1291"/>
      <c r="G1291" s="130" t="str">
        <f t="shared" si="20"/>
        <v>電子三忠</v>
      </c>
    </row>
    <row r="1292" spans="1:7">
      <c r="A1292" t="s">
        <v>81</v>
      </c>
      <c r="B1292">
        <v>23</v>
      </c>
      <c r="C1292" s="55" t="s">
        <v>2125</v>
      </c>
      <c r="D1292" t="s">
        <v>2126</v>
      </c>
      <c r="E1292" t="s">
        <v>59</v>
      </c>
      <c r="F1292"/>
      <c r="G1292" s="130" t="str">
        <f t="shared" si="20"/>
        <v>電子三忠</v>
      </c>
    </row>
    <row r="1293" spans="1:7">
      <c r="A1293" t="s">
        <v>81</v>
      </c>
      <c r="B1293">
        <v>24</v>
      </c>
      <c r="C1293" s="55" t="s">
        <v>2159</v>
      </c>
      <c r="D1293" t="s">
        <v>2160</v>
      </c>
      <c r="E1293" t="s">
        <v>59</v>
      </c>
      <c r="F1293"/>
      <c r="G1293" s="130" t="str">
        <f t="shared" si="20"/>
        <v>電子三忠</v>
      </c>
    </row>
    <row r="1294" spans="1:7">
      <c r="A1294" t="s">
        <v>81</v>
      </c>
      <c r="B1294">
        <v>25</v>
      </c>
      <c r="C1294" s="55" t="s">
        <v>2193</v>
      </c>
      <c r="D1294" t="s">
        <v>2194</v>
      </c>
      <c r="E1294" t="s">
        <v>60</v>
      </c>
      <c r="F1294"/>
      <c r="G1294" s="130" t="str">
        <f t="shared" si="20"/>
        <v>電子三忠</v>
      </c>
    </row>
    <row r="1295" spans="1:7">
      <c r="A1295" t="s">
        <v>81</v>
      </c>
      <c r="B1295">
        <v>26</v>
      </c>
      <c r="C1295" s="55" t="s">
        <v>2226</v>
      </c>
      <c r="D1295" t="s">
        <v>2227</v>
      </c>
      <c r="E1295" t="s">
        <v>59</v>
      </c>
      <c r="F1295"/>
      <c r="G1295" s="130" t="str">
        <f t="shared" si="20"/>
        <v>電子三忠</v>
      </c>
    </row>
    <row r="1296" spans="1:7">
      <c r="A1296" t="s">
        <v>81</v>
      </c>
      <c r="B1296">
        <v>27</v>
      </c>
      <c r="C1296" s="55" t="s">
        <v>2294</v>
      </c>
      <c r="D1296" t="s">
        <v>2295</v>
      </c>
      <c r="E1296" t="s">
        <v>59</v>
      </c>
      <c r="F1296"/>
      <c r="G1296" s="130" t="str">
        <f t="shared" si="20"/>
        <v>電子三忠</v>
      </c>
    </row>
    <row r="1297" spans="1:7">
      <c r="A1297" t="s">
        <v>81</v>
      </c>
      <c r="B1297">
        <v>28</v>
      </c>
      <c r="C1297" s="55" t="s">
        <v>2326</v>
      </c>
      <c r="D1297" t="s">
        <v>2327</v>
      </c>
      <c r="E1297" t="s">
        <v>59</v>
      </c>
      <c r="F1297"/>
      <c r="G1297" s="130" t="str">
        <f t="shared" si="20"/>
        <v>電子三忠</v>
      </c>
    </row>
    <row r="1298" spans="1:7">
      <c r="A1298" t="s">
        <v>81</v>
      </c>
      <c r="B1298">
        <v>29</v>
      </c>
      <c r="C1298" s="55" t="s">
        <v>2360</v>
      </c>
      <c r="D1298" t="s">
        <v>2361</v>
      </c>
      <c r="E1298" t="s">
        <v>59</v>
      </c>
      <c r="F1298"/>
      <c r="G1298" s="130" t="str">
        <f t="shared" si="20"/>
        <v>電子三忠</v>
      </c>
    </row>
    <row r="1299" spans="1:7">
      <c r="A1299" t="s">
        <v>81</v>
      </c>
      <c r="B1299">
        <v>30</v>
      </c>
      <c r="C1299" s="55" t="s">
        <v>2394</v>
      </c>
      <c r="D1299" t="s">
        <v>2395</v>
      </c>
      <c r="E1299" t="s">
        <v>59</v>
      </c>
      <c r="F1299"/>
      <c r="G1299" s="130" t="str">
        <f t="shared" si="20"/>
        <v>電子三忠</v>
      </c>
    </row>
    <row r="1300" spans="1:7">
      <c r="A1300" t="s">
        <v>81</v>
      </c>
      <c r="B1300">
        <v>31</v>
      </c>
      <c r="C1300" s="55" t="s">
        <v>2426</v>
      </c>
      <c r="D1300" t="s">
        <v>2427</v>
      </c>
      <c r="E1300" t="s">
        <v>59</v>
      </c>
      <c r="F1300"/>
      <c r="G1300" s="130" t="str">
        <f t="shared" si="20"/>
        <v>電子三忠</v>
      </c>
    </row>
    <row r="1301" spans="1:7">
      <c r="A1301" t="s">
        <v>81</v>
      </c>
      <c r="B1301">
        <v>32</v>
      </c>
      <c r="C1301" s="55" t="s">
        <v>2455</v>
      </c>
      <c r="D1301" t="s">
        <v>2456</v>
      </c>
      <c r="E1301" t="s">
        <v>59</v>
      </c>
      <c r="F1301"/>
      <c r="G1301" s="130" t="str">
        <f t="shared" si="20"/>
        <v>電子三忠</v>
      </c>
    </row>
    <row r="1302" spans="1:7">
      <c r="A1302" t="s">
        <v>81</v>
      </c>
      <c r="B1302">
        <v>33</v>
      </c>
      <c r="C1302" s="55" t="s">
        <v>2538</v>
      </c>
      <c r="D1302" t="s">
        <v>2570</v>
      </c>
      <c r="E1302" t="s">
        <v>59</v>
      </c>
      <c r="F1302"/>
      <c r="G1302" s="130" t="str">
        <f t="shared" si="20"/>
        <v>電子三忠</v>
      </c>
    </row>
    <row r="1303" spans="1:7">
      <c r="A1303" t="s">
        <v>82</v>
      </c>
      <c r="B1303">
        <v>1</v>
      </c>
      <c r="C1303" s="55" t="s">
        <v>1307</v>
      </c>
      <c r="D1303" t="s">
        <v>1308</v>
      </c>
      <c r="E1303" t="s">
        <v>59</v>
      </c>
      <c r="F1303"/>
      <c r="G1303" s="130" t="str">
        <f t="shared" si="20"/>
        <v>電子三孝</v>
      </c>
    </row>
    <row r="1304" spans="1:7">
      <c r="A1304" t="s">
        <v>82</v>
      </c>
      <c r="B1304">
        <v>2</v>
      </c>
      <c r="C1304" s="55" t="s">
        <v>1345</v>
      </c>
      <c r="D1304" t="s">
        <v>1346</v>
      </c>
      <c r="E1304" t="s">
        <v>59</v>
      </c>
      <c r="F1304"/>
      <c r="G1304" s="130" t="str">
        <f t="shared" si="20"/>
        <v>電子三孝</v>
      </c>
    </row>
    <row r="1305" spans="1:7">
      <c r="A1305" t="s">
        <v>82</v>
      </c>
      <c r="B1305">
        <v>3</v>
      </c>
      <c r="C1305" s="55" t="s">
        <v>1381</v>
      </c>
      <c r="D1305" t="s">
        <v>1382</v>
      </c>
      <c r="E1305" t="s">
        <v>59</v>
      </c>
      <c r="F1305"/>
      <c r="G1305" s="130" t="str">
        <f t="shared" si="20"/>
        <v>電子三孝</v>
      </c>
    </row>
    <row r="1306" spans="1:7">
      <c r="A1306" t="s">
        <v>82</v>
      </c>
      <c r="B1306">
        <v>4</v>
      </c>
      <c r="C1306" s="55" t="s">
        <v>1418</v>
      </c>
      <c r="D1306" t="s">
        <v>1419</v>
      </c>
      <c r="E1306" t="s">
        <v>59</v>
      </c>
      <c r="F1306"/>
      <c r="G1306" s="130" t="str">
        <f t="shared" si="20"/>
        <v>電子三孝</v>
      </c>
    </row>
    <row r="1307" spans="1:7">
      <c r="A1307" t="s">
        <v>82</v>
      </c>
      <c r="B1307">
        <v>5</v>
      </c>
      <c r="C1307" s="55" t="s">
        <v>1455</v>
      </c>
      <c r="D1307" t="s">
        <v>1456</v>
      </c>
      <c r="E1307" t="s">
        <v>59</v>
      </c>
      <c r="F1307"/>
      <c r="G1307" s="130" t="str">
        <f t="shared" si="20"/>
        <v>電子三孝</v>
      </c>
    </row>
    <row r="1308" spans="1:7">
      <c r="A1308" t="s">
        <v>82</v>
      </c>
      <c r="B1308">
        <v>6</v>
      </c>
      <c r="C1308" s="55" t="s">
        <v>1492</v>
      </c>
      <c r="D1308" t="s">
        <v>1493</v>
      </c>
      <c r="E1308" t="s">
        <v>59</v>
      </c>
      <c r="F1308"/>
      <c r="G1308" s="130" t="str">
        <f t="shared" si="20"/>
        <v>電子三孝</v>
      </c>
    </row>
    <row r="1309" spans="1:7">
      <c r="A1309" t="s">
        <v>82</v>
      </c>
      <c r="B1309">
        <v>7</v>
      </c>
      <c r="C1309" s="55" t="s">
        <v>1529</v>
      </c>
      <c r="D1309" t="s">
        <v>1530</v>
      </c>
      <c r="E1309" t="s">
        <v>59</v>
      </c>
      <c r="F1309"/>
      <c r="G1309" s="130" t="str">
        <f t="shared" si="20"/>
        <v>電子三孝</v>
      </c>
    </row>
    <row r="1310" spans="1:7">
      <c r="A1310" t="s">
        <v>82</v>
      </c>
      <c r="B1310">
        <v>8</v>
      </c>
      <c r="C1310" s="55" t="s">
        <v>1565</v>
      </c>
      <c r="D1310" t="s">
        <v>1566</v>
      </c>
      <c r="E1310" t="s">
        <v>59</v>
      </c>
      <c r="F1310"/>
      <c r="G1310" s="130" t="str">
        <f t="shared" si="20"/>
        <v>電子三孝</v>
      </c>
    </row>
    <row r="1311" spans="1:7">
      <c r="A1311" t="s">
        <v>82</v>
      </c>
      <c r="B1311">
        <v>9</v>
      </c>
      <c r="C1311" s="55" t="s">
        <v>1603</v>
      </c>
      <c r="D1311" t="s">
        <v>1604</v>
      </c>
      <c r="E1311" t="s">
        <v>59</v>
      </c>
      <c r="F1311"/>
      <c r="G1311" s="130" t="str">
        <f t="shared" si="20"/>
        <v>電子三孝</v>
      </c>
    </row>
    <row r="1312" spans="1:7">
      <c r="A1312" t="s">
        <v>82</v>
      </c>
      <c r="B1312">
        <v>10</v>
      </c>
      <c r="C1312" s="55" t="s">
        <v>1641</v>
      </c>
      <c r="D1312" t="s">
        <v>1642</v>
      </c>
      <c r="E1312" t="s">
        <v>59</v>
      </c>
      <c r="F1312"/>
      <c r="G1312" s="130" t="str">
        <f t="shared" si="20"/>
        <v>電子三孝</v>
      </c>
    </row>
    <row r="1313" spans="1:7">
      <c r="A1313" t="s">
        <v>82</v>
      </c>
      <c r="B1313">
        <v>11</v>
      </c>
      <c r="C1313" s="55" t="s">
        <v>1754</v>
      </c>
      <c r="D1313" t="s">
        <v>1755</v>
      </c>
      <c r="E1313" t="s">
        <v>59</v>
      </c>
      <c r="F1313"/>
      <c r="G1313" s="130" t="str">
        <f t="shared" si="20"/>
        <v>電子三孝</v>
      </c>
    </row>
    <row r="1314" spans="1:7">
      <c r="A1314" t="s">
        <v>82</v>
      </c>
      <c r="B1314">
        <v>12</v>
      </c>
      <c r="C1314" s="55" t="s">
        <v>1791</v>
      </c>
      <c r="D1314" t="s">
        <v>1792</v>
      </c>
      <c r="E1314" t="s">
        <v>59</v>
      </c>
      <c r="F1314"/>
      <c r="G1314" s="130" t="str">
        <f t="shared" si="20"/>
        <v>電子三孝</v>
      </c>
    </row>
    <row r="1315" spans="1:7">
      <c r="A1315" t="s">
        <v>82</v>
      </c>
      <c r="B1315">
        <v>13</v>
      </c>
      <c r="C1315" s="55" t="s">
        <v>1825</v>
      </c>
      <c r="D1315" t="s">
        <v>1826</v>
      </c>
      <c r="E1315" t="s">
        <v>59</v>
      </c>
      <c r="F1315"/>
      <c r="G1315" s="130" t="str">
        <f t="shared" si="20"/>
        <v>電子三孝</v>
      </c>
    </row>
    <row r="1316" spans="1:7">
      <c r="A1316" t="s">
        <v>82</v>
      </c>
      <c r="B1316">
        <v>14</v>
      </c>
      <c r="C1316" s="55" t="s">
        <v>1860</v>
      </c>
      <c r="D1316" t="s">
        <v>1861</v>
      </c>
      <c r="E1316" t="s">
        <v>59</v>
      </c>
      <c r="F1316"/>
      <c r="G1316" s="130" t="str">
        <f t="shared" si="20"/>
        <v>電子三孝</v>
      </c>
    </row>
    <row r="1317" spans="1:7">
      <c r="A1317" t="s">
        <v>82</v>
      </c>
      <c r="B1317">
        <v>15</v>
      </c>
      <c r="C1317" s="55" t="s">
        <v>1894</v>
      </c>
      <c r="D1317" t="s">
        <v>1895</v>
      </c>
      <c r="E1317" t="s">
        <v>59</v>
      </c>
      <c r="F1317"/>
      <c r="G1317" s="130" t="str">
        <f t="shared" si="20"/>
        <v>電子三孝</v>
      </c>
    </row>
    <row r="1318" spans="1:7">
      <c r="A1318" t="s">
        <v>82</v>
      </c>
      <c r="B1318">
        <v>16</v>
      </c>
      <c r="C1318" s="55" t="s">
        <v>1929</v>
      </c>
      <c r="D1318" t="s">
        <v>1930</v>
      </c>
      <c r="E1318" t="s">
        <v>59</v>
      </c>
      <c r="F1318"/>
      <c r="G1318" s="130" t="str">
        <f t="shared" si="20"/>
        <v>電子三孝</v>
      </c>
    </row>
    <row r="1319" spans="1:7">
      <c r="A1319" t="s">
        <v>82</v>
      </c>
      <c r="B1319">
        <v>17</v>
      </c>
      <c r="C1319" s="55" t="s">
        <v>1964</v>
      </c>
      <c r="D1319" t="s">
        <v>1965</v>
      </c>
      <c r="E1319" t="s">
        <v>59</v>
      </c>
      <c r="F1319"/>
      <c r="G1319" s="130" t="str">
        <f t="shared" si="20"/>
        <v>電子三孝</v>
      </c>
    </row>
    <row r="1320" spans="1:7">
      <c r="A1320" t="s">
        <v>82</v>
      </c>
      <c r="B1320">
        <v>18</v>
      </c>
      <c r="C1320" s="55" t="s">
        <v>2095</v>
      </c>
      <c r="D1320" t="s">
        <v>2096</v>
      </c>
      <c r="E1320" t="s">
        <v>59</v>
      </c>
      <c r="F1320"/>
      <c r="G1320" s="130" t="str">
        <f t="shared" si="20"/>
        <v>電子三孝</v>
      </c>
    </row>
    <row r="1321" spans="1:7">
      <c r="A1321" t="s">
        <v>82</v>
      </c>
      <c r="B1321">
        <v>19</v>
      </c>
      <c r="C1321" s="55" t="s">
        <v>2127</v>
      </c>
      <c r="D1321" t="s">
        <v>2128</v>
      </c>
      <c r="E1321" t="s">
        <v>59</v>
      </c>
      <c r="F1321"/>
      <c r="G1321" s="130" t="str">
        <f t="shared" si="20"/>
        <v>電子三孝</v>
      </c>
    </row>
    <row r="1322" spans="1:7">
      <c r="A1322" t="s">
        <v>82</v>
      </c>
      <c r="B1322">
        <v>20</v>
      </c>
      <c r="C1322" s="55" t="s">
        <v>2161</v>
      </c>
      <c r="D1322" t="s">
        <v>2162</v>
      </c>
      <c r="E1322" t="s">
        <v>59</v>
      </c>
      <c r="F1322"/>
      <c r="G1322" s="130" t="str">
        <f t="shared" si="20"/>
        <v>電子三孝</v>
      </c>
    </row>
    <row r="1323" spans="1:7">
      <c r="A1323" t="s">
        <v>82</v>
      </c>
      <c r="B1323">
        <v>21</v>
      </c>
      <c r="C1323" s="55" t="s">
        <v>2228</v>
      </c>
      <c r="D1323" t="s">
        <v>2229</v>
      </c>
      <c r="E1323" t="s">
        <v>59</v>
      </c>
      <c r="F1323"/>
      <c r="G1323" s="130" t="str">
        <f t="shared" si="20"/>
        <v>電子三孝</v>
      </c>
    </row>
    <row r="1324" spans="1:7">
      <c r="A1324" t="s">
        <v>82</v>
      </c>
      <c r="B1324">
        <v>22</v>
      </c>
      <c r="C1324" s="55" t="s">
        <v>2262</v>
      </c>
      <c r="D1324" t="s">
        <v>2263</v>
      </c>
      <c r="E1324" t="s">
        <v>59</v>
      </c>
      <c r="F1324"/>
      <c r="G1324" s="130" t="str">
        <f t="shared" si="20"/>
        <v>電子三孝</v>
      </c>
    </row>
    <row r="1325" spans="1:7">
      <c r="A1325" t="s">
        <v>82</v>
      </c>
      <c r="B1325">
        <v>23</v>
      </c>
      <c r="C1325" s="55" t="s">
        <v>2296</v>
      </c>
      <c r="D1325" t="s">
        <v>2297</v>
      </c>
      <c r="E1325" t="s">
        <v>59</v>
      </c>
      <c r="F1325"/>
      <c r="G1325" s="130" t="str">
        <f t="shared" si="20"/>
        <v>電子三孝</v>
      </c>
    </row>
    <row r="1326" spans="1:7">
      <c r="A1326" t="s">
        <v>82</v>
      </c>
      <c r="B1326">
        <v>24</v>
      </c>
      <c r="C1326" s="55" t="s">
        <v>2362</v>
      </c>
      <c r="D1326" t="s">
        <v>2363</v>
      </c>
      <c r="E1326" t="s">
        <v>59</v>
      </c>
      <c r="F1326"/>
      <c r="G1326" s="130" t="str">
        <f t="shared" si="20"/>
        <v>電子三孝</v>
      </c>
    </row>
    <row r="1327" spans="1:7">
      <c r="A1327" t="s">
        <v>82</v>
      </c>
      <c r="B1327">
        <v>25</v>
      </c>
      <c r="C1327" s="55" t="s">
        <v>2396</v>
      </c>
      <c r="D1327" t="s">
        <v>2397</v>
      </c>
      <c r="E1327" t="s">
        <v>60</v>
      </c>
      <c r="F1327"/>
      <c r="G1327" s="130" t="str">
        <f t="shared" si="20"/>
        <v>電子三孝</v>
      </c>
    </row>
    <row r="1328" spans="1:7">
      <c r="A1328" t="s">
        <v>82</v>
      </c>
      <c r="B1328">
        <v>26</v>
      </c>
      <c r="C1328" s="55" t="s">
        <v>2428</v>
      </c>
      <c r="D1328" t="s">
        <v>2429</v>
      </c>
      <c r="E1328" t="s">
        <v>59</v>
      </c>
      <c r="F1328"/>
      <c r="G1328" s="130" t="str">
        <f t="shared" si="20"/>
        <v>電子三孝</v>
      </c>
    </row>
    <row r="1329" spans="1:7">
      <c r="A1329" t="s">
        <v>82</v>
      </c>
      <c r="B1329">
        <v>27</v>
      </c>
      <c r="C1329" s="55" t="s">
        <v>2457</v>
      </c>
      <c r="D1329" t="s">
        <v>2458</v>
      </c>
      <c r="E1329" t="s">
        <v>59</v>
      </c>
      <c r="F1329"/>
      <c r="G1329" s="130" t="str">
        <f t="shared" si="20"/>
        <v>電子三孝</v>
      </c>
    </row>
    <row r="1330" spans="1:7">
      <c r="A1330" t="s">
        <v>83</v>
      </c>
      <c r="B1330">
        <v>1</v>
      </c>
      <c r="C1330" s="55" t="s">
        <v>1309</v>
      </c>
      <c r="D1330" t="s">
        <v>1310</v>
      </c>
      <c r="E1330" t="s">
        <v>59</v>
      </c>
      <c r="F1330"/>
      <c r="G1330" s="130" t="str">
        <f t="shared" si="20"/>
        <v>電子三仁</v>
      </c>
    </row>
    <row r="1331" spans="1:7">
      <c r="A1331" t="s">
        <v>83</v>
      </c>
      <c r="B1331">
        <v>2</v>
      </c>
      <c r="C1331" s="55" t="s">
        <v>1347</v>
      </c>
      <c r="D1331" t="s">
        <v>142</v>
      </c>
      <c r="E1331" t="s">
        <v>59</v>
      </c>
      <c r="F1331"/>
      <c r="G1331" s="130" t="str">
        <f t="shared" si="20"/>
        <v>電子三仁</v>
      </c>
    </row>
    <row r="1332" spans="1:7">
      <c r="A1332" t="s">
        <v>83</v>
      </c>
      <c r="B1332">
        <v>3</v>
      </c>
      <c r="C1332" s="55" t="s">
        <v>1383</v>
      </c>
      <c r="D1332" t="s">
        <v>1384</v>
      </c>
      <c r="E1332" t="s">
        <v>59</v>
      </c>
      <c r="F1332"/>
      <c r="G1332" s="130" t="str">
        <f t="shared" si="20"/>
        <v>電子三仁</v>
      </c>
    </row>
    <row r="1333" spans="1:7">
      <c r="A1333" t="s">
        <v>83</v>
      </c>
      <c r="B1333">
        <v>4</v>
      </c>
      <c r="C1333" s="55" t="s">
        <v>1420</v>
      </c>
      <c r="D1333" t="s">
        <v>1421</v>
      </c>
      <c r="E1333" t="s">
        <v>59</v>
      </c>
      <c r="F1333"/>
      <c r="G1333" s="130" t="str">
        <f t="shared" si="20"/>
        <v>電子三仁</v>
      </c>
    </row>
    <row r="1334" spans="1:7">
      <c r="A1334" t="s">
        <v>83</v>
      </c>
      <c r="B1334">
        <v>5</v>
      </c>
      <c r="C1334" s="55" t="s">
        <v>1457</v>
      </c>
      <c r="D1334" t="s">
        <v>1458</v>
      </c>
      <c r="E1334" t="s">
        <v>59</v>
      </c>
      <c r="F1334"/>
      <c r="G1334" s="130" t="str">
        <f t="shared" si="20"/>
        <v>電子三仁</v>
      </c>
    </row>
    <row r="1335" spans="1:7">
      <c r="A1335" t="s">
        <v>83</v>
      </c>
      <c r="B1335">
        <v>6</v>
      </c>
      <c r="C1335" s="55" t="s">
        <v>1494</v>
      </c>
      <c r="D1335" t="s">
        <v>1495</v>
      </c>
      <c r="E1335" t="s">
        <v>59</v>
      </c>
      <c r="F1335"/>
      <c r="G1335" s="130" t="str">
        <f t="shared" si="20"/>
        <v>電子三仁</v>
      </c>
    </row>
    <row r="1336" spans="1:7">
      <c r="A1336" t="s">
        <v>83</v>
      </c>
      <c r="B1336">
        <v>7</v>
      </c>
      <c r="C1336" s="55" t="s">
        <v>1531</v>
      </c>
      <c r="D1336" t="s">
        <v>1532</v>
      </c>
      <c r="E1336" t="s">
        <v>59</v>
      </c>
      <c r="F1336"/>
      <c r="G1336" s="130" t="str">
        <f t="shared" si="20"/>
        <v>電子三仁</v>
      </c>
    </row>
    <row r="1337" spans="1:7">
      <c r="A1337" t="s">
        <v>83</v>
      </c>
      <c r="B1337">
        <v>8</v>
      </c>
      <c r="C1337" s="55" t="s">
        <v>1567</v>
      </c>
      <c r="D1337" t="s">
        <v>1568</v>
      </c>
      <c r="E1337" t="s">
        <v>59</v>
      </c>
      <c r="F1337"/>
      <c r="G1337" s="130" t="str">
        <f t="shared" si="20"/>
        <v>電子三仁</v>
      </c>
    </row>
    <row r="1338" spans="1:7">
      <c r="A1338" t="s">
        <v>83</v>
      </c>
      <c r="B1338">
        <v>9</v>
      </c>
      <c r="C1338" s="55" t="s">
        <v>1605</v>
      </c>
      <c r="D1338" t="s">
        <v>1606</v>
      </c>
      <c r="E1338" t="s">
        <v>60</v>
      </c>
      <c r="F1338"/>
      <c r="G1338" s="130" t="str">
        <f t="shared" si="20"/>
        <v>電子三仁</v>
      </c>
    </row>
    <row r="1339" spans="1:7">
      <c r="A1339" t="s">
        <v>83</v>
      </c>
      <c r="B1339">
        <v>10</v>
      </c>
      <c r="C1339" s="55" t="s">
        <v>1643</v>
      </c>
      <c r="D1339" t="s">
        <v>1644</v>
      </c>
      <c r="E1339" t="s">
        <v>59</v>
      </c>
      <c r="F1339"/>
      <c r="G1339" s="130" t="str">
        <f t="shared" si="20"/>
        <v>電子三仁</v>
      </c>
    </row>
    <row r="1340" spans="1:7">
      <c r="A1340" t="s">
        <v>83</v>
      </c>
      <c r="B1340">
        <v>11</v>
      </c>
      <c r="C1340" s="55" t="s">
        <v>1681</v>
      </c>
      <c r="D1340" t="s">
        <v>1682</v>
      </c>
      <c r="E1340" t="s">
        <v>59</v>
      </c>
      <c r="F1340"/>
      <c r="G1340" s="130" t="str">
        <f t="shared" si="20"/>
        <v>電子三仁</v>
      </c>
    </row>
    <row r="1341" spans="1:7">
      <c r="A1341" t="s">
        <v>83</v>
      </c>
      <c r="B1341">
        <v>12</v>
      </c>
      <c r="C1341" s="55" t="s">
        <v>1719</v>
      </c>
      <c r="D1341" t="s">
        <v>1720</v>
      </c>
      <c r="E1341" t="s">
        <v>59</v>
      </c>
      <c r="F1341"/>
      <c r="G1341" s="130" t="str">
        <f t="shared" si="20"/>
        <v>電子三仁</v>
      </c>
    </row>
    <row r="1342" spans="1:7">
      <c r="A1342" t="s">
        <v>83</v>
      </c>
      <c r="B1342">
        <v>13</v>
      </c>
      <c r="C1342" s="55" t="s">
        <v>1756</v>
      </c>
      <c r="D1342" t="s">
        <v>1757</v>
      </c>
      <c r="E1342" t="s">
        <v>59</v>
      </c>
      <c r="F1342"/>
      <c r="G1342" s="130" t="str">
        <f t="shared" si="20"/>
        <v>電子三仁</v>
      </c>
    </row>
    <row r="1343" spans="1:7">
      <c r="A1343" t="s">
        <v>83</v>
      </c>
      <c r="B1343">
        <v>14</v>
      </c>
      <c r="C1343" s="55" t="s">
        <v>1793</v>
      </c>
      <c r="D1343" t="s">
        <v>1794</v>
      </c>
      <c r="E1343" t="s">
        <v>59</v>
      </c>
      <c r="F1343"/>
      <c r="G1343" s="130" t="str">
        <f t="shared" si="20"/>
        <v>電子三仁</v>
      </c>
    </row>
    <row r="1344" spans="1:7">
      <c r="A1344" t="s">
        <v>83</v>
      </c>
      <c r="B1344">
        <v>15</v>
      </c>
      <c r="C1344" s="55" t="s">
        <v>1827</v>
      </c>
      <c r="D1344" t="s">
        <v>150</v>
      </c>
      <c r="E1344" t="s">
        <v>59</v>
      </c>
      <c r="F1344"/>
      <c r="G1344" s="130" t="str">
        <f t="shared" si="20"/>
        <v>電子三仁</v>
      </c>
    </row>
    <row r="1345" spans="1:7">
      <c r="A1345" t="s">
        <v>83</v>
      </c>
      <c r="B1345">
        <v>16</v>
      </c>
      <c r="C1345" s="55" t="s">
        <v>1862</v>
      </c>
      <c r="D1345" t="s">
        <v>607</v>
      </c>
      <c r="E1345" t="s">
        <v>59</v>
      </c>
      <c r="F1345"/>
      <c r="G1345" s="130" t="str">
        <f t="shared" si="20"/>
        <v>電子三仁</v>
      </c>
    </row>
    <row r="1346" spans="1:7">
      <c r="A1346" t="s">
        <v>83</v>
      </c>
      <c r="B1346">
        <v>17</v>
      </c>
      <c r="C1346" s="55" t="s">
        <v>1896</v>
      </c>
      <c r="D1346" t="s">
        <v>1897</v>
      </c>
      <c r="E1346" t="s">
        <v>59</v>
      </c>
      <c r="F1346"/>
      <c r="G1346" s="130" t="str">
        <f t="shared" si="20"/>
        <v>電子三仁</v>
      </c>
    </row>
    <row r="1347" spans="1:7">
      <c r="A1347" t="s">
        <v>83</v>
      </c>
      <c r="B1347">
        <v>18</v>
      </c>
      <c r="C1347" s="55" t="s">
        <v>1931</v>
      </c>
      <c r="D1347" t="s">
        <v>1932</v>
      </c>
      <c r="E1347" t="s">
        <v>59</v>
      </c>
      <c r="F1347"/>
      <c r="G1347" s="130" t="str">
        <f t="shared" ref="G1347:G1410" si="21">A1347&amp;F1347</f>
        <v>電子三仁</v>
      </c>
    </row>
    <row r="1348" spans="1:7">
      <c r="A1348" t="s">
        <v>83</v>
      </c>
      <c r="B1348">
        <v>19</v>
      </c>
      <c r="C1348" s="55" t="s">
        <v>1966</v>
      </c>
      <c r="D1348" t="s">
        <v>1967</v>
      </c>
      <c r="E1348" t="s">
        <v>59</v>
      </c>
      <c r="F1348"/>
      <c r="G1348" s="130" t="str">
        <f t="shared" si="21"/>
        <v>電子三仁</v>
      </c>
    </row>
    <row r="1349" spans="1:7">
      <c r="A1349" t="s">
        <v>83</v>
      </c>
      <c r="B1349">
        <v>20</v>
      </c>
      <c r="C1349" s="55" t="s">
        <v>1999</v>
      </c>
      <c r="D1349" t="s">
        <v>2000</v>
      </c>
      <c r="E1349" t="s">
        <v>59</v>
      </c>
      <c r="F1349"/>
      <c r="G1349" s="130" t="str">
        <f t="shared" si="21"/>
        <v>電子三仁</v>
      </c>
    </row>
    <row r="1350" spans="1:7">
      <c r="A1350" t="s">
        <v>83</v>
      </c>
      <c r="B1350">
        <v>21</v>
      </c>
      <c r="C1350" s="55" t="s">
        <v>2030</v>
      </c>
      <c r="D1350" t="s">
        <v>2031</v>
      </c>
      <c r="E1350" t="s">
        <v>60</v>
      </c>
      <c r="F1350"/>
      <c r="G1350" s="130" t="str">
        <f t="shared" si="21"/>
        <v>電子三仁</v>
      </c>
    </row>
    <row r="1351" spans="1:7">
      <c r="A1351" t="s">
        <v>83</v>
      </c>
      <c r="B1351">
        <v>22</v>
      </c>
      <c r="C1351" s="55" t="s">
        <v>2063</v>
      </c>
      <c r="D1351" t="s">
        <v>2064</v>
      </c>
      <c r="E1351" t="s">
        <v>59</v>
      </c>
      <c r="F1351"/>
      <c r="G1351" s="130" t="str">
        <f t="shared" si="21"/>
        <v>電子三仁</v>
      </c>
    </row>
    <row r="1352" spans="1:7">
      <c r="A1352" t="s">
        <v>83</v>
      </c>
      <c r="B1352">
        <v>23</v>
      </c>
      <c r="C1352" s="55" t="s">
        <v>2097</v>
      </c>
      <c r="D1352" t="s">
        <v>1014</v>
      </c>
      <c r="E1352" t="s">
        <v>59</v>
      </c>
      <c r="F1352"/>
      <c r="G1352" s="130" t="str">
        <f t="shared" si="21"/>
        <v>電子三仁</v>
      </c>
    </row>
    <row r="1353" spans="1:7">
      <c r="A1353" t="s">
        <v>83</v>
      </c>
      <c r="B1353">
        <v>24</v>
      </c>
      <c r="C1353" s="55" t="s">
        <v>2129</v>
      </c>
      <c r="D1353" t="s">
        <v>2130</v>
      </c>
      <c r="E1353" t="s">
        <v>59</v>
      </c>
      <c r="F1353"/>
      <c r="G1353" s="130" t="str">
        <f t="shared" si="21"/>
        <v>電子三仁</v>
      </c>
    </row>
    <row r="1354" spans="1:7">
      <c r="A1354" t="s">
        <v>83</v>
      </c>
      <c r="B1354">
        <v>25</v>
      </c>
      <c r="C1354" s="55" t="s">
        <v>2163</v>
      </c>
      <c r="D1354" t="s">
        <v>2164</v>
      </c>
      <c r="E1354" t="s">
        <v>59</v>
      </c>
      <c r="F1354"/>
      <c r="G1354" s="130" t="str">
        <f t="shared" si="21"/>
        <v>電子三仁</v>
      </c>
    </row>
    <row r="1355" spans="1:7">
      <c r="A1355" t="s">
        <v>83</v>
      </c>
      <c r="B1355">
        <v>26</v>
      </c>
      <c r="C1355" s="55" t="s">
        <v>2197</v>
      </c>
      <c r="D1355" t="s">
        <v>2198</v>
      </c>
      <c r="E1355" t="s">
        <v>59</v>
      </c>
      <c r="F1355"/>
      <c r="G1355" s="130" t="str">
        <f t="shared" si="21"/>
        <v>電子三仁</v>
      </c>
    </row>
    <row r="1356" spans="1:7">
      <c r="A1356" t="s">
        <v>83</v>
      </c>
      <c r="B1356">
        <v>27</v>
      </c>
      <c r="C1356" s="55" t="s">
        <v>2230</v>
      </c>
      <c r="D1356" t="s">
        <v>2231</v>
      </c>
      <c r="E1356" t="s">
        <v>59</v>
      </c>
      <c r="F1356"/>
      <c r="G1356" s="130" t="str">
        <f t="shared" si="21"/>
        <v>電子三仁</v>
      </c>
    </row>
    <row r="1357" spans="1:7">
      <c r="A1357" t="s">
        <v>83</v>
      </c>
      <c r="B1357">
        <v>28</v>
      </c>
      <c r="C1357" s="55" t="s">
        <v>2264</v>
      </c>
      <c r="D1357" t="s">
        <v>2265</v>
      </c>
      <c r="E1357" t="s">
        <v>59</v>
      </c>
      <c r="F1357"/>
      <c r="G1357" s="130" t="str">
        <f t="shared" si="21"/>
        <v>電子三仁</v>
      </c>
    </row>
    <row r="1358" spans="1:7">
      <c r="A1358" t="s">
        <v>83</v>
      </c>
      <c r="B1358">
        <v>29</v>
      </c>
      <c r="C1358" s="55" t="s">
        <v>2298</v>
      </c>
      <c r="D1358" t="s">
        <v>2299</v>
      </c>
      <c r="E1358" t="s">
        <v>59</v>
      </c>
      <c r="F1358"/>
      <c r="G1358" s="130" t="str">
        <f t="shared" si="21"/>
        <v>電子三仁</v>
      </c>
    </row>
    <row r="1359" spans="1:7">
      <c r="A1359" t="s">
        <v>83</v>
      </c>
      <c r="B1359">
        <v>30</v>
      </c>
      <c r="C1359" s="55" t="s">
        <v>2330</v>
      </c>
      <c r="D1359" t="s">
        <v>2331</v>
      </c>
      <c r="E1359" t="s">
        <v>59</v>
      </c>
      <c r="F1359"/>
      <c r="G1359" s="130" t="str">
        <f t="shared" si="21"/>
        <v>電子三仁</v>
      </c>
    </row>
    <row r="1360" spans="1:7">
      <c r="A1360" t="s">
        <v>83</v>
      </c>
      <c r="B1360">
        <v>31</v>
      </c>
      <c r="C1360" s="55" t="s">
        <v>2364</v>
      </c>
      <c r="D1360" t="s">
        <v>2365</v>
      </c>
      <c r="E1360" t="s">
        <v>60</v>
      </c>
      <c r="F1360"/>
      <c r="G1360" s="130" t="str">
        <f t="shared" si="21"/>
        <v>電子三仁</v>
      </c>
    </row>
    <row r="1361" spans="1:7">
      <c r="A1361" t="s">
        <v>83</v>
      </c>
      <c r="B1361">
        <v>32</v>
      </c>
      <c r="C1361" s="55" t="s">
        <v>2398</v>
      </c>
      <c r="D1361" t="s">
        <v>2399</v>
      </c>
      <c r="E1361" t="s">
        <v>59</v>
      </c>
      <c r="F1361"/>
      <c r="G1361" s="130" t="str">
        <f t="shared" si="21"/>
        <v>電子三仁</v>
      </c>
    </row>
    <row r="1362" spans="1:7">
      <c r="A1362" t="s">
        <v>83</v>
      </c>
      <c r="B1362">
        <v>33</v>
      </c>
      <c r="C1362" s="55" t="s">
        <v>2430</v>
      </c>
      <c r="D1362" t="s">
        <v>2431</v>
      </c>
      <c r="E1362" t="s">
        <v>59</v>
      </c>
      <c r="F1362"/>
      <c r="G1362" s="130" t="str">
        <f t="shared" si="21"/>
        <v>電子三仁</v>
      </c>
    </row>
    <row r="1363" spans="1:7">
      <c r="A1363" t="s">
        <v>83</v>
      </c>
      <c r="B1363">
        <v>34</v>
      </c>
      <c r="C1363" s="55" t="s">
        <v>2459</v>
      </c>
      <c r="D1363" t="s">
        <v>2460</v>
      </c>
      <c r="E1363" t="s">
        <v>60</v>
      </c>
      <c r="F1363"/>
      <c r="G1363" s="130" t="str">
        <f t="shared" si="21"/>
        <v>電子三仁</v>
      </c>
    </row>
    <row r="1364" spans="1:7">
      <c r="A1364" t="s">
        <v>84</v>
      </c>
      <c r="B1364">
        <v>1</v>
      </c>
      <c r="C1364" s="55" t="s">
        <v>1348</v>
      </c>
      <c r="D1364" t="s">
        <v>1349</v>
      </c>
      <c r="E1364" t="s">
        <v>59</v>
      </c>
      <c r="F1364"/>
      <c r="G1364" s="130" t="str">
        <f t="shared" si="21"/>
        <v>電子三愛</v>
      </c>
    </row>
    <row r="1365" spans="1:7">
      <c r="A1365" t="s">
        <v>84</v>
      </c>
      <c r="B1365">
        <v>2</v>
      </c>
      <c r="C1365" s="55" t="s">
        <v>1385</v>
      </c>
      <c r="D1365" t="s">
        <v>1386</v>
      </c>
      <c r="E1365" t="s">
        <v>59</v>
      </c>
      <c r="F1365"/>
      <c r="G1365" s="130" t="str">
        <f t="shared" si="21"/>
        <v>電子三愛</v>
      </c>
    </row>
    <row r="1366" spans="1:7">
      <c r="A1366" t="s">
        <v>84</v>
      </c>
      <c r="B1366">
        <v>3</v>
      </c>
      <c r="C1366" s="55" t="s">
        <v>1422</v>
      </c>
      <c r="D1366" t="s">
        <v>1423</v>
      </c>
      <c r="E1366" t="s">
        <v>59</v>
      </c>
      <c r="F1366"/>
      <c r="G1366" s="130" t="str">
        <f t="shared" si="21"/>
        <v>電子三愛</v>
      </c>
    </row>
    <row r="1367" spans="1:7">
      <c r="A1367" t="s">
        <v>84</v>
      </c>
      <c r="B1367">
        <v>4</v>
      </c>
      <c r="C1367" s="55" t="s">
        <v>1459</v>
      </c>
      <c r="D1367" t="s">
        <v>1460</v>
      </c>
      <c r="E1367" t="s">
        <v>59</v>
      </c>
      <c r="F1367"/>
      <c r="G1367" s="130" t="str">
        <f t="shared" si="21"/>
        <v>電子三愛</v>
      </c>
    </row>
    <row r="1368" spans="1:7">
      <c r="A1368" t="s">
        <v>84</v>
      </c>
      <c r="B1368">
        <v>5</v>
      </c>
      <c r="C1368" s="55" t="s">
        <v>1496</v>
      </c>
      <c r="D1368" t="s">
        <v>1497</v>
      </c>
      <c r="E1368" t="s">
        <v>59</v>
      </c>
      <c r="F1368"/>
      <c r="G1368" s="130" t="str">
        <f t="shared" si="21"/>
        <v>電子三愛</v>
      </c>
    </row>
    <row r="1369" spans="1:7">
      <c r="A1369" t="s">
        <v>84</v>
      </c>
      <c r="B1369">
        <v>6</v>
      </c>
      <c r="C1369" s="55" t="s">
        <v>1533</v>
      </c>
      <c r="D1369" t="s">
        <v>1534</v>
      </c>
      <c r="E1369" t="s">
        <v>59</v>
      </c>
      <c r="F1369"/>
      <c r="G1369" s="130" t="str">
        <f t="shared" si="21"/>
        <v>電子三愛</v>
      </c>
    </row>
    <row r="1370" spans="1:7">
      <c r="A1370" t="s">
        <v>84</v>
      </c>
      <c r="B1370">
        <v>7</v>
      </c>
      <c r="C1370" s="55" t="s">
        <v>1569</v>
      </c>
      <c r="D1370" t="s">
        <v>1570</v>
      </c>
      <c r="E1370" t="s">
        <v>59</v>
      </c>
      <c r="F1370"/>
      <c r="G1370" s="130" t="str">
        <f t="shared" si="21"/>
        <v>電子三愛</v>
      </c>
    </row>
    <row r="1371" spans="1:7">
      <c r="A1371" t="s">
        <v>84</v>
      </c>
      <c r="B1371">
        <v>8</v>
      </c>
      <c r="C1371" s="55" t="s">
        <v>1607</v>
      </c>
      <c r="D1371" t="s">
        <v>1608</v>
      </c>
      <c r="E1371" t="s">
        <v>59</v>
      </c>
      <c r="F1371"/>
      <c r="G1371" s="130" t="str">
        <f t="shared" si="21"/>
        <v>電子三愛</v>
      </c>
    </row>
    <row r="1372" spans="1:7">
      <c r="A1372" t="s">
        <v>84</v>
      </c>
      <c r="B1372">
        <v>9</v>
      </c>
      <c r="C1372" s="55" t="s">
        <v>1645</v>
      </c>
      <c r="D1372" t="s">
        <v>1646</v>
      </c>
      <c r="E1372" t="s">
        <v>59</v>
      </c>
      <c r="F1372"/>
      <c r="G1372" s="130" t="str">
        <f t="shared" si="21"/>
        <v>電子三愛</v>
      </c>
    </row>
    <row r="1373" spans="1:7">
      <c r="A1373" t="s">
        <v>84</v>
      </c>
      <c r="B1373">
        <v>10</v>
      </c>
      <c r="C1373" s="55" t="s">
        <v>1683</v>
      </c>
      <c r="D1373" t="s">
        <v>1684</v>
      </c>
      <c r="E1373" t="s">
        <v>59</v>
      </c>
      <c r="F1373"/>
      <c r="G1373" s="130" t="str">
        <f t="shared" si="21"/>
        <v>電子三愛</v>
      </c>
    </row>
    <row r="1374" spans="1:7">
      <c r="A1374" t="s">
        <v>84</v>
      </c>
      <c r="B1374">
        <v>11</v>
      </c>
      <c r="C1374" s="55" t="s">
        <v>1721</v>
      </c>
      <c r="D1374" t="s">
        <v>1722</v>
      </c>
      <c r="E1374" t="s">
        <v>59</v>
      </c>
      <c r="F1374"/>
      <c r="G1374" s="130" t="str">
        <f t="shared" si="21"/>
        <v>電子三愛</v>
      </c>
    </row>
    <row r="1375" spans="1:7">
      <c r="A1375" t="s">
        <v>84</v>
      </c>
      <c r="B1375">
        <v>12</v>
      </c>
      <c r="C1375" s="55" t="s">
        <v>1758</v>
      </c>
      <c r="D1375" t="s">
        <v>1759</v>
      </c>
      <c r="E1375" t="s">
        <v>59</v>
      </c>
      <c r="F1375"/>
      <c r="G1375" s="130" t="str">
        <f t="shared" si="21"/>
        <v>電子三愛</v>
      </c>
    </row>
    <row r="1376" spans="1:7">
      <c r="A1376" t="s">
        <v>84</v>
      </c>
      <c r="B1376">
        <v>13</v>
      </c>
      <c r="C1376" s="55" t="s">
        <v>1795</v>
      </c>
      <c r="D1376" t="s">
        <v>1796</v>
      </c>
      <c r="E1376" t="s">
        <v>59</v>
      </c>
      <c r="F1376"/>
      <c r="G1376" s="130" t="str">
        <f t="shared" si="21"/>
        <v>電子三愛</v>
      </c>
    </row>
    <row r="1377" spans="1:7">
      <c r="A1377" t="s">
        <v>84</v>
      </c>
      <c r="B1377">
        <v>14</v>
      </c>
      <c r="C1377" s="55" t="s">
        <v>1828</v>
      </c>
      <c r="D1377" t="s">
        <v>1829</v>
      </c>
      <c r="E1377" t="s">
        <v>59</v>
      </c>
      <c r="F1377"/>
      <c r="G1377" s="130" t="str">
        <f t="shared" si="21"/>
        <v>電子三愛</v>
      </c>
    </row>
    <row r="1378" spans="1:7">
      <c r="A1378" t="s">
        <v>84</v>
      </c>
      <c r="B1378">
        <v>15</v>
      </c>
      <c r="C1378" s="55" t="s">
        <v>1863</v>
      </c>
      <c r="D1378" t="s">
        <v>1864</v>
      </c>
      <c r="E1378" t="s">
        <v>59</v>
      </c>
      <c r="F1378"/>
      <c r="G1378" s="130" t="str">
        <f t="shared" si="21"/>
        <v>電子三愛</v>
      </c>
    </row>
    <row r="1379" spans="1:7">
      <c r="A1379" t="s">
        <v>84</v>
      </c>
      <c r="B1379">
        <v>16</v>
      </c>
      <c r="C1379" s="55" t="s">
        <v>1898</v>
      </c>
      <c r="D1379" t="s">
        <v>1899</v>
      </c>
      <c r="E1379" t="s">
        <v>59</v>
      </c>
      <c r="F1379"/>
      <c r="G1379" s="130" t="str">
        <f t="shared" si="21"/>
        <v>電子三愛</v>
      </c>
    </row>
    <row r="1380" spans="1:7">
      <c r="A1380" t="s">
        <v>84</v>
      </c>
      <c r="B1380">
        <v>17</v>
      </c>
      <c r="C1380" s="55" t="s">
        <v>1933</v>
      </c>
      <c r="D1380" t="s">
        <v>1934</v>
      </c>
      <c r="E1380" t="s">
        <v>60</v>
      </c>
      <c r="F1380"/>
      <c r="G1380" s="130" t="str">
        <f t="shared" si="21"/>
        <v>電子三愛</v>
      </c>
    </row>
    <row r="1381" spans="1:7">
      <c r="A1381" t="s">
        <v>84</v>
      </c>
      <c r="B1381">
        <v>18</v>
      </c>
      <c r="C1381" s="55" t="s">
        <v>1968</v>
      </c>
      <c r="D1381" t="s">
        <v>992</v>
      </c>
      <c r="E1381" t="s">
        <v>59</v>
      </c>
      <c r="F1381"/>
      <c r="G1381" s="130" t="str">
        <f t="shared" si="21"/>
        <v>電子三愛</v>
      </c>
    </row>
    <row r="1382" spans="1:7">
      <c r="A1382" t="s">
        <v>84</v>
      </c>
      <c r="B1382">
        <v>19</v>
      </c>
      <c r="C1382" s="55" t="s">
        <v>2001</v>
      </c>
      <c r="D1382" t="s">
        <v>119</v>
      </c>
      <c r="E1382" t="s">
        <v>59</v>
      </c>
      <c r="F1382"/>
      <c r="G1382" s="130" t="str">
        <f t="shared" si="21"/>
        <v>電子三愛</v>
      </c>
    </row>
    <row r="1383" spans="1:7">
      <c r="A1383" t="s">
        <v>84</v>
      </c>
      <c r="B1383">
        <v>20</v>
      </c>
      <c r="C1383" s="55" t="s">
        <v>2032</v>
      </c>
      <c r="D1383" t="s">
        <v>2033</v>
      </c>
      <c r="E1383" t="s">
        <v>59</v>
      </c>
      <c r="F1383"/>
      <c r="G1383" s="130" t="str">
        <f t="shared" si="21"/>
        <v>電子三愛</v>
      </c>
    </row>
    <row r="1384" spans="1:7">
      <c r="A1384" t="s">
        <v>84</v>
      </c>
      <c r="B1384">
        <v>21</v>
      </c>
      <c r="C1384" s="55" t="s">
        <v>2065</v>
      </c>
      <c r="D1384" t="s">
        <v>2066</v>
      </c>
      <c r="E1384" t="s">
        <v>59</v>
      </c>
      <c r="F1384"/>
      <c r="G1384" s="130" t="str">
        <f t="shared" si="21"/>
        <v>電子三愛</v>
      </c>
    </row>
    <row r="1385" spans="1:7">
      <c r="A1385" t="s">
        <v>84</v>
      </c>
      <c r="B1385">
        <v>22</v>
      </c>
      <c r="C1385" s="55" t="s">
        <v>2098</v>
      </c>
      <c r="D1385" t="s">
        <v>2099</v>
      </c>
      <c r="E1385" t="s">
        <v>60</v>
      </c>
      <c r="F1385"/>
      <c r="G1385" s="130" t="str">
        <f t="shared" si="21"/>
        <v>電子三愛</v>
      </c>
    </row>
    <row r="1386" spans="1:7">
      <c r="A1386" t="s">
        <v>84</v>
      </c>
      <c r="B1386">
        <v>23</v>
      </c>
      <c r="C1386" s="55" t="s">
        <v>2131</v>
      </c>
      <c r="D1386" t="s">
        <v>2132</v>
      </c>
      <c r="E1386" t="s">
        <v>59</v>
      </c>
      <c r="F1386"/>
      <c r="G1386" s="130" t="str">
        <f t="shared" si="21"/>
        <v>電子三愛</v>
      </c>
    </row>
    <row r="1387" spans="1:7">
      <c r="A1387" t="s">
        <v>84</v>
      </c>
      <c r="B1387">
        <v>24</v>
      </c>
      <c r="C1387" s="55" t="s">
        <v>2199</v>
      </c>
      <c r="D1387" t="s">
        <v>2200</v>
      </c>
      <c r="E1387" t="s">
        <v>60</v>
      </c>
      <c r="F1387"/>
      <c r="G1387" s="130" t="str">
        <f t="shared" si="21"/>
        <v>電子三愛</v>
      </c>
    </row>
    <row r="1388" spans="1:7">
      <c r="A1388" t="s">
        <v>84</v>
      </c>
      <c r="B1388">
        <v>25</v>
      </c>
      <c r="C1388" s="55" t="s">
        <v>2232</v>
      </c>
      <c r="D1388" t="s">
        <v>2233</v>
      </c>
      <c r="E1388" t="s">
        <v>60</v>
      </c>
      <c r="F1388"/>
      <c r="G1388" s="130" t="str">
        <f t="shared" si="21"/>
        <v>電子三愛</v>
      </c>
    </row>
    <row r="1389" spans="1:7">
      <c r="A1389" t="s">
        <v>84</v>
      </c>
      <c r="B1389">
        <v>26</v>
      </c>
      <c r="C1389" s="55" t="s">
        <v>2266</v>
      </c>
      <c r="D1389" t="s">
        <v>2267</v>
      </c>
      <c r="E1389" t="s">
        <v>59</v>
      </c>
      <c r="F1389"/>
      <c r="G1389" s="130" t="str">
        <f t="shared" si="21"/>
        <v>電子三愛</v>
      </c>
    </row>
    <row r="1390" spans="1:7">
      <c r="A1390" t="s">
        <v>84</v>
      </c>
      <c r="B1390">
        <v>27</v>
      </c>
      <c r="C1390" s="55" t="s">
        <v>2300</v>
      </c>
      <c r="D1390" t="s">
        <v>2301</v>
      </c>
      <c r="E1390" t="s">
        <v>59</v>
      </c>
      <c r="F1390"/>
      <c r="G1390" s="130" t="str">
        <f t="shared" si="21"/>
        <v>電子三愛</v>
      </c>
    </row>
    <row r="1391" spans="1:7">
      <c r="A1391" t="s">
        <v>84</v>
      </c>
      <c r="B1391">
        <v>28</v>
      </c>
      <c r="C1391" s="55" t="s">
        <v>2332</v>
      </c>
      <c r="D1391" t="s">
        <v>2333</v>
      </c>
      <c r="E1391" t="s">
        <v>59</v>
      </c>
      <c r="F1391"/>
      <c r="G1391" s="130" t="str">
        <f t="shared" si="21"/>
        <v>電子三愛</v>
      </c>
    </row>
    <row r="1392" spans="1:7">
      <c r="A1392" t="s">
        <v>84</v>
      </c>
      <c r="B1392">
        <v>29</v>
      </c>
      <c r="C1392" s="55" t="s">
        <v>2366</v>
      </c>
      <c r="D1392" t="s">
        <v>2367</v>
      </c>
      <c r="E1392" t="s">
        <v>59</v>
      </c>
      <c r="F1392"/>
      <c r="G1392" s="130" t="str">
        <f t="shared" si="21"/>
        <v>電子三愛</v>
      </c>
    </row>
    <row r="1393" spans="1:7">
      <c r="A1393" t="s">
        <v>84</v>
      </c>
      <c r="B1393">
        <v>30</v>
      </c>
      <c r="C1393" s="55" t="s">
        <v>2400</v>
      </c>
      <c r="D1393" t="s">
        <v>2401</v>
      </c>
      <c r="E1393" t="s">
        <v>59</v>
      </c>
      <c r="F1393"/>
      <c r="G1393" s="130" t="str">
        <f t="shared" si="21"/>
        <v>電子三愛</v>
      </c>
    </row>
    <row r="1394" spans="1:7">
      <c r="A1394" t="s">
        <v>84</v>
      </c>
      <c r="B1394">
        <v>31</v>
      </c>
      <c r="C1394" s="55" t="s">
        <v>2461</v>
      </c>
      <c r="D1394" t="s">
        <v>2462</v>
      </c>
      <c r="E1394" t="s">
        <v>59</v>
      </c>
      <c r="F1394"/>
      <c r="G1394" s="130" t="str">
        <f t="shared" si="21"/>
        <v>電子三愛</v>
      </c>
    </row>
    <row r="1395" spans="1:7">
      <c r="A1395" t="s">
        <v>84</v>
      </c>
      <c r="B1395">
        <v>32</v>
      </c>
      <c r="C1395" s="55" t="s">
        <v>929</v>
      </c>
      <c r="D1395" t="s">
        <v>930</v>
      </c>
      <c r="E1395" t="s">
        <v>59</v>
      </c>
      <c r="F1395"/>
      <c r="G1395" s="130" t="str">
        <f t="shared" si="21"/>
        <v>電子三愛</v>
      </c>
    </row>
    <row r="1396" spans="1:7">
      <c r="A1396" t="s">
        <v>85</v>
      </c>
      <c r="B1396">
        <v>1</v>
      </c>
      <c r="C1396" s="55" t="s">
        <v>1313</v>
      </c>
      <c r="D1396" t="s">
        <v>1314</v>
      </c>
      <c r="E1396" t="s">
        <v>59</v>
      </c>
      <c r="F1396"/>
      <c r="G1396" s="130" t="str">
        <f t="shared" si="21"/>
        <v>電機三忠</v>
      </c>
    </row>
    <row r="1397" spans="1:7">
      <c r="A1397" t="s">
        <v>85</v>
      </c>
      <c r="B1397">
        <v>2</v>
      </c>
      <c r="C1397" s="55" t="s">
        <v>1350</v>
      </c>
      <c r="D1397" t="s">
        <v>1351</v>
      </c>
      <c r="E1397" t="s">
        <v>59</v>
      </c>
      <c r="F1397"/>
      <c r="G1397" s="130" t="str">
        <f t="shared" si="21"/>
        <v>電機三忠</v>
      </c>
    </row>
    <row r="1398" spans="1:7">
      <c r="A1398" t="s">
        <v>85</v>
      </c>
      <c r="B1398">
        <v>3</v>
      </c>
      <c r="C1398" s="55" t="s">
        <v>1387</v>
      </c>
      <c r="D1398" t="s">
        <v>1388</v>
      </c>
      <c r="E1398" t="s">
        <v>59</v>
      </c>
      <c r="F1398"/>
      <c r="G1398" s="130" t="str">
        <f t="shared" si="21"/>
        <v>電機三忠</v>
      </c>
    </row>
    <row r="1399" spans="1:7">
      <c r="A1399" t="s">
        <v>85</v>
      </c>
      <c r="B1399">
        <v>4</v>
      </c>
      <c r="C1399" s="55" t="s">
        <v>1424</v>
      </c>
      <c r="D1399" t="s">
        <v>1394</v>
      </c>
      <c r="E1399" t="s">
        <v>59</v>
      </c>
      <c r="F1399"/>
      <c r="G1399" s="130" t="str">
        <f t="shared" si="21"/>
        <v>電機三忠</v>
      </c>
    </row>
    <row r="1400" spans="1:7">
      <c r="A1400" t="s">
        <v>85</v>
      </c>
      <c r="B1400">
        <v>5</v>
      </c>
      <c r="C1400" s="55" t="s">
        <v>1461</v>
      </c>
      <c r="D1400" t="s">
        <v>1462</v>
      </c>
      <c r="E1400" t="s">
        <v>59</v>
      </c>
      <c r="F1400"/>
      <c r="G1400" s="130" t="str">
        <f t="shared" si="21"/>
        <v>電機三忠</v>
      </c>
    </row>
    <row r="1401" spans="1:7">
      <c r="A1401" t="s">
        <v>85</v>
      </c>
      <c r="B1401">
        <v>6</v>
      </c>
      <c r="C1401" s="55" t="s">
        <v>1498</v>
      </c>
      <c r="D1401" t="s">
        <v>2694</v>
      </c>
      <c r="E1401" t="s">
        <v>59</v>
      </c>
      <c r="F1401"/>
      <c r="G1401" s="130" t="str">
        <f t="shared" si="21"/>
        <v>電機三忠</v>
      </c>
    </row>
    <row r="1402" spans="1:7">
      <c r="A1402" t="s">
        <v>85</v>
      </c>
      <c r="B1402">
        <v>7</v>
      </c>
      <c r="C1402" s="55" t="s">
        <v>1535</v>
      </c>
      <c r="D1402" t="s">
        <v>1572</v>
      </c>
      <c r="E1402" t="s">
        <v>59</v>
      </c>
      <c r="F1402"/>
      <c r="G1402" s="130" t="str">
        <f t="shared" si="21"/>
        <v>電機三忠</v>
      </c>
    </row>
    <row r="1403" spans="1:7">
      <c r="A1403" t="s">
        <v>85</v>
      </c>
      <c r="B1403">
        <v>8</v>
      </c>
      <c r="C1403" s="55" t="s">
        <v>1571</v>
      </c>
      <c r="D1403" t="s">
        <v>1610</v>
      </c>
      <c r="E1403" t="s">
        <v>59</v>
      </c>
      <c r="F1403"/>
      <c r="G1403" s="130" t="str">
        <f t="shared" si="21"/>
        <v>電機三忠</v>
      </c>
    </row>
    <row r="1404" spans="1:7">
      <c r="A1404" t="s">
        <v>85</v>
      </c>
      <c r="B1404">
        <v>9</v>
      </c>
      <c r="C1404" s="55" t="s">
        <v>1609</v>
      </c>
      <c r="D1404" t="s">
        <v>1648</v>
      </c>
      <c r="E1404" t="s">
        <v>59</v>
      </c>
      <c r="F1404"/>
      <c r="G1404" s="130" t="str">
        <f t="shared" si="21"/>
        <v>電機三忠</v>
      </c>
    </row>
    <row r="1405" spans="1:7">
      <c r="A1405" t="s">
        <v>85</v>
      </c>
      <c r="B1405">
        <v>10</v>
      </c>
      <c r="C1405" s="55" t="s">
        <v>1647</v>
      </c>
      <c r="D1405" t="s">
        <v>1686</v>
      </c>
      <c r="E1405" t="s">
        <v>59</v>
      </c>
      <c r="F1405"/>
      <c r="G1405" s="130" t="str">
        <f t="shared" si="21"/>
        <v>電機三忠</v>
      </c>
    </row>
    <row r="1406" spans="1:7">
      <c r="A1406" t="s">
        <v>85</v>
      </c>
      <c r="B1406">
        <v>11</v>
      </c>
      <c r="C1406" s="55" t="s">
        <v>1685</v>
      </c>
      <c r="D1406" t="s">
        <v>1724</v>
      </c>
      <c r="E1406" t="s">
        <v>59</v>
      </c>
      <c r="F1406"/>
      <c r="G1406" s="130" t="str">
        <f t="shared" si="21"/>
        <v>電機三忠</v>
      </c>
    </row>
    <row r="1407" spans="1:7">
      <c r="A1407" t="s">
        <v>85</v>
      </c>
      <c r="B1407">
        <v>12</v>
      </c>
      <c r="C1407" s="55" t="s">
        <v>1723</v>
      </c>
      <c r="D1407" t="s">
        <v>1761</v>
      </c>
      <c r="E1407" t="s">
        <v>59</v>
      </c>
      <c r="F1407"/>
      <c r="G1407" s="130" t="str">
        <f t="shared" si="21"/>
        <v>電機三忠</v>
      </c>
    </row>
    <row r="1408" spans="1:7">
      <c r="A1408" t="s">
        <v>85</v>
      </c>
      <c r="B1408">
        <v>13</v>
      </c>
      <c r="C1408" s="55" t="s">
        <v>1760</v>
      </c>
      <c r="D1408" t="s">
        <v>1798</v>
      </c>
      <c r="E1408" t="s">
        <v>59</v>
      </c>
      <c r="F1408"/>
      <c r="G1408" s="130" t="str">
        <f t="shared" si="21"/>
        <v>電機三忠</v>
      </c>
    </row>
    <row r="1409" spans="1:7">
      <c r="A1409" t="s">
        <v>85</v>
      </c>
      <c r="B1409">
        <v>14</v>
      </c>
      <c r="C1409" s="55" t="s">
        <v>1797</v>
      </c>
      <c r="D1409" t="s">
        <v>1831</v>
      </c>
      <c r="E1409" t="s">
        <v>59</v>
      </c>
      <c r="F1409"/>
      <c r="G1409" s="130" t="str">
        <f t="shared" si="21"/>
        <v>電機三忠</v>
      </c>
    </row>
    <row r="1410" spans="1:7">
      <c r="A1410" t="s">
        <v>85</v>
      </c>
      <c r="B1410">
        <v>15</v>
      </c>
      <c r="C1410" s="55" t="s">
        <v>1830</v>
      </c>
      <c r="D1410" t="s">
        <v>1866</v>
      </c>
      <c r="E1410" t="s">
        <v>59</v>
      </c>
      <c r="F1410"/>
      <c r="G1410" s="130" t="str">
        <f t="shared" si="21"/>
        <v>電機三忠</v>
      </c>
    </row>
    <row r="1411" spans="1:7">
      <c r="A1411" t="s">
        <v>85</v>
      </c>
      <c r="B1411">
        <v>16</v>
      </c>
      <c r="C1411" s="55" t="s">
        <v>1865</v>
      </c>
      <c r="D1411" t="s">
        <v>1901</v>
      </c>
      <c r="E1411" t="s">
        <v>59</v>
      </c>
      <c r="F1411"/>
      <c r="G1411" s="130" t="str">
        <f t="shared" ref="G1411:G1474" si="22">A1411&amp;F1411</f>
        <v>電機三忠</v>
      </c>
    </row>
    <row r="1412" spans="1:7">
      <c r="A1412" t="s">
        <v>85</v>
      </c>
      <c r="B1412">
        <v>17</v>
      </c>
      <c r="C1412" s="55" t="s">
        <v>1900</v>
      </c>
      <c r="D1412" t="s">
        <v>1936</v>
      </c>
      <c r="E1412" t="s">
        <v>59</v>
      </c>
      <c r="F1412"/>
      <c r="G1412" s="130" t="str">
        <f t="shared" si="22"/>
        <v>電機三忠</v>
      </c>
    </row>
    <row r="1413" spans="1:7">
      <c r="A1413" t="s">
        <v>85</v>
      </c>
      <c r="B1413">
        <v>18</v>
      </c>
      <c r="C1413" s="55" t="s">
        <v>1935</v>
      </c>
      <c r="D1413" t="s">
        <v>1970</v>
      </c>
      <c r="E1413" t="s">
        <v>59</v>
      </c>
      <c r="F1413"/>
      <c r="G1413" s="130" t="str">
        <f t="shared" si="22"/>
        <v>電機三忠</v>
      </c>
    </row>
    <row r="1414" spans="1:7">
      <c r="A1414" t="s">
        <v>85</v>
      </c>
      <c r="B1414">
        <v>19</v>
      </c>
      <c r="C1414" s="55" t="s">
        <v>1969</v>
      </c>
      <c r="D1414" t="s">
        <v>2003</v>
      </c>
      <c r="E1414" t="s">
        <v>59</v>
      </c>
      <c r="F1414"/>
      <c r="G1414" s="130" t="str">
        <f t="shared" si="22"/>
        <v>電機三忠</v>
      </c>
    </row>
    <row r="1415" spans="1:7">
      <c r="A1415" t="s">
        <v>85</v>
      </c>
      <c r="B1415">
        <v>20</v>
      </c>
      <c r="C1415" s="55" t="s">
        <v>2034</v>
      </c>
      <c r="D1415" t="s">
        <v>2068</v>
      </c>
      <c r="E1415" t="s">
        <v>59</v>
      </c>
      <c r="F1415"/>
      <c r="G1415" s="130" t="str">
        <f t="shared" si="22"/>
        <v>電機三忠</v>
      </c>
    </row>
    <row r="1416" spans="1:7">
      <c r="A1416" t="s">
        <v>85</v>
      </c>
      <c r="B1416">
        <v>21</v>
      </c>
      <c r="C1416" s="55" t="s">
        <v>2067</v>
      </c>
      <c r="D1416" t="s">
        <v>2101</v>
      </c>
      <c r="E1416" t="s">
        <v>59</v>
      </c>
      <c r="F1416"/>
      <c r="G1416" s="130" t="str">
        <f t="shared" si="22"/>
        <v>電機三忠</v>
      </c>
    </row>
    <row r="1417" spans="1:7">
      <c r="A1417" t="s">
        <v>85</v>
      </c>
      <c r="B1417">
        <v>22</v>
      </c>
      <c r="C1417" s="55" t="s">
        <v>2100</v>
      </c>
      <c r="D1417" t="s">
        <v>2134</v>
      </c>
      <c r="E1417" t="s">
        <v>59</v>
      </c>
      <c r="F1417"/>
      <c r="G1417" s="130" t="str">
        <f t="shared" si="22"/>
        <v>電機三忠</v>
      </c>
    </row>
    <row r="1418" spans="1:7">
      <c r="A1418" t="s">
        <v>85</v>
      </c>
      <c r="B1418">
        <v>23</v>
      </c>
      <c r="C1418" s="55" t="s">
        <v>2133</v>
      </c>
      <c r="D1418" t="s">
        <v>2168</v>
      </c>
      <c r="E1418" t="s">
        <v>59</v>
      </c>
      <c r="F1418"/>
      <c r="G1418" s="130" t="str">
        <f t="shared" si="22"/>
        <v>電機三忠</v>
      </c>
    </row>
    <row r="1419" spans="1:7">
      <c r="A1419" t="s">
        <v>85</v>
      </c>
      <c r="B1419">
        <v>24</v>
      </c>
      <c r="C1419" s="55" t="s">
        <v>2167</v>
      </c>
      <c r="D1419" t="s">
        <v>2202</v>
      </c>
      <c r="E1419" t="s">
        <v>59</v>
      </c>
      <c r="F1419"/>
      <c r="G1419" s="130" t="str">
        <f t="shared" si="22"/>
        <v>電機三忠</v>
      </c>
    </row>
    <row r="1420" spans="1:7">
      <c r="A1420" t="s">
        <v>85</v>
      </c>
      <c r="B1420">
        <v>25</v>
      </c>
      <c r="C1420" s="55" t="s">
        <v>2201</v>
      </c>
      <c r="D1420" t="s">
        <v>2235</v>
      </c>
      <c r="E1420" t="s">
        <v>59</v>
      </c>
      <c r="F1420"/>
      <c r="G1420" s="130" t="str">
        <f t="shared" si="22"/>
        <v>電機三忠</v>
      </c>
    </row>
    <row r="1421" spans="1:7">
      <c r="A1421" t="s">
        <v>85</v>
      </c>
      <c r="B1421">
        <v>26</v>
      </c>
      <c r="C1421" s="55" t="s">
        <v>2234</v>
      </c>
      <c r="D1421" t="s">
        <v>2269</v>
      </c>
      <c r="E1421" t="s">
        <v>59</v>
      </c>
      <c r="F1421"/>
      <c r="G1421" s="130" t="str">
        <f t="shared" si="22"/>
        <v>電機三忠</v>
      </c>
    </row>
    <row r="1422" spans="1:7">
      <c r="A1422" t="s">
        <v>85</v>
      </c>
      <c r="B1422">
        <v>27</v>
      </c>
      <c r="C1422" s="55" t="s">
        <v>2268</v>
      </c>
      <c r="D1422" t="s">
        <v>2204</v>
      </c>
      <c r="E1422" t="s">
        <v>59</v>
      </c>
      <c r="F1422"/>
      <c r="G1422" s="130" t="str">
        <f t="shared" si="22"/>
        <v>電機三忠</v>
      </c>
    </row>
    <row r="1423" spans="1:7">
      <c r="A1423" t="s">
        <v>85</v>
      </c>
      <c r="B1423">
        <v>28</v>
      </c>
      <c r="C1423" s="55" t="s">
        <v>2302</v>
      </c>
      <c r="D1423" t="s">
        <v>2335</v>
      </c>
      <c r="E1423" t="s">
        <v>59</v>
      </c>
      <c r="F1423"/>
      <c r="G1423" s="130" t="str">
        <f t="shared" si="22"/>
        <v>電機三忠</v>
      </c>
    </row>
    <row r="1424" spans="1:7">
      <c r="A1424" t="s">
        <v>85</v>
      </c>
      <c r="B1424">
        <v>29</v>
      </c>
      <c r="C1424" s="55" t="s">
        <v>2334</v>
      </c>
      <c r="D1424" t="s">
        <v>2369</v>
      </c>
      <c r="E1424" t="s">
        <v>59</v>
      </c>
      <c r="F1424"/>
      <c r="G1424" s="130" t="str">
        <f t="shared" si="22"/>
        <v>電機三忠</v>
      </c>
    </row>
    <row r="1425" spans="1:7">
      <c r="A1425" t="s">
        <v>85</v>
      </c>
      <c r="B1425">
        <v>30</v>
      </c>
      <c r="C1425" s="55" t="s">
        <v>2368</v>
      </c>
      <c r="D1425" t="s">
        <v>2403</v>
      </c>
      <c r="E1425" t="s">
        <v>59</v>
      </c>
      <c r="F1425"/>
      <c r="G1425" s="130" t="str">
        <f t="shared" si="22"/>
        <v>電機三忠</v>
      </c>
    </row>
    <row r="1426" spans="1:7">
      <c r="A1426" t="s">
        <v>85</v>
      </c>
      <c r="B1426">
        <v>31</v>
      </c>
      <c r="C1426" s="55" t="s">
        <v>2402</v>
      </c>
      <c r="D1426" t="s">
        <v>2275</v>
      </c>
      <c r="E1426" t="s">
        <v>59</v>
      </c>
      <c r="F1426"/>
      <c r="G1426" s="130" t="str">
        <f t="shared" si="22"/>
        <v>電機三忠</v>
      </c>
    </row>
    <row r="1427" spans="1:7">
      <c r="A1427" t="s">
        <v>85</v>
      </c>
      <c r="B1427">
        <v>32</v>
      </c>
      <c r="C1427" s="55" t="s">
        <v>2463</v>
      </c>
      <c r="D1427" t="s">
        <v>2464</v>
      </c>
      <c r="E1427" t="s">
        <v>59</v>
      </c>
      <c r="F1427"/>
      <c r="G1427" s="130" t="str">
        <f t="shared" si="22"/>
        <v>電機三忠</v>
      </c>
    </row>
    <row r="1428" spans="1:7">
      <c r="A1428" t="s">
        <v>85</v>
      </c>
      <c r="B1428">
        <v>33</v>
      </c>
      <c r="C1428" s="55" t="s">
        <v>2481</v>
      </c>
      <c r="D1428" t="s">
        <v>2482</v>
      </c>
      <c r="E1428" t="s">
        <v>59</v>
      </c>
      <c r="F1428"/>
      <c r="G1428" s="130" t="str">
        <f t="shared" si="22"/>
        <v>電機三忠</v>
      </c>
    </row>
    <row r="1429" spans="1:7">
      <c r="A1429" t="s">
        <v>85</v>
      </c>
      <c r="B1429">
        <v>34</v>
      </c>
      <c r="C1429" s="55" t="s">
        <v>2499</v>
      </c>
      <c r="D1429" t="s">
        <v>2500</v>
      </c>
      <c r="E1429" t="s">
        <v>59</v>
      </c>
      <c r="F1429"/>
      <c r="G1429" s="130" t="str">
        <f t="shared" si="22"/>
        <v>電機三忠</v>
      </c>
    </row>
    <row r="1430" spans="1:7">
      <c r="A1430" t="s">
        <v>85</v>
      </c>
      <c r="B1430">
        <v>35</v>
      </c>
      <c r="C1430" s="55" t="s">
        <v>2513</v>
      </c>
      <c r="D1430" t="s">
        <v>2514</v>
      </c>
      <c r="E1430" t="s">
        <v>59</v>
      </c>
      <c r="F1430"/>
      <c r="G1430" s="130" t="str">
        <f t="shared" si="22"/>
        <v>電機三忠</v>
      </c>
    </row>
    <row r="1431" spans="1:7">
      <c r="A1431" t="s">
        <v>86</v>
      </c>
      <c r="B1431">
        <v>1</v>
      </c>
      <c r="C1431" s="55" t="s">
        <v>1315</v>
      </c>
      <c r="D1431" t="s">
        <v>1316</v>
      </c>
      <c r="E1431" t="s">
        <v>59</v>
      </c>
      <c r="F1431"/>
      <c r="G1431" s="130" t="str">
        <f t="shared" si="22"/>
        <v>電機三孝</v>
      </c>
    </row>
    <row r="1432" spans="1:7">
      <c r="A1432" t="s">
        <v>86</v>
      </c>
      <c r="B1432">
        <v>2</v>
      </c>
      <c r="C1432" s="55" t="s">
        <v>1352</v>
      </c>
      <c r="D1432" t="s">
        <v>1353</v>
      </c>
      <c r="E1432" t="s">
        <v>59</v>
      </c>
      <c r="F1432"/>
      <c r="G1432" s="130" t="str">
        <f t="shared" si="22"/>
        <v>電機三孝</v>
      </c>
    </row>
    <row r="1433" spans="1:7">
      <c r="A1433" t="s">
        <v>86</v>
      </c>
      <c r="B1433">
        <v>3</v>
      </c>
      <c r="C1433" s="55" t="s">
        <v>1389</v>
      </c>
      <c r="D1433" t="s">
        <v>1390</v>
      </c>
      <c r="E1433" t="s">
        <v>59</v>
      </c>
      <c r="F1433"/>
      <c r="G1433" s="130" t="str">
        <f t="shared" si="22"/>
        <v>電機三孝</v>
      </c>
    </row>
    <row r="1434" spans="1:7">
      <c r="A1434" t="s">
        <v>86</v>
      </c>
      <c r="B1434">
        <v>4</v>
      </c>
      <c r="C1434" s="55" t="s">
        <v>1426</v>
      </c>
      <c r="D1434" t="s">
        <v>1427</v>
      </c>
      <c r="E1434" t="s">
        <v>59</v>
      </c>
      <c r="F1434"/>
      <c r="G1434" s="130" t="str">
        <f t="shared" si="22"/>
        <v>電機三孝</v>
      </c>
    </row>
    <row r="1435" spans="1:7">
      <c r="A1435" t="s">
        <v>86</v>
      </c>
      <c r="B1435">
        <v>5</v>
      </c>
      <c r="C1435" s="55" t="s">
        <v>1463</v>
      </c>
      <c r="D1435" t="s">
        <v>1464</v>
      </c>
      <c r="E1435" t="s">
        <v>59</v>
      </c>
      <c r="F1435"/>
      <c r="G1435" s="130" t="str">
        <f t="shared" si="22"/>
        <v>電機三孝</v>
      </c>
    </row>
    <row r="1436" spans="1:7">
      <c r="A1436" t="s">
        <v>86</v>
      </c>
      <c r="B1436">
        <v>6</v>
      </c>
      <c r="C1436" s="55" t="s">
        <v>1499</v>
      </c>
      <c r="D1436" t="s">
        <v>1500</v>
      </c>
      <c r="E1436" t="s">
        <v>59</v>
      </c>
      <c r="F1436"/>
      <c r="G1436" s="130" t="str">
        <f t="shared" si="22"/>
        <v>電機三孝</v>
      </c>
    </row>
    <row r="1437" spans="1:7">
      <c r="A1437" t="s">
        <v>86</v>
      </c>
      <c r="B1437">
        <v>7</v>
      </c>
      <c r="C1437" s="55" t="s">
        <v>1537</v>
      </c>
      <c r="D1437" t="s">
        <v>1538</v>
      </c>
      <c r="E1437" t="s">
        <v>59</v>
      </c>
      <c r="F1437"/>
      <c r="G1437" s="130" t="str">
        <f t="shared" si="22"/>
        <v>電機三孝</v>
      </c>
    </row>
    <row r="1438" spans="1:7">
      <c r="A1438" t="s">
        <v>86</v>
      </c>
      <c r="B1438">
        <v>8</v>
      </c>
      <c r="C1438" s="55" t="s">
        <v>1573</v>
      </c>
      <c r="D1438" t="s">
        <v>1574</v>
      </c>
      <c r="E1438" t="s">
        <v>59</v>
      </c>
      <c r="F1438"/>
      <c r="G1438" s="130" t="str">
        <f t="shared" si="22"/>
        <v>電機三孝</v>
      </c>
    </row>
    <row r="1439" spans="1:7">
      <c r="A1439" t="s">
        <v>86</v>
      </c>
      <c r="B1439">
        <v>9</v>
      </c>
      <c r="C1439" s="55" t="s">
        <v>1611</v>
      </c>
      <c r="D1439" t="s">
        <v>1612</v>
      </c>
      <c r="E1439" t="s">
        <v>59</v>
      </c>
      <c r="F1439"/>
      <c r="G1439" s="130" t="str">
        <f t="shared" si="22"/>
        <v>電機三孝</v>
      </c>
    </row>
    <row r="1440" spans="1:7">
      <c r="A1440" t="s">
        <v>86</v>
      </c>
      <c r="B1440">
        <v>10</v>
      </c>
      <c r="C1440" s="55" t="s">
        <v>1649</v>
      </c>
      <c r="D1440" t="s">
        <v>1650</v>
      </c>
      <c r="E1440" t="s">
        <v>59</v>
      </c>
      <c r="F1440"/>
      <c r="G1440" s="130" t="str">
        <f t="shared" si="22"/>
        <v>電機三孝</v>
      </c>
    </row>
    <row r="1441" spans="1:7">
      <c r="A1441" t="s">
        <v>86</v>
      </c>
      <c r="B1441">
        <v>11</v>
      </c>
      <c r="C1441" s="55" t="s">
        <v>1687</v>
      </c>
      <c r="D1441" t="s">
        <v>1688</v>
      </c>
      <c r="E1441" t="s">
        <v>59</v>
      </c>
      <c r="F1441"/>
      <c r="G1441" s="130" t="str">
        <f t="shared" si="22"/>
        <v>電機三孝</v>
      </c>
    </row>
    <row r="1442" spans="1:7">
      <c r="A1442" t="s">
        <v>86</v>
      </c>
      <c r="B1442">
        <v>12</v>
      </c>
      <c r="C1442" s="55" t="s">
        <v>1725</v>
      </c>
      <c r="D1442" t="s">
        <v>1726</v>
      </c>
      <c r="E1442" t="s">
        <v>59</v>
      </c>
      <c r="F1442"/>
      <c r="G1442" s="130" t="str">
        <f t="shared" si="22"/>
        <v>電機三孝</v>
      </c>
    </row>
    <row r="1443" spans="1:7">
      <c r="A1443" t="s">
        <v>86</v>
      </c>
      <c r="B1443">
        <v>13</v>
      </c>
      <c r="C1443" s="55" t="s">
        <v>1762</v>
      </c>
      <c r="D1443" t="s">
        <v>1763</v>
      </c>
      <c r="E1443" t="s">
        <v>59</v>
      </c>
      <c r="F1443"/>
      <c r="G1443" s="130" t="str">
        <f t="shared" si="22"/>
        <v>電機三孝</v>
      </c>
    </row>
    <row r="1444" spans="1:7">
      <c r="A1444" t="s">
        <v>86</v>
      </c>
      <c r="B1444">
        <v>14</v>
      </c>
      <c r="C1444" s="55" t="s">
        <v>1799</v>
      </c>
      <c r="D1444" t="s">
        <v>1800</v>
      </c>
      <c r="E1444" t="s">
        <v>59</v>
      </c>
      <c r="F1444"/>
      <c r="G1444" s="130" t="str">
        <f t="shared" si="22"/>
        <v>電機三孝</v>
      </c>
    </row>
    <row r="1445" spans="1:7">
      <c r="A1445" t="s">
        <v>86</v>
      </c>
      <c r="B1445">
        <v>15</v>
      </c>
      <c r="C1445" s="55" t="s">
        <v>1832</v>
      </c>
      <c r="D1445" t="s">
        <v>1833</v>
      </c>
      <c r="E1445" t="s">
        <v>59</v>
      </c>
      <c r="F1445"/>
      <c r="G1445" s="130" t="str">
        <f t="shared" si="22"/>
        <v>電機三孝</v>
      </c>
    </row>
    <row r="1446" spans="1:7">
      <c r="A1446" t="s">
        <v>86</v>
      </c>
      <c r="B1446">
        <v>16</v>
      </c>
      <c r="C1446" s="55" t="s">
        <v>1867</v>
      </c>
      <c r="D1446" t="s">
        <v>1868</v>
      </c>
      <c r="E1446" t="s">
        <v>59</v>
      </c>
      <c r="F1446"/>
      <c r="G1446" s="130" t="str">
        <f t="shared" si="22"/>
        <v>電機三孝</v>
      </c>
    </row>
    <row r="1447" spans="1:7">
      <c r="A1447" t="s">
        <v>86</v>
      </c>
      <c r="B1447">
        <v>17</v>
      </c>
      <c r="C1447" s="55" t="s">
        <v>1902</v>
      </c>
      <c r="D1447" t="s">
        <v>1903</v>
      </c>
      <c r="E1447" t="s">
        <v>59</v>
      </c>
      <c r="F1447"/>
      <c r="G1447" s="130" t="str">
        <f t="shared" si="22"/>
        <v>電機三孝</v>
      </c>
    </row>
    <row r="1448" spans="1:7">
      <c r="A1448" t="s">
        <v>86</v>
      </c>
      <c r="B1448">
        <v>18</v>
      </c>
      <c r="C1448" s="55" t="s">
        <v>1937</v>
      </c>
      <c r="D1448" t="s">
        <v>991</v>
      </c>
      <c r="E1448" t="s">
        <v>59</v>
      </c>
      <c r="F1448"/>
      <c r="G1448" s="130" t="str">
        <f t="shared" si="22"/>
        <v>電機三孝</v>
      </c>
    </row>
    <row r="1449" spans="1:7">
      <c r="A1449" t="s">
        <v>86</v>
      </c>
      <c r="B1449">
        <v>19</v>
      </c>
      <c r="C1449" s="55" t="s">
        <v>1971</v>
      </c>
      <c r="D1449" t="s">
        <v>607</v>
      </c>
      <c r="E1449" t="s">
        <v>59</v>
      </c>
      <c r="F1449"/>
      <c r="G1449" s="130" t="str">
        <f t="shared" si="22"/>
        <v>電機三孝</v>
      </c>
    </row>
    <row r="1450" spans="1:7">
      <c r="A1450" t="s">
        <v>86</v>
      </c>
      <c r="B1450">
        <v>20</v>
      </c>
      <c r="C1450" s="55" t="s">
        <v>2004</v>
      </c>
      <c r="D1450" t="s">
        <v>2005</v>
      </c>
      <c r="E1450" t="s">
        <v>59</v>
      </c>
      <c r="F1450"/>
      <c r="G1450" s="130" t="str">
        <f t="shared" si="22"/>
        <v>電機三孝</v>
      </c>
    </row>
    <row r="1451" spans="1:7">
      <c r="A1451" t="s">
        <v>86</v>
      </c>
      <c r="B1451">
        <v>21</v>
      </c>
      <c r="C1451" s="55" t="s">
        <v>2036</v>
      </c>
      <c r="D1451" t="s">
        <v>2037</v>
      </c>
      <c r="E1451" t="s">
        <v>59</v>
      </c>
      <c r="F1451"/>
      <c r="G1451" s="130" t="str">
        <f t="shared" si="22"/>
        <v>電機三孝</v>
      </c>
    </row>
    <row r="1452" spans="1:7">
      <c r="A1452" t="s">
        <v>86</v>
      </c>
      <c r="B1452">
        <v>22</v>
      </c>
      <c r="C1452" s="55" t="s">
        <v>2069</v>
      </c>
      <c r="D1452" t="s">
        <v>2070</v>
      </c>
      <c r="E1452" t="s">
        <v>59</v>
      </c>
      <c r="F1452"/>
      <c r="G1452" s="130" t="str">
        <f t="shared" si="22"/>
        <v>電機三孝</v>
      </c>
    </row>
    <row r="1453" spans="1:7">
      <c r="A1453" t="s">
        <v>86</v>
      </c>
      <c r="B1453">
        <v>23</v>
      </c>
      <c r="C1453" s="55" t="s">
        <v>2102</v>
      </c>
      <c r="D1453" t="s">
        <v>2103</v>
      </c>
      <c r="E1453" t="s">
        <v>59</v>
      </c>
      <c r="F1453"/>
      <c r="G1453" s="130" t="str">
        <f t="shared" si="22"/>
        <v>電機三孝</v>
      </c>
    </row>
    <row r="1454" spans="1:7">
      <c r="A1454" t="s">
        <v>86</v>
      </c>
      <c r="B1454">
        <v>24</v>
      </c>
      <c r="C1454" s="55" t="s">
        <v>2135</v>
      </c>
      <c r="D1454" t="s">
        <v>2136</v>
      </c>
      <c r="E1454" t="s">
        <v>59</v>
      </c>
      <c r="F1454"/>
      <c r="G1454" s="130" t="str">
        <f t="shared" si="22"/>
        <v>電機三孝</v>
      </c>
    </row>
    <row r="1455" spans="1:7">
      <c r="A1455" t="s">
        <v>86</v>
      </c>
      <c r="B1455">
        <v>25</v>
      </c>
      <c r="C1455" s="55" t="s">
        <v>2169</v>
      </c>
      <c r="D1455" t="s">
        <v>2170</v>
      </c>
      <c r="E1455" t="s">
        <v>59</v>
      </c>
      <c r="F1455"/>
      <c r="G1455" s="130" t="str">
        <f t="shared" si="22"/>
        <v>電機三孝</v>
      </c>
    </row>
    <row r="1456" spans="1:7">
      <c r="A1456" t="s">
        <v>86</v>
      </c>
      <c r="B1456">
        <v>26</v>
      </c>
      <c r="C1456" s="55" t="s">
        <v>2203</v>
      </c>
      <c r="D1456" t="s">
        <v>2204</v>
      </c>
      <c r="E1456" t="s">
        <v>59</v>
      </c>
      <c r="F1456"/>
      <c r="G1456" s="130" t="str">
        <f t="shared" si="22"/>
        <v>電機三孝</v>
      </c>
    </row>
    <row r="1457" spans="1:7">
      <c r="A1457" t="s">
        <v>86</v>
      </c>
      <c r="B1457">
        <v>27</v>
      </c>
      <c r="C1457" s="55" t="s">
        <v>2236</v>
      </c>
      <c r="D1457" t="s">
        <v>2237</v>
      </c>
      <c r="E1457" t="s">
        <v>59</v>
      </c>
      <c r="F1457"/>
      <c r="G1457" s="130" t="str">
        <f t="shared" si="22"/>
        <v>電機三孝</v>
      </c>
    </row>
    <row r="1458" spans="1:7">
      <c r="A1458" t="s">
        <v>86</v>
      </c>
      <c r="B1458">
        <v>28</v>
      </c>
      <c r="C1458" s="55" t="s">
        <v>2270</v>
      </c>
      <c r="D1458" t="s">
        <v>2271</v>
      </c>
      <c r="E1458" t="s">
        <v>59</v>
      </c>
      <c r="F1458"/>
      <c r="G1458" s="130" t="str">
        <f t="shared" si="22"/>
        <v>電機三孝</v>
      </c>
    </row>
    <row r="1459" spans="1:7">
      <c r="A1459" t="s">
        <v>86</v>
      </c>
      <c r="B1459">
        <v>29</v>
      </c>
      <c r="C1459" s="55" t="s">
        <v>2303</v>
      </c>
      <c r="D1459" t="s">
        <v>2304</v>
      </c>
      <c r="E1459" t="s">
        <v>59</v>
      </c>
      <c r="F1459"/>
      <c r="G1459" s="130" t="str">
        <f t="shared" si="22"/>
        <v>電機三孝</v>
      </c>
    </row>
    <row r="1460" spans="1:7">
      <c r="A1460" t="s">
        <v>86</v>
      </c>
      <c r="B1460">
        <v>30</v>
      </c>
      <c r="C1460" s="55" t="s">
        <v>2336</v>
      </c>
      <c r="D1460" t="s">
        <v>2337</v>
      </c>
      <c r="E1460" t="s">
        <v>59</v>
      </c>
      <c r="F1460"/>
      <c r="G1460" s="130" t="str">
        <f t="shared" si="22"/>
        <v>電機三孝</v>
      </c>
    </row>
    <row r="1461" spans="1:7">
      <c r="A1461" t="s">
        <v>86</v>
      </c>
      <c r="B1461">
        <v>31</v>
      </c>
      <c r="C1461" s="55" t="s">
        <v>2370</v>
      </c>
      <c r="D1461" t="s">
        <v>2371</v>
      </c>
      <c r="E1461" t="s">
        <v>59</v>
      </c>
      <c r="F1461"/>
      <c r="G1461" s="130" t="str">
        <f t="shared" si="22"/>
        <v>電機三孝</v>
      </c>
    </row>
    <row r="1462" spans="1:7">
      <c r="A1462" t="s">
        <v>86</v>
      </c>
      <c r="B1462">
        <v>32</v>
      </c>
      <c r="C1462" s="55" t="s">
        <v>2404</v>
      </c>
      <c r="D1462" t="s">
        <v>2405</v>
      </c>
      <c r="E1462" t="s">
        <v>59</v>
      </c>
      <c r="F1462"/>
      <c r="G1462" s="130" t="str">
        <f t="shared" si="22"/>
        <v>電機三孝</v>
      </c>
    </row>
    <row r="1463" spans="1:7">
      <c r="A1463" t="s">
        <v>86</v>
      </c>
      <c r="B1463">
        <v>33</v>
      </c>
      <c r="C1463" s="55" t="s">
        <v>2436</v>
      </c>
      <c r="D1463" t="s">
        <v>2437</v>
      </c>
      <c r="E1463" t="s">
        <v>59</v>
      </c>
      <c r="F1463"/>
      <c r="G1463" s="130" t="str">
        <f t="shared" si="22"/>
        <v>電機三孝</v>
      </c>
    </row>
    <row r="1464" spans="1:7">
      <c r="A1464" t="s">
        <v>86</v>
      </c>
      <c r="B1464">
        <v>34</v>
      </c>
      <c r="C1464" s="55" t="s">
        <v>2465</v>
      </c>
      <c r="D1464" t="s">
        <v>2466</v>
      </c>
      <c r="E1464" t="s">
        <v>59</v>
      </c>
      <c r="F1464"/>
      <c r="G1464" s="130" t="str">
        <f t="shared" si="22"/>
        <v>電機三孝</v>
      </c>
    </row>
    <row r="1465" spans="1:7">
      <c r="A1465" t="s">
        <v>86</v>
      </c>
      <c r="B1465">
        <v>35</v>
      </c>
      <c r="C1465" s="55" t="s">
        <v>2483</v>
      </c>
      <c r="D1465" t="s">
        <v>2484</v>
      </c>
      <c r="E1465" t="s">
        <v>59</v>
      </c>
      <c r="F1465"/>
      <c r="G1465" s="130" t="str">
        <f t="shared" si="22"/>
        <v>電機三孝</v>
      </c>
    </row>
    <row r="1466" spans="1:7">
      <c r="A1466" t="s">
        <v>86</v>
      </c>
      <c r="B1466">
        <v>36</v>
      </c>
      <c r="C1466" s="55" t="s">
        <v>2501</v>
      </c>
      <c r="D1466" t="s">
        <v>2502</v>
      </c>
      <c r="E1466" t="s">
        <v>59</v>
      </c>
      <c r="F1466"/>
      <c r="G1466" s="130" t="str">
        <f t="shared" si="22"/>
        <v>電機三孝</v>
      </c>
    </row>
    <row r="1467" spans="1:7">
      <c r="A1467" t="s">
        <v>86</v>
      </c>
      <c r="B1467">
        <v>37</v>
      </c>
      <c r="C1467" s="55" t="s">
        <v>2515</v>
      </c>
      <c r="D1467" t="s">
        <v>2516</v>
      </c>
      <c r="E1467" t="s">
        <v>59</v>
      </c>
      <c r="F1467"/>
      <c r="G1467" s="130" t="str">
        <f t="shared" si="22"/>
        <v>電機三孝</v>
      </c>
    </row>
    <row r="1468" spans="1:7">
      <c r="A1468" t="s">
        <v>87</v>
      </c>
      <c r="B1468">
        <v>1</v>
      </c>
      <c r="C1468" s="55" t="s">
        <v>1317</v>
      </c>
      <c r="D1468" t="s">
        <v>1318</v>
      </c>
      <c r="E1468" t="s">
        <v>59</v>
      </c>
      <c r="F1468"/>
      <c r="G1468" s="130" t="str">
        <f t="shared" si="22"/>
        <v>電機三仁</v>
      </c>
    </row>
    <row r="1469" spans="1:7">
      <c r="A1469" t="s">
        <v>87</v>
      </c>
      <c r="B1469">
        <v>2</v>
      </c>
      <c r="C1469" s="55" t="s">
        <v>1391</v>
      </c>
      <c r="D1469" t="s">
        <v>1392</v>
      </c>
      <c r="E1469" t="s">
        <v>59</v>
      </c>
      <c r="F1469"/>
      <c r="G1469" s="130" t="str">
        <f t="shared" si="22"/>
        <v>電機三仁</v>
      </c>
    </row>
    <row r="1470" spans="1:7">
      <c r="A1470" t="s">
        <v>87</v>
      </c>
      <c r="B1470">
        <v>3</v>
      </c>
      <c r="C1470" s="55" t="s">
        <v>1428</v>
      </c>
      <c r="D1470" t="s">
        <v>1429</v>
      </c>
      <c r="E1470" t="s">
        <v>59</v>
      </c>
      <c r="F1470"/>
      <c r="G1470" s="130" t="str">
        <f t="shared" si="22"/>
        <v>電機三仁</v>
      </c>
    </row>
    <row r="1471" spans="1:7">
      <c r="A1471" t="s">
        <v>87</v>
      </c>
      <c r="B1471">
        <v>4</v>
      </c>
      <c r="C1471" s="55" t="s">
        <v>1465</v>
      </c>
      <c r="D1471" t="s">
        <v>1466</v>
      </c>
      <c r="E1471" t="s">
        <v>59</v>
      </c>
      <c r="F1471"/>
      <c r="G1471" s="130" t="str">
        <f t="shared" si="22"/>
        <v>電機三仁</v>
      </c>
    </row>
    <row r="1472" spans="1:7">
      <c r="A1472" t="s">
        <v>87</v>
      </c>
      <c r="B1472">
        <v>5</v>
      </c>
      <c r="C1472" s="55" t="s">
        <v>1539</v>
      </c>
      <c r="D1472" t="s">
        <v>1540</v>
      </c>
      <c r="E1472" t="s">
        <v>59</v>
      </c>
      <c r="F1472"/>
      <c r="G1472" s="130" t="str">
        <f t="shared" si="22"/>
        <v>電機三仁</v>
      </c>
    </row>
    <row r="1473" spans="1:7">
      <c r="A1473" t="s">
        <v>87</v>
      </c>
      <c r="B1473">
        <v>6</v>
      </c>
      <c r="C1473" s="55" t="s">
        <v>1575</v>
      </c>
      <c r="D1473" t="s">
        <v>1576</v>
      </c>
      <c r="E1473" t="s">
        <v>59</v>
      </c>
      <c r="F1473"/>
      <c r="G1473" s="130" t="str">
        <f t="shared" si="22"/>
        <v>電機三仁</v>
      </c>
    </row>
    <row r="1474" spans="1:7">
      <c r="A1474" t="s">
        <v>87</v>
      </c>
      <c r="B1474">
        <v>7</v>
      </c>
      <c r="C1474" s="55" t="s">
        <v>1651</v>
      </c>
      <c r="D1474" t="s">
        <v>1652</v>
      </c>
      <c r="E1474" t="s">
        <v>59</v>
      </c>
      <c r="F1474"/>
      <c r="G1474" s="130" t="str">
        <f t="shared" si="22"/>
        <v>電機三仁</v>
      </c>
    </row>
    <row r="1475" spans="1:7">
      <c r="A1475" t="s">
        <v>87</v>
      </c>
      <c r="B1475">
        <v>8</v>
      </c>
      <c r="C1475" s="55" t="s">
        <v>1689</v>
      </c>
      <c r="D1475" t="s">
        <v>1690</v>
      </c>
      <c r="E1475" t="s">
        <v>59</v>
      </c>
      <c r="F1475"/>
      <c r="G1475" s="130" t="str">
        <f t="shared" ref="G1475:G1538" si="23">A1475&amp;F1475</f>
        <v>電機三仁</v>
      </c>
    </row>
    <row r="1476" spans="1:7">
      <c r="A1476" t="s">
        <v>87</v>
      </c>
      <c r="B1476">
        <v>9</v>
      </c>
      <c r="C1476" s="55" t="s">
        <v>1727</v>
      </c>
      <c r="D1476" t="s">
        <v>955</v>
      </c>
      <c r="E1476" t="s">
        <v>59</v>
      </c>
      <c r="F1476"/>
      <c r="G1476" s="130" t="str">
        <f t="shared" si="23"/>
        <v>電機三仁</v>
      </c>
    </row>
    <row r="1477" spans="1:7">
      <c r="A1477" t="s">
        <v>87</v>
      </c>
      <c r="B1477">
        <v>10</v>
      </c>
      <c r="C1477" s="55" t="s">
        <v>1764</v>
      </c>
      <c r="D1477" t="s">
        <v>1765</v>
      </c>
      <c r="E1477" t="s">
        <v>59</v>
      </c>
      <c r="F1477"/>
      <c r="G1477" s="130" t="str">
        <f t="shared" si="23"/>
        <v>電機三仁</v>
      </c>
    </row>
    <row r="1478" spans="1:7">
      <c r="A1478" t="s">
        <v>87</v>
      </c>
      <c r="B1478">
        <v>11</v>
      </c>
      <c r="C1478" s="55" t="s">
        <v>1801</v>
      </c>
      <c r="D1478" t="s">
        <v>1802</v>
      </c>
      <c r="E1478" t="s">
        <v>59</v>
      </c>
      <c r="F1478"/>
      <c r="G1478" s="130" t="str">
        <f t="shared" si="23"/>
        <v>電機三仁</v>
      </c>
    </row>
    <row r="1479" spans="1:7">
      <c r="A1479" t="s">
        <v>87</v>
      </c>
      <c r="B1479">
        <v>12</v>
      </c>
      <c r="C1479" s="55" t="s">
        <v>1834</v>
      </c>
      <c r="D1479" t="s">
        <v>1835</v>
      </c>
      <c r="E1479" t="s">
        <v>59</v>
      </c>
      <c r="F1479"/>
      <c r="G1479" s="130" t="str">
        <f t="shared" si="23"/>
        <v>電機三仁</v>
      </c>
    </row>
    <row r="1480" spans="1:7">
      <c r="A1480" t="s">
        <v>87</v>
      </c>
      <c r="B1480">
        <v>13</v>
      </c>
      <c r="C1480" s="55" t="s">
        <v>1869</v>
      </c>
      <c r="D1480" t="s">
        <v>1870</v>
      </c>
      <c r="E1480" t="s">
        <v>59</v>
      </c>
      <c r="F1480"/>
      <c r="G1480" s="130" t="str">
        <f t="shared" si="23"/>
        <v>電機三仁</v>
      </c>
    </row>
    <row r="1481" spans="1:7">
      <c r="A1481" t="s">
        <v>87</v>
      </c>
      <c r="B1481">
        <v>14</v>
      </c>
      <c r="C1481" s="55" t="s">
        <v>1904</v>
      </c>
      <c r="D1481" t="s">
        <v>1905</v>
      </c>
      <c r="E1481" t="s">
        <v>59</v>
      </c>
      <c r="F1481"/>
      <c r="G1481" s="130" t="str">
        <f t="shared" si="23"/>
        <v>電機三仁</v>
      </c>
    </row>
    <row r="1482" spans="1:7">
      <c r="A1482" t="s">
        <v>87</v>
      </c>
      <c r="B1482">
        <v>15</v>
      </c>
      <c r="C1482" s="55" t="s">
        <v>1938</v>
      </c>
      <c r="D1482" t="s">
        <v>1939</v>
      </c>
      <c r="E1482" t="s">
        <v>59</v>
      </c>
      <c r="F1482"/>
      <c r="G1482" s="130" t="str">
        <f t="shared" si="23"/>
        <v>電機三仁</v>
      </c>
    </row>
    <row r="1483" spans="1:7">
      <c r="A1483" t="s">
        <v>87</v>
      </c>
      <c r="B1483">
        <v>16</v>
      </c>
      <c r="C1483" s="55" t="s">
        <v>1972</v>
      </c>
      <c r="D1483" t="s">
        <v>1973</v>
      </c>
      <c r="E1483" t="s">
        <v>59</v>
      </c>
      <c r="F1483"/>
      <c r="G1483" s="130" t="str">
        <f t="shared" si="23"/>
        <v>電機三仁</v>
      </c>
    </row>
    <row r="1484" spans="1:7">
      <c r="A1484" t="s">
        <v>87</v>
      </c>
      <c r="B1484">
        <v>17</v>
      </c>
      <c r="C1484" s="55" t="s">
        <v>2006</v>
      </c>
      <c r="D1484" t="s">
        <v>2007</v>
      </c>
      <c r="E1484" t="s">
        <v>59</v>
      </c>
      <c r="F1484"/>
      <c r="G1484" s="130" t="str">
        <f t="shared" si="23"/>
        <v>電機三仁</v>
      </c>
    </row>
    <row r="1485" spans="1:7">
      <c r="A1485" t="s">
        <v>87</v>
      </c>
      <c r="B1485">
        <v>18</v>
      </c>
      <c r="C1485" s="55" t="s">
        <v>2038</v>
      </c>
      <c r="D1485" t="s">
        <v>2039</v>
      </c>
      <c r="E1485" t="s">
        <v>59</v>
      </c>
      <c r="F1485"/>
      <c r="G1485" s="130" t="str">
        <f t="shared" si="23"/>
        <v>電機三仁</v>
      </c>
    </row>
    <row r="1486" spans="1:7">
      <c r="A1486" t="s">
        <v>87</v>
      </c>
      <c r="B1486">
        <v>19</v>
      </c>
      <c r="C1486" s="55" t="s">
        <v>2071</v>
      </c>
      <c r="D1486" t="s">
        <v>2072</v>
      </c>
      <c r="E1486" t="s">
        <v>59</v>
      </c>
      <c r="F1486"/>
      <c r="G1486" s="130" t="str">
        <f t="shared" si="23"/>
        <v>電機三仁</v>
      </c>
    </row>
    <row r="1487" spans="1:7">
      <c r="A1487" t="s">
        <v>87</v>
      </c>
      <c r="B1487">
        <v>20</v>
      </c>
      <c r="C1487" s="55" t="s">
        <v>2137</v>
      </c>
      <c r="D1487" t="s">
        <v>2138</v>
      </c>
      <c r="E1487" t="s">
        <v>59</v>
      </c>
      <c r="F1487"/>
      <c r="G1487" s="130" t="str">
        <f t="shared" si="23"/>
        <v>電機三仁</v>
      </c>
    </row>
    <row r="1488" spans="1:7">
      <c r="A1488" t="s">
        <v>87</v>
      </c>
      <c r="B1488">
        <v>21</v>
      </c>
      <c r="C1488" s="55" t="s">
        <v>2171</v>
      </c>
      <c r="D1488" t="s">
        <v>2172</v>
      </c>
      <c r="E1488" t="s">
        <v>59</v>
      </c>
      <c r="F1488"/>
      <c r="G1488" s="130" t="str">
        <f t="shared" si="23"/>
        <v>電機三仁</v>
      </c>
    </row>
    <row r="1489" spans="1:7">
      <c r="A1489" t="s">
        <v>87</v>
      </c>
      <c r="B1489">
        <v>22</v>
      </c>
      <c r="C1489" s="55" t="s">
        <v>2238</v>
      </c>
      <c r="D1489" t="s">
        <v>2239</v>
      </c>
      <c r="E1489" t="s">
        <v>59</v>
      </c>
      <c r="F1489"/>
      <c r="G1489" s="130" t="str">
        <f t="shared" si="23"/>
        <v>電機三仁</v>
      </c>
    </row>
    <row r="1490" spans="1:7">
      <c r="A1490" t="s">
        <v>87</v>
      </c>
      <c r="B1490">
        <v>23</v>
      </c>
      <c r="C1490" s="55" t="s">
        <v>2272</v>
      </c>
      <c r="D1490" t="s">
        <v>2273</v>
      </c>
      <c r="E1490" t="s">
        <v>59</v>
      </c>
      <c r="F1490"/>
      <c r="G1490" s="130" t="str">
        <f t="shared" si="23"/>
        <v>電機三仁</v>
      </c>
    </row>
    <row r="1491" spans="1:7">
      <c r="A1491" t="s">
        <v>87</v>
      </c>
      <c r="B1491">
        <v>24</v>
      </c>
      <c r="C1491" s="55" t="s">
        <v>2305</v>
      </c>
      <c r="D1491" t="s">
        <v>2306</v>
      </c>
      <c r="E1491" t="s">
        <v>59</v>
      </c>
      <c r="F1491"/>
      <c r="G1491" s="130" t="str">
        <f t="shared" si="23"/>
        <v>電機三仁</v>
      </c>
    </row>
    <row r="1492" spans="1:7">
      <c r="A1492" t="s">
        <v>87</v>
      </c>
      <c r="B1492">
        <v>25</v>
      </c>
      <c r="C1492" s="55" t="s">
        <v>2338</v>
      </c>
      <c r="D1492" t="s">
        <v>2339</v>
      </c>
      <c r="E1492" t="s">
        <v>59</v>
      </c>
      <c r="F1492"/>
      <c r="G1492" s="130" t="str">
        <f t="shared" si="23"/>
        <v>電機三仁</v>
      </c>
    </row>
    <row r="1493" spans="1:7">
      <c r="A1493" t="s">
        <v>87</v>
      </c>
      <c r="B1493">
        <v>26</v>
      </c>
      <c r="C1493" s="55" t="s">
        <v>2372</v>
      </c>
      <c r="D1493" t="s">
        <v>2373</v>
      </c>
      <c r="E1493" t="s">
        <v>59</v>
      </c>
      <c r="F1493"/>
      <c r="G1493" s="130" t="str">
        <f t="shared" si="23"/>
        <v>電機三仁</v>
      </c>
    </row>
    <row r="1494" spans="1:7">
      <c r="A1494" t="s">
        <v>87</v>
      </c>
      <c r="B1494">
        <v>27</v>
      </c>
      <c r="C1494" s="55" t="s">
        <v>2438</v>
      </c>
      <c r="D1494" t="s">
        <v>2439</v>
      </c>
      <c r="E1494" t="s">
        <v>59</v>
      </c>
      <c r="F1494"/>
      <c r="G1494" s="130" t="str">
        <f t="shared" si="23"/>
        <v>電機三仁</v>
      </c>
    </row>
    <row r="1495" spans="1:7">
      <c r="A1495" t="s">
        <v>87</v>
      </c>
      <c r="B1495">
        <v>28</v>
      </c>
      <c r="C1495" s="55" t="s">
        <v>2467</v>
      </c>
      <c r="D1495" t="s">
        <v>2468</v>
      </c>
      <c r="E1495" t="s">
        <v>59</v>
      </c>
      <c r="F1495"/>
      <c r="G1495" s="130" t="str">
        <f t="shared" si="23"/>
        <v>電機三仁</v>
      </c>
    </row>
    <row r="1496" spans="1:7">
      <c r="A1496" t="s">
        <v>87</v>
      </c>
      <c r="B1496">
        <v>29</v>
      </c>
      <c r="C1496" s="55" t="s">
        <v>2485</v>
      </c>
      <c r="D1496" t="s">
        <v>2486</v>
      </c>
      <c r="E1496" t="s">
        <v>59</v>
      </c>
      <c r="F1496"/>
      <c r="G1496" s="130" t="str">
        <f t="shared" si="23"/>
        <v>電機三仁</v>
      </c>
    </row>
    <row r="1497" spans="1:7">
      <c r="A1497" t="s">
        <v>87</v>
      </c>
      <c r="B1497">
        <v>30</v>
      </c>
      <c r="C1497" s="55" t="s">
        <v>2503</v>
      </c>
      <c r="D1497" t="s">
        <v>2504</v>
      </c>
      <c r="E1497" t="s">
        <v>59</v>
      </c>
      <c r="F1497"/>
      <c r="G1497" s="130" t="str">
        <f t="shared" si="23"/>
        <v>電機三仁</v>
      </c>
    </row>
    <row r="1498" spans="1:7">
      <c r="A1498" t="s">
        <v>87</v>
      </c>
      <c r="B1498">
        <v>31</v>
      </c>
      <c r="C1498" s="55" t="s">
        <v>1010</v>
      </c>
      <c r="D1498" t="s">
        <v>1011</v>
      </c>
      <c r="E1498" t="s">
        <v>59</v>
      </c>
      <c r="F1498"/>
      <c r="G1498" s="130" t="str">
        <f t="shared" si="23"/>
        <v>電機三仁</v>
      </c>
    </row>
    <row r="1499" spans="1:7">
      <c r="A1499" t="s">
        <v>88</v>
      </c>
      <c r="B1499">
        <v>1</v>
      </c>
      <c r="C1499" s="55" t="s">
        <v>1319</v>
      </c>
      <c r="D1499" t="s">
        <v>1425</v>
      </c>
      <c r="E1499" t="s">
        <v>60</v>
      </c>
      <c r="F1499"/>
      <c r="G1499" s="130" t="str">
        <f t="shared" si="23"/>
        <v>電機三愛</v>
      </c>
    </row>
    <row r="1500" spans="1:7">
      <c r="A1500" t="s">
        <v>88</v>
      </c>
      <c r="B1500">
        <v>2</v>
      </c>
      <c r="C1500" s="55" t="s">
        <v>1356</v>
      </c>
      <c r="D1500" t="s">
        <v>1320</v>
      </c>
      <c r="E1500" t="s">
        <v>59</v>
      </c>
      <c r="F1500"/>
      <c r="G1500" s="130" t="str">
        <f t="shared" si="23"/>
        <v>電機三愛</v>
      </c>
    </row>
    <row r="1501" spans="1:7">
      <c r="A1501" t="s">
        <v>88</v>
      </c>
      <c r="B1501">
        <v>3</v>
      </c>
      <c r="C1501" s="55" t="s">
        <v>1430</v>
      </c>
      <c r="D1501" t="s">
        <v>1431</v>
      </c>
      <c r="E1501" t="s">
        <v>59</v>
      </c>
      <c r="F1501"/>
      <c r="G1501" s="130" t="str">
        <f t="shared" si="23"/>
        <v>電機三愛</v>
      </c>
    </row>
    <row r="1502" spans="1:7">
      <c r="A1502" t="s">
        <v>88</v>
      </c>
      <c r="B1502">
        <v>4</v>
      </c>
      <c r="C1502" s="55" t="s">
        <v>1467</v>
      </c>
      <c r="D1502" t="s">
        <v>1468</v>
      </c>
      <c r="E1502" t="s">
        <v>59</v>
      </c>
      <c r="F1502"/>
      <c r="G1502" s="130" t="str">
        <f t="shared" si="23"/>
        <v>電機三愛</v>
      </c>
    </row>
    <row r="1503" spans="1:7">
      <c r="A1503" t="s">
        <v>88</v>
      </c>
      <c r="B1503">
        <v>5</v>
      </c>
      <c r="C1503" s="55" t="s">
        <v>1541</v>
      </c>
      <c r="D1503" t="s">
        <v>179</v>
      </c>
      <c r="E1503" t="s">
        <v>59</v>
      </c>
      <c r="F1503"/>
      <c r="G1503" s="130" t="str">
        <f t="shared" si="23"/>
        <v>電機三愛</v>
      </c>
    </row>
    <row r="1504" spans="1:7">
      <c r="A1504" t="s">
        <v>88</v>
      </c>
      <c r="B1504">
        <v>6</v>
      </c>
      <c r="C1504" s="55" t="s">
        <v>1577</v>
      </c>
      <c r="D1504" t="s">
        <v>1578</v>
      </c>
      <c r="E1504" t="s">
        <v>59</v>
      </c>
      <c r="F1504"/>
      <c r="G1504" s="130" t="str">
        <f t="shared" si="23"/>
        <v>電機三愛</v>
      </c>
    </row>
    <row r="1505" spans="1:7">
      <c r="A1505" t="s">
        <v>88</v>
      </c>
      <c r="B1505">
        <v>7</v>
      </c>
      <c r="C1505" s="55" t="s">
        <v>1615</v>
      </c>
      <c r="D1505" t="s">
        <v>1616</v>
      </c>
      <c r="E1505" t="s">
        <v>59</v>
      </c>
      <c r="F1505"/>
      <c r="G1505" s="130" t="str">
        <f t="shared" si="23"/>
        <v>電機三愛</v>
      </c>
    </row>
    <row r="1506" spans="1:7">
      <c r="A1506" t="s">
        <v>88</v>
      </c>
      <c r="B1506">
        <v>8</v>
      </c>
      <c r="C1506" s="55" t="s">
        <v>1653</v>
      </c>
      <c r="D1506" t="s">
        <v>1536</v>
      </c>
      <c r="E1506" t="s">
        <v>60</v>
      </c>
      <c r="F1506"/>
      <c r="G1506" s="130" t="str">
        <f t="shared" si="23"/>
        <v>電機三愛</v>
      </c>
    </row>
    <row r="1507" spans="1:7">
      <c r="A1507" t="s">
        <v>88</v>
      </c>
      <c r="B1507">
        <v>9</v>
      </c>
      <c r="C1507" s="55" t="s">
        <v>1691</v>
      </c>
      <c r="D1507" t="s">
        <v>1654</v>
      </c>
      <c r="E1507" t="s">
        <v>59</v>
      </c>
      <c r="F1507"/>
      <c r="G1507" s="130" t="str">
        <f t="shared" si="23"/>
        <v>電機三愛</v>
      </c>
    </row>
    <row r="1508" spans="1:7">
      <c r="A1508" t="s">
        <v>88</v>
      </c>
      <c r="B1508">
        <v>10</v>
      </c>
      <c r="C1508" s="55" t="s">
        <v>1728</v>
      </c>
      <c r="D1508" t="s">
        <v>1692</v>
      </c>
      <c r="E1508" t="s">
        <v>59</v>
      </c>
      <c r="F1508"/>
      <c r="G1508" s="130" t="str">
        <f t="shared" si="23"/>
        <v>電機三愛</v>
      </c>
    </row>
    <row r="1509" spans="1:7">
      <c r="A1509" t="s">
        <v>88</v>
      </c>
      <c r="B1509">
        <v>11</v>
      </c>
      <c r="C1509" s="55" t="s">
        <v>1766</v>
      </c>
      <c r="D1509" t="s">
        <v>1729</v>
      </c>
      <c r="E1509" t="s">
        <v>59</v>
      </c>
      <c r="F1509"/>
      <c r="G1509" s="130" t="str">
        <f t="shared" si="23"/>
        <v>電機三愛</v>
      </c>
    </row>
    <row r="1510" spans="1:7">
      <c r="A1510" t="s">
        <v>88</v>
      </c>
      <c r="B1510">
        <v>12</v>
      </c>
      <c r="C1510" s="55" t="s">
        <v>1803</v>
      </c>
      <c r="D1510" t="s">
        <v>1767</v>
      </c>
      <c r="E1510" t="s">
        <v>59</v>
      </c>
      <c r="F1510"/>
      <c r="G1510" s="130" t="str">
        <f t="shared" si="23"/>
        <v>電機三愛</v>
      </c>
    </row>
    <row r="1511" spans="1:7">
      <c r="A1511" t="s">
        <v>88</v>
      </c>
      <c r="B1511">
        <v>13</v>
      </c>
      <c r="C1511" s="55" t="s">
        <v>1836</v>
      </c>
      <c r="D1511" t="s">
        <v>552</v>
      </c>
      <c r="E1511" t="s">
        <v>59</v>
      </c>
      <c r="F1511"/>
      <c r="G1511" s="130" t="str">
        <f t="shared" si="23"/>
        <v>電機三愛</v>
      </c>
    </row>
    <row r="1512" spans="1:7">
      <c r="A1512" t="s">
        <v>88</v>
      </c>
      <c r="B1512">
        <v>14</v>
      </c>
      <c r="C1512" s="55" t="s">
        <v>1871</v>
      </c>
      <c r="D1512" t="s">
        <v>1837</v>
      </c>
      <c r="E1512" t="s">
        <v>59</v>
      </c>
      <c r="F1512"/>
      <c r="G1512" s="130" t="str">
        <f t="shared" si="23"/>
        <v>電機三愛</v>
      </c>
    </row>
    <row r="1513" spans="1:7">
      <c r="A1513" t="s">
        <v>88</v>
      </c>
      <c r="B1513">
        <v>15</v>
      </c>
      <c r="C1513" s="55" t="s">
        <v>1906</v>
      </c>
      <c r="D1513" t="s">
        <v>1872</v>
      </c>
      <c r="E1513" t="s">
        <v>59</v>
      </c>
      <c r="F1513"/>
      <c r="G1513" s="130" t="str">
        <f t="shared" si="23"/>
        <v>電機三愛</v>
      </c>
    </row>
    <row r="1514" spans="1:7">
      <c r="A1514" t="s">
        <v>88</v>
      </c>
      <c r="B1514">
        <v>16</v>
      </c>
      <c r="C1514" s="55" t="s">
        <v>1940</v>
      </c>
      <c r="D1514" t="s">
        <v>1907</v>
      </c>
      <c r="E1514" t="s">
        <v>59</v>
      </c>
      <c r="F1514"/>
      <c r="G1514" s="130" t="str">
        <f t="shared" si="23"/>
        <v>電機三愛</v>
      </c>
    </row>
    <row r="1515" spans="1:7">
      <c r="A1515" t="s">
        <v>88</v>
      </c>
      <c r="B1515">
        <v>17</v>
      </c>
      <c r="C1515" s="55" t="s">
        <v>1974</v>
      </c>
      <c r="D1515" t="s">
        <v>1941</v>
      </c>
      <c r="E1515" t="s">
        <v>59</v>
      </c>
      <c r="F1515"/>
      <c r="G1515" s="130" t="str">
        <f t="shared" si="23"/>
        <v>電機三愛</v>
      </c>
    </row>
    <row r="1516" spans="1:7">
      <c r="A1516" t="s">
        <v>88</v>
      </c>
      <c r="B1516">
        <v>18</v>
      </c>
      <c r="C1516" s="55" t="s">
        <v>2008</v>
      </c>
      <c r="D1516" t="s">
        <v>1975</v>
      </c>
      <c r="E1516" t="s">
        <v>59</v>
      </c>
      <c r="F1516"/>
      <c r="G1516" s="130" t="str">
        <f t="shared" si="23"/>
        <v>電機三愛</v>
      </c>
    </row>
    <row r="1517" spans="1:7">
      <c r="A1517" t="s">
        <v>88</v>
      </c>
      <c r="B1517">
        <v>19</v>
      </c>
      <c r="C1517" s="55" t="s">
        <v>2040</v>
      </c>
      <c r="D1517" t="s">
        <v>2009</v>
      </c>
      <c r="E1517" t="s">
        <v>59</v>
      </c>
      <c r="F1517"/>
      <c r="G1517" s="130" t="str">
        <f t="shared" si="23"/>
        <v>電機三愛</v>
      </c>
    </row>
    <row r="1518" spans="1:7">
      <c r="A1518" t="s">
        <v>88</v>
      </c>
      <c r="B1518">
        <v>20</v>
      </c>
      <c r="C1518" s="55" t="s">
        <v>2106</v>
      </c>
      <c r="D1518" t="s">
        <v>2074</v>
      </c>
      <c r="E1518" t="s">
        <v>59</v>
      </c>
      <c r="F1518"/>
      <c r="G1518" s="130" t="str">
        <f t="shared" si="23"/>
        <v>電機三愛</v>
      </c>
    </row>
    <row r="1519" spans="1:7">
      <c r="A1519" t="s">
        <v>88</v>
      </c>
      <c r="B1519">
        <v>21</v>
      </c>
      <c r="C1519" s="55" t="s">
        <v>2139</v>
      </c>
      <c r="D1519" t="s">
        <v>2107</v>
      </c>
      <c r="E1519" t="s">
        <v>59</v>
      </c>
      <c r="F1519"/>
      <c r="G1519" s="130" t="str">
        <f t="shared" si="23"/>
        <v>電機三愛</v>
      </c>
    </row>
    <row r="1520" spans="1:7">
      <c r="A1520" t="s">
        <v>88</v>
      </c>
      <c r="B1520">
        <v>22</v>
      </c>
      <c r="C1520" s="55" t="s">
        <v>2173</v>
      </c>
      <c r="D1520" t="s">
        <v>2140</v>
      </c>
      <c r="E1520" t="s">
        <v>59</v>
      </c>
      <c r="F1520"/>
      <c r="G1520" s="130" t="str">
        <f t="shared" si="23"/>
        <v>電機三愛</v>
      </c>
    </row>
    <row r="1521" spans="1:7">
      <c r="A1521" t="s">
        <v>88</v>
      </c>
      <c r="B1521">
        <v>23</v>
      </c>
      <c r="C1521" s="55" t="s">
        <v>2207</v>
      </c>
      <c r="D1521" t="s">
        <v>2174</v>
      </c>
      <c r="E1521" t="s">
        <v>59</v>
      </c>
      <c r="F1521"/>
      <c r="G1521" s="130" t="str">
        <f t="shared" si="23"/>
        <v>電機三愛</v>
      </c>
    </row>
    <row r="1522" spans="1:7">
      <c r="A1522" t="s">
        <v>88</v>
      </c>
      <c r="B1522">
        <v>24</v>
      </c>
      <c r="C1522" s="55" t="s">
        <v>2240</v>
      </c>
      <c r="D1522" t="s">
        <v>2208</v>
      </c>
      <c r="E1522" t="s">
        <v>59</v>
      </c>
      <c r="F1522"/>
      <c r="G1522" s="130" t="str">
        <f t="shared" si="23"/>
        <v>電機三愛</v>
      </c>
    </row>
    <row r="1523" spans="1:7">
      <c r="A1523" t="s">
        <v>88</v>
      </c>
      <c r="B1523">
        <v>25</v>
      </c>
      <c r="C1523" s="55" t="s">
        <v>2274</v>
      </c>
      <c r="D1523" t="s">
        <v>2241</v>
      </c>
      <c r="E1523" t="s">
        <v>59</v>
      </c>
      <c r="F1523"/>
      <c r="G1523" s="130" t="str">
        <f t="shared" si="23"/>
        <v>電機三愛</v>
      </c>
    </row>
    <row r="1524" spans="1:7">
      <c r="A1524" t="s">
        <v>88</v>
      </c>
      <c r="B1524">
        <v>26</v>
      </c>
      <c r="C1524" s="55" t="s">
        <v>2307</v>
      </c>
      <c r="D1524" t="s">
        <v>2308</v>
      </c>
      <c r="E1524" t="s">
        <v>59</v>
      </c>
      <c r="F1524"/>
      <c r="G1524" s="130" t="str">
        <f t="shared" si="23"/>
        <v>電機三愛</v>
      </c>
    </row>
    <row r="1525" spans="1:7">
      <c r="A1525" t="s">
        <v>88</v>
      </c>
      <c r="B1525">
        <v>27</v>
      </c>
      <c r="C1525" s="55" t="s">
        <v>2340</v>
      </c>
      <c r="D1525" t="s">
        <v>2341</v>
      </c>
      <c r="E1525" t="s">
        <v>59</v>
      </c>
      <c r="F1525"/>
      <c r="G1525" s="130" t="str">
        <f t="shared" si="23"/>
        <v>電機三愛</v>
      </c>
    </row>
    <row r="1526" spans="1:7">
      <c r="A1526" t="s">
        <v>88</v>
      </c>
      <c r="B1526">
        <v>28</v>
      </c>
      <c r="C1526" s="55" t="s">
        <v>2374</v>
      </c>
      <c r="D1526" t="s">
        <v>2375</v>
      </c>
      <c r="E1526" t="s">
        <v>59</v>
      </c>
      <c r="F1526"/>
      <c r="G1526" s="130" t="str">
        <f t="shared" si="23"/>
        <v>電機三愛</v>
      </c>
    </row>
    <row r="1527" spans="1:7">
      <c r="A1527" t="s">
        <v>88</v>
      </c>
      <c r="B1527">
        <v>29</v>
      </c>
      <c r="C1527" s="55" t="s">
        <v>2407</v>
      </c>
      <c r="D1527" t="s">
        <v>2408</v>
      </c>
      <c r="E1527" t="s">
        <v>59</v>
      </c>
      <c r="F1527"/>
      <c r="G1527" s="130" t="str">
        <f t="shared" si="23"/>
        <v>電機三愛</v>
      </c>
    </row>
    <row r="1528" spans="1:7">
      <c r="A1528" t="s">
        <v>88</v>
      </c>
      <c r="B1528">
        <v>30</v>
      </c>
      <c r="C1528" s="55" t="s">
        <v>2440</v>
      </c>
      <c r="D1528" t="s">
        <v>2441</v>
      </c>
      <c r="E1528" t="s">
        <v>59</v>
      </c>
      <c r="F1528"/>
      <c r="G1528" s="130" t="str">
        <f t="shared" si="23"/>
        <v>電機三愛</v>
      </c>
    </row>
    <row r="1529" spans="1:7">
      <c r="A1529" t="s">
        <v>88</v>
      </c>
      <c r="B1529">
        <v>31</v>
      </c>
      <c r="C1529" s="55" t="s">
        <v>2469</v>
      </c>
      <c r="D1529" t="s">
        <v>2470</v>
      </c>
      <c r="E1529" t="s">
        <v>59</v>
      </c>
      <c r="F1529"/>
      <c r="G1529" s="130" t="str">
        <f t="shared" si="23"/>
        <v>電機三愛</v>
      </c>
    </row>
    <row r="1530" spans="1:7">
      <c r="A1530" t="s">
        <v>88</v>
      </c>
      <c r="B1530">
        <v>32</v>
      </c>
      <c r="C1530" s="55" t="s">
        <v>2487</v>
      </c>
      <c r="D1530" t="s">
        <v>2488</v>
      </c>
      <c r="E1530" t="s">
        <v>59</v>
      </c>
      <c r="F1530"/>
      <c r="G1530" s="130" t="str">
        <f t="shared" si="23"/>
        <v>電機三愛</v>
      </c>
    </row>
    <row r="1531" spans="1:7">
      <c r="A1531" t="s">
        <v>88</v>
      </c>
      <c r="B1531">
        <v>33</v>
      </c>
      <c r="C1531" s="55" t="s">
        <v>2505</v>
      </c>
      <c r="D1531" t="s">
        <v>2506</v>
      </c>
      <c r="E1531" t="s">
        <v>59</v>
      </c>
      <c r="F1531"/>
      <c r="G1531" s="130" t="str">
        <f t="shared" si="23"/>
        <v>電機三愛</v>
      </c>
    </row>
    <row r="1532" spans="1:7">
      <c r="A1532" t="s">
        <v>88</v>
      </c>
      <c r="B1532">
        <v>34</v>
      </c>
      <c r="C1532" s="55" t="s">
        <v>978</v>
      </c>
      <c r="D1532" t="s">
        <v>979</v>
      </c>
      <c r="E1532" t="s">
        <v>59</v>
      </c>
      <c r="F1532"/>
      <c r="G1532" s="130" t="str">
        <f t="shared" si="23"/>
        <v>電機三愛</v>
      </c>
    </row>
    <row r="1533" spans="1:7">
      <c r="A1533" t="s">
        <v>89</v>
      </c>
      <c r="B1533">
        <v>1</v>
      </c>
      <c r="C1533" s="55" t="s">
        <v>1321</v>
      </c>
      <c r="D1533" t="s">
        <v>1322</v>
      </c>
      <c r="E1533" t="s">
        <v>59</v>
      </c>
      <c r="F1533"/>
      <c r="G1533" s="130" t="str">
        <f t="shared" si="23"/>
        <v>資訊三忠</v>
      </c>
    </row>
    <row r="1534" spans="1:7">
      <c r="A1534" t="s">
        <v>89</v>
      </c>
      <c r="B1534">
        <v>2</v>
      </c>
      <c r="C1534" s="55" t="s">
        <v>1358</v>
      </c>
      <c r="D1534" t="s">
        <v>1359</v>
      </c>
      <c r="E1534" t="s">
        <v>59</v>
      </c>
      <c r="F1534"/>
      <c r="G1534" s="130" t="str">
        <f t="shared" si="23"/>
        <v>資訊三忠</v>
      </c>
    </row>
    <row r="1535" spans="1:7">
      <c r="A1535" t="s">
        <v>89</v>
      </c>
      <c r="B1535">
        <v>3</v>
      </c>
      <c r="C1535" s="55" t="s">
        <v>1432</v>
      </c>
      <c r="D1535" t="s">
        <v>1433</v>
      </c>
      <c r="E1535" t="s">
        <v>59</v>
      </c>
      <c r="F1535"/>
      <c r="G1535" s="130" t="str">
        <f t="shared" si="23"/>
        <v>資訊三忠</v>
      </c>
    </row>
    <row r="1536" spans="1:7">
      <c r="A1536" t="s">
        <v>89</v>
      </c>
      <c r="B1536">
        <v>4</v>
      </c>
      <c r="C1536" s="55" t="s">
        <v>1469</v>
      </c>
      <c r="D1536" t="s">
        <v>1470</v>
      </c>
      <c r="E1536" t="s">
        <v>59</v>
      </c>
      <c r="F1536"/>
      <c r="G1536" s="130" t="str">
        <f t="shared" si="23"/>
        <v>資訊三忠</v>
      </c>
    </row>
    <row r="1537" spans="1:7">
      <c r="A1537" t="s">
        <v>89</v>
      </c>
      <c r="B1537">
        <v>5</v>
      </c>
      <c r="C1537" s="55" t="s">
        <v>1505</v>
      </c>
      <c r="D1537" t="s">
        <v>1506</v>
      </c>
      <c r="E1537" t="s">
        <v>59</v>
      </c>
      <c r="F1537"/>
      <c r="G1537" s="130" t="str">
        <f t="shared" si="23"/>
        <v>資訊三忠</v>
      </c>
    </row>
    <row r="1538" spans="1:7">
      <c r="A1538" t="s">
        <v>89</v>
      </c>
      <c r="B1538">
        <v>6</v>
      </c>
      <c r="C1538" s="55" t="s">
        <v>1542</v>
      </c>
      <c r="D1538" t="s">
        <v>1543</v>
      </c>
      <c r="E1538" t="s">
        <v>59</v>
      </c>
      <c r="F1538"/>
      <c r="G1538" s="130" t="str">
        <f t="shared" si="23"/>
        <v>資訊三忠</v>
      </c>
    </row>
    <row r="1539" spans="1:7">
      <c r="A1539" t="s">
        <v>89</v>
      </c>
      <c r="B1539">
        <v>7</v>
      </c>
      <c r="C1539" s="55" t="s">
        <v>1579</v>
      </c>
      <c r="D1539" t="s">
        <v>1580</v>
      </c>
      <c r="E1539" t="s">
        <v>60</v>
      </c>
      <c r="F1539"/>
      <c r="G1539" s="130" t="str">
        <f t="shared" ref="G1539:G1602" si="24">A1539&amp;F1539</f>
        <v>資訊三忠</v>
      </c>
    </row>
    <row r="1540" spans="1:7">
      <c r="A1540" t="s">
        <v>89</v>
      </c>
      <c r="B1540">
        <v>8</v>
      </c>
      <c r="C1540" s="55" t="s">
        <v>1617</v>
      </c>
      <c r="D1540" t="s">
        <v>1618</v>
      </c>
      <c r="E1540" t="s">
        <v>59</v>
      </c>
      <c r="F1540"/>
      <c r="G1540" s="130" t="str">
        <f t="shared" si="24"/>
        <v>資訊三忠</v>
      </c>
    </row>
    <row r="1541" spans="1:7">
      <c r="A1541" t="s">
        <v>89</v>
      </c>
      <c r="B1541">
        <v>9</v>
      </c>
      <c r="C1541" s="55" t="s">
        <v>1655</v>
      </c>
      <c r="D1541" t="s">
        <v>1656</v>
      </c>
      <c r="E1541" t="s">
        <v>60</v>
      </c>
      <c r="F1541"/>
      <c r="G1541" s="130" t="str">
        <f t="shared" si="24"/>
        <v>資訊三忠</v>
      </c>
    </row>
    <row r="1542" spans="1:7">
      <c r="A1542" t="s">
        <v>89</v>
      </c>
      <c r="B1542">
        <v>10</v>
      </c>
      <c r="C1542" s="55" t="s">
        <v>1693</v>
      </c>
      <c r="D1542" t="s">
        <v>1694</v>
      </c>
      <c r="E1542" t="s">
        <v>59</v>
      </c>
      <c r="F1542"/>
      <c r="G1542" s="130" t="str">
        <f t="shared" si="24"/>
        <v>資訊三忠</v>
      </c>
    </row>
    <row r="1543" spans="1:7">
      <c r="A1543" t="s">
        <v>89</v>
      </c>
      <c r="B1543">
        <v>11</v>
      </c>
      <c r="C1543" s="55" t="s">
        <v>1730</v>
      </c>
      <c r="D1543" t="s">
        <v>1731</v>
      </c>
      <c r="E1543" t="s">
        <v>59</v>
      </c>
      <c r="F1543"/>
      <c r="G1543" s="130" t="str">
        <f t="shared" si="24"/>
        <v>資訊三忠</v>
      </c>
    </row>
    <row r="1544" spans="1:7">
      <c r="A1544" t="s">
        <v>89</v>
      </c>
      <c r="B1544">
        <v>12</v>
      </c>
      <c r="C1544" s="55" t="s">
        <v>1768</v>
      </c>
      <c r="D1544" t="s">
        <v>582</v>
      </c>
      <c r="E1544" t="s">
        <v>59</v>
      </c>
      <c r="F1544" s="55"/>
      <c r="G1544" s="130" t="str">
        <f t="shared" si="24"/>
        <v>資訊三忠</v>
      </c>
    </row>
    <row r="1545" spans="1:7">
      <c r="A1545" t="s">
        <v>89</v>
      </c>
      <c r="B1545">
        <v>13</v>
      </c>
      <c r="C1545" s="55" t="s">
        <v>1804</v>
      </c>
      <c r="D1545" t="s">
        <v>598</v>
      </c>
      <c r="E1545" t="s">
        <v>59</v>
      </c>
      <c r="F1545"/>
      <c r="G1545" s="130" t="str">
        <f t="shared" si="24"/>
        <v>資訊三忠</v>
      </c>
    </row>
    <row r="1546" spans="1:7">
      <c r="A1546" t="s">
        <v>89</v>
      </c>
      <c r="B1546">
        <v>14</v>
      </c>
      <c r="C1546" s="55" t="s">
        <v>1838</v>
      </c>
      <c r="D1546" t="s">
        <v>1839</v>
      </c>
      <c r="E1546" t="s">
        <v>59</v>
      </c>
      <c r="F1546"/>
      <c r="G1546" s="130" t="str">
        <f t="shared" si="24"/>
        <v>資訊三忠</v>
      </c>
    </row>
    <row r="1547" spans="1:7">
      <c r="A1547" t="s">
        <v>89</v>
      </c>
      <c r="B1547">
        <v>15</v>
      </c>
      <c r="C1547" s="55" t="s">
        <v>1873</v>
      </c>
      <c r="D1547" t="s">
        <v>1874</v>
      </c>
      <c r="E1547" t="s">
        <v>59</v>
      </c>
      <c r="F1547"/>
      <c r="G1547" s="130" t="str">
        <f t="shared" si="24"/>
        <v>資訊三忠</v>
      </c>
    </row>
    <row r="1548" spans="1:7">
      <c r="A1548" t="s">
        <v>89</v>
      </c>
      <c r="B1548">
        <v>16</v>
      </c>
      <c r="C1548" s="55" t="s">
        <v>1908</v>
      </c>
      <c r="D1548" t="s">
        <v>1909</v>
      </c>
      <c r="E1548" t="s">
        <v>59</v>
      </c>
      <c r="F1548"/>
      <c r="G1548" s="130" t="str">
        <f t="shared" si="24"/>
        <v>資訊三忠</v>
      </c>
    </row>
    <row r="1549" spans="1:7">
      <c r="A1549" t="s">
        <v>89</v>
      </c>
      <c r="B1549">
        <v>17</v>
      </c>
      <c r="C1549" s="55" t="s">
        <v>1942</v>
      </c>
      <c r="D1549" t="s">
        <v>1943</v>
      </c>
      <c r="E1549" t="s">
        <v>59</v>
      </c>
      <c r="F1549"/>
      <c r="G1549" s="130" t="str">
        <f t="shared" si="24"/>
        <v>資訊三忠</v>
      </c>
    </row>
    <row r="1550" spans="1:7">
      <c r="A1550" t="s">
        <v>89</v>
      </c>
      <c r="B1550">
        <v>18</v>
      </c>
      <c r="C1550" s="55" t="s">
        <v>1976</v>
      </c>
      <c r="D1550" t="s">
        <v>1977</v>
      </c>
      <c r="E1550" t="s">
        <v>59</v>
      </c>
      <c r="F1550"/>
      <c r="G1550" s="130" t="str">
        <f t="shared" si="24"/>
        <v>資訊三忠</v>
      </c>
    </row>
    <row r="1551" spans="1:7">
      <c r="A1551" t="s">
        <v>89</v>
      </c>
      <c r="B1551">
        <v>19</v>
      </c>
      <c r="C1551" s="55" t="s">
        <v>2010</v>
      </c>
      <c r="D1551" t="s">
        <v>2011</v>
      </c>
      <c r="E1551" t="s">
        <v>60</v>
      </c>
      <c r="F1551"/>
      <c r="G1551" s="130" t="str">
        <f t="shared" si="24"/>
        <v>資訊三忠</v>
      </c>
    </row>
    <row r="1552" spans="1:7">
      <c r="A1552" t="s">
        <v>89</v>
      </c>
      <c r="B1552">
        <v>20</v>
      </c>
      <c r="C1552" s="55" t="s">
        <v>2042</v>
      </c>
      <c r="D1552" t="s">
        <v>2043</v>
      </c>
      <c r="E1552" t="s">
        <v>59</v>
      </c>
      <c r="F1552"/>
      <c r="G1552" s="130" t="str">
        <f t="shared" si="24"/>
        <v>資訊三忠</v>
      </c>
    </row>
    <row r="1553" spans="1:7">
      <c r="A1553" t="s">
        <v>89</v>
      </c>
      <c r="B1553">
        <v>21</v>
      </c>
      <c r="C1553" s="55" t="s">
        <v>2075</v>
      </c>
      <c r="D1553" t="s">
        <v>2076</v>
      </c>
      <c r="E1553" t="s">
        <v>59</v>
      </c>
      <c r="F1553"/>
      <c r="G1553" s="130" t="str">
        <f t="shared" si="24"/>
        <v>資訊三忠</v>
      </c>
    </row>
    <row r="1554" spans="1:7">
      <c r="A1554" t="s">
        <v>89</v>
      </c>
      <c r="B1554">
        <v>22</v>
      </c>
      <c r="C1554" s="55" t="s">
        <v>2108</v>
      </c>
      <c r="D1554" t="s">
        <v>2109</v>
      </c>
      <c r="E1554" t="s">
        <v>59</v>
      </c>
      <c r="F1554"/>
      <c r="G1554" s="130" t="str">
        <f t="shared" si="24"/>
        <v>資訊三忠</v>
      </c>
    </row>
    <row r="1555" spans="1:7">
      <c r="A1555" t="s">
        <v>89</v>
      </c>
      <c r="B1555">
        <v>23</v>
      </c>
      <c r="C1555" s="55" t="s">
        <v>2141</v>
      </c>
      <c r="D1555" t="s">
        <v>2142</v>
      </c>
      <c r="E1555" t="s">
        <v>59</v>
      </c>
      <c r="F1555"/>
      <c r="G1555" s="130" t="str">
        <f t="shared" si="24"/>
        <v>資訊三忠</v>
      </c>
    </row>
    <row r="1556" spans="1:7">
      <c r="A1556" t="s">
        <v>89</v>
      </c>
      <c r="B1556">
        <v>24</v>
      </c>
      <c r="C1556" s="55" t="s">
        <v>2175</v>
      </c>
      <c r="D1556" t="s">
        <v>2176</v>
      </c>
      <c r="E1556" t="s">
        <v>59</v>
      </c>
      <c r="F1556"/>
      <c r="G1556" s="130" t="str">
        <f t="shared" si="24"/>
        <v>資訊三忠</v>
      </c>
    </row>
    <row r="1557" spans="1:7">
      <c r="A1557" t="s">
        <v>89</v>
      </c>
      <c r="B1557">
        <v>25</v>
      </c>
      <c r="C1557" s="55" t="s">
        <v>2209</v>
      </c>
      <c r="D1557" t="s">
        <v>2210</v>
      </c>
      <c r="E1557" t="s">
        <v>59</v>
      </c>
      <c r="F1557"/>
      <c r="G1557" s="130" t="str">
        <f t="shared" si="24"/>
        <v>資訊三忠</v>
      </c>
    </row>
    <row r="1558" spans="1:7">
      <c r="A1558" t="s">
        <v>89</v>
      </c>
      <c r="B1558">
        <v>26</v>
      </c>
      <c r="C1558" s="55" t="s">
        <v>2242</v>
      </c>
      <c r="D1558" t="s">
        <v>2243</v>
      </c>
      <c r="E1558" t="s">
        <v>59</v>
      </c>
      <c r="F1558"/>
      <c r="G1558" s="130" t="str">
        <f t="shared" si="24"/>
        <v>資訊三忠</v>
      </c>
    </row>
    <row r="1559" spans="1:7">
      <c r="A1559" t="s">
        <v>89</v>
      </c>
      <c r="B1559">
        <v>27</v>
      </c>
      <c r="C1559" s="55" t="s">
        <v>2276</v>
      </c>
      <c r="D1559" t="s">
        <v>2277</v>
      </c>
      <c r="E1559" t="s">
        <v>59</v>
      </c>
      <c r="F1559"/>
      <c r="G1559" s="130" t="str">
        <f t="shared" si="24"/>
        <v>資訊三忠</v>
      </c>
    </row>
    <row r="1560" spans="1:7">
      <c r="A1560" t="s">
        <v>89</v>
      </c>
      <c r="B1560">
        <v>28</v>
      </c>
      <c r="C1560" s="55" t="s">
        <v>2309</v>
      </c>
      <c r="D1560" t="s">
        <v>2310</v>
      </c>
      <c r="E1560" t="s">
        <v>59</v>
      </c>
      <c r="F1560"/>
      <c r="G1560" s="130" t="str">
        <f t="shared" si="24"/>
        <v>資訊三忠</v>
      </c>
    </row>
    <row r="1561" spans="1:7">
      <c r="A1561" t="s">
        <v>89</v>
      </c>
      <c r="B1561">
        <v>29</v>
      </c>
      <c r="C1561" s="55" t="s">
        <v>2342</v>
      </c>
      <c r="D1561" t="s">
        <v>2343</v>
      </c>
      <c r="E1561" t="s">
        <v>59</v>
      </c>
      <c r="F1561"/>
      <c r="G1561" s="130" t="str">
        <f t="shared" si="24"/>
        <v>資訊三忠</v>
      </c>
    </row>
    <row r="1562" spans="1:7">
      <c r="A1562" t="s">
        <v>89</v>
      </c>
      <c r="B1562">
        <v>30</v>
      </c>
      <c r="C1562" s="55" t="s">
        <v>2376</v>
      </c>
      <c r="D1562" t="s">
        <v>2377</v>
      </c>
      <c r="E1562" t="s">
        <v>59</v>
      </c>
      <c r="F1562"/>
      <c r="G1562" s="130" t="str">
        <f t="shared" si="24"/>
        <v>資訊三忠</v>
      </c>
    </row>
    <row r="1563" spans="1:7">
      <c r="A1563" t="s">
        <v>89</v>
      </c>
      <c r="B1563">
        <v>31</v>
      </c>
      <c r="C1563" s="55" t="s">
        <v>2409</v>
      </c>
      <c r="D1563" t="s">
        <v>2410</v>
      </c>
      <c r="E1563" t="s">
        <v>59</v>
      </c>
      <c r="F1563"/>
      <c r="G1563" s="130" t="str">
        <f t="shared" si="24"/>
        <v>資訊三忠</v>
      </c>
    </row>
    <row r="1564" spans="1:7">
      <c r="A1564" t="s">
        <v>89</v>
      </c>
      <c r="B1564">
        <v>32</v>
      </c>
      <c r="C1564" s="55" t="s">
        <v>2442</v>
      </c>
      <c r="D1564" t="s">
        <v>2443</v>
      </c>
      <c r="E1564" t="s">
        <v>59</v>
      </c>
      <c r="F1564"/>
      <c r="G1564" s="130" t="str">
        <f t="shared" si="24"/>
        <v>資訊三忠</v>
      </c>
    </row>
    <row r="1565" spans="1:7">
      <c r="A1565" t="s">
        <v>89</v>
      </c>
      <c r="B1565">
        <v>33</v>
      </c>
      <c r="C1565" s="55" t="s">
        <v>2471</v>
      </c>
      <c r="D1565" t="s">
        <v>2472</v>
      </c>
      <c r="E1565" t="s">
        <v>59</v>
      </c>
      <c r="F1565"/>
      <c r="G1565" s="130" t="str">
        <f t="shared" si="24"/>
        <v>資訊三忠</v>
      </c>
    </row>
    <row r="1566" spans="1:7">
      <c r="A1566" t="s">
        <v>89</v>
      </c>
      <c r="B1566">
        <v>34</v>
      </c>
      <c r="C1566" s="55" t="s">
        <v>2489</v>
      </c>
      <c r="D1566" t="s">
        <v>2490</v>
      </c>
      <c r="E1566" t="s">
        <v>59</v>
      </c>
      <c r="F1566"/>
      <c r="G1566" s="130" t="str">
        <f t="shared" si="24"/>
        <v>資訊三忠</v>
      </c>
    </row>
    <row r="1567" spans="1:7">
      <c r="A1567" t="s">
        <v>89</v>
      </c>
      <c r="B1567">
        <v>35</v>
      </c>
      <c r="C1567" s="55" t="s">
        <v>2507</v>
      </c>
      <c r="D1567" t="s">
        <v>2508</v>
      </c>
      <c r="E1567" t="s">
        <v>59</v>
      </c>
      <c r="F1567"/>
      <c r="G1567" s="130" t="str">
        <f t="shared" si="24"/>
        <v>資訊三忠</v>
      </c>
    </row>
    <row r="1568" spans="1:7">
      <c r="A1568" t="s">
        <v>89</v>
      </c>
      <c r="B1568">
        <v>36</v>
      </c>
      <c r="C1568" s="55" t="s">
        <v>2517</v>
      </c>
      <c r="D1568" t="s">
        <v>2518</v>
      </c>
      <c r="E1568" t="s">
        <v>59</v>
      </c>
      <c r="F1568"/>
      <c r="G1568" s="130" t="str">
        <f t="shared" si="24"/>
        <v>資訊三忠</v>
      </c>
    </row>
    <row r="1569" spans="1:7">
      <c r="A1569" t="s">
        <v>89</v>
      </c>
      <c r="B1569">
        <v>37</v>
      </c>
      <c r="C1569" s="55" t="s">
        <v>1050</v>
      </c>
      <c r="D1569" t="s">
        <v>1051</v>
      </c>
      <c r="E1569" t="s">
        <v>59</v>
      </c>
      <c r="F1569"/>
      <c r="G1569" s="130" t="str">
        <f t="shared" si="24"/>
        <v>資訊三忠</v>
      </c>
    </row>
    <row r="1570" spans="1:7">
      <c r="A1570" t="s">
        <v>90</v>
      </c>
      <c r="B1570">
        <v>1</v>
      </c>
      <c r="C1570" s="55" t="s">
        <v>1323</v>
      </c>
      <c r="D1570" t="s">
        <v>1324</v>
      </c>
      <c r="E1570" t="s">
        <v>59</v>
      </c>
      <c r="F1570"/>
      <c r="G1570" s="130" t="str">
        <f t="shared" si="24"/>
        <v>資訊三孝</v>
      </c>
    </row>
    <row r="1571" spans="1:7">
      <c r="A1571" t="s">
        <v>90</v>
      </c>
      <c r="B1571">
        <v>2</v>
      </c>
      <c r="C1571" s="55" t="s">
        <v>1360</v>
      </c>
      <c r="D1571" t="s">
        <v>1326</v>
      </c>
      <c r="E1571" t="s">
        <v>59</v>
      </c>
      <c r="F1571"/>
      <c r="G1571" s="130" t="str">
        <f t="shared" si="24"/>
        <v>資訊三孝</v>
      </c>
    </row>
    <row r="1572" spans="1:7">
      <c r="A1572" t="s">
        <v>90</v>
      </c>
      <c r="B1572">
        <v>3</v>
      </c>
      <c r="C1572" s="55" t="s">
        <v>1397</v>
      </c>
      <c r="D1572" t="s">
        <v>1398</v>
      </c>
      <c r="E1572" t="s">
        <v>59</v>
      </c>
      <c r="F1572"/>
      <c r="G1572" s="130" t="str">
        <f t="shared" si="24"/>
        <v>資訊三孝</v>
      </c>
    </row>
    <row r="1573" spans="1:7">
      <c r="A1573" t="s">
        <v>90</v>
      </c>
      <c r="B1573">
        <v>4</v>
      </c>
      <c r="C1573" s="55" t="s">
        <v>1434</v>
      </c>
      <c r="D1573" t="s">
        <v>1435</v>
      </c>
      <c r="E1573" t="s">
        <v>59</v>
      </c>
      <c r="F1573"/>
      <c r="G1573" s="130" t="str">
        <f t="shared" si="24"/>
        <v>資訊三孝</v>
      </c>
    </row>
    <row r="1574" spans="1:7">
      <c r="A1574" t="s">
        <v>90</v>
      </c>
      <c r="B1574">
        <v>5</v>
      </c>
      <c r="C1574" s="55" t="s">
        <v>1471</v>
      </c>
      <c r="D1574" t="s">
        <v>1472</v>
      </c>
      <c r="E1574" t="s">
        <v>59</v>
      </c>
      <c r="F1574"/>
      <c r="G1574" s="130" t="str">
        <f t="shared" si="24"/>
        <v>資訊三孝</v>
      </c>
    </row>
    <row r="1575" spans="1:7">
      <c r="A1575" t="s">
        <v>90</v>
      </c>
      <c r="B1575">
        <v>6</v>
      </c>
      <c r="C1575" s="55" t="s">
        <v>1507</v>
      </c>
      <c r="D1575" t="s">
        <v>1508</v>
      </c>
      <c r="E1575" t="s">
        <v>59</v>
      </c>
      <c r="F1575"/>
      <c r="G1575" s="130" t="str">
        <f t="shared" si="24"/>
        <v>資訊三孝</v>
      </c>
    </row>
    <row r="1576" spans="1:7">
      <c r="A1576" t="s">
        <v>90</v>
      </c>
      <c r="B1576">
        <v>7</v>
      </c>
      <c r="C1576" s="55" t="s">
        <v>1544</v>
      </c>
      <c r="D1576" t="s">
        <v>1545</v>
      </c>
      <c r="E1576" t="s">
        <v>59</v>
      </c>
      <c r="F1576"/>
      <c r="G1576" s="130" t="str">
        <f t="shared" si="24"/>
        <v>資訊三孝</v>
      </c>
    </row>
    <row r="1577" spans="1:7">
      <c r="A1577" t="s">
        <v>90</v>
      </c>
      <c r="B1577">
        <v>8</v>
      </c>
      <c r="C1577" s="55" t="s">
        <v>1581</v>
      </c>
      <c r="D1577" t="s">
        <v>1582</v>
      </c>
      <c r="E1577" t="s">
        <v>59</v>
      </c>
      <c r="F1577"/>
      <c r="G1577" s="130" t="str">
        <f t="shared" si="24"/>
        <v>資訊三孝</v>
      </c>
    </row>
    <row r="1578" spans="1:7">
      <c r="A1578" t="s">
        <v>90</v>
      </c>
      <c r="B1578">
        <v>9</v>
      </c>
      <c r="C1578" s="55" t="s">
        <v>1619</v>
      </c>
      <c r="D1578" t="s">
        <v>1620</v>
      </c>
      <c r="E1578" t="s">
        <v>59</v>
      </c>
      <c r="F1578"/>
      <c r="G1578" s="130" t="str">
        <f t="shared" si="24"/>
        <v>資訊三孝</v>
      </c>
    </row>
    <row r="1579" spans="1:7">
      <c r="A1579" t="s">
        <v>90</v>
      </c>
      <c r="B1579">
        <v>10</v>
      </c>
      <c r="C1579" s="55" t="s">
        <v>1657</v>
      </c>
      <c r="D1579" t="s">
        <v>1658</v>
      </c>
      <c r="E1579" t="s">
        <v>60</v>
      </c>
      <c r="F1579"/>
      <c r="G1579" s="130" t="str">
        <f t="shared" si="24"/>
        <v>資訊三孝</v>
      </c>
    </row>
    <row r="1580" spans="1:7">
      <c r="A1580" t="s">
        <v>90</v>
      </c>
      <c r="B1580">
        <v>11</v>
      </c>
      <c r="C1580" s="55" t="s">
        <v>1732</v>
      </c>
      <c r="D1580" t="s">
        <v>1733</v>
      </c>
      <c r="E1580" t="s">
        <v>59</v>
      </c>
      <c r="F1580"/>
      <c r="G1580" s="130" t="str">
        <f t="shared" si="24"/>
        <v>資訊三孝</v>
      </c>
    </row>
    <row r="1581" spans="1:7">
      <c r="A1581" t="s">
        <v>90</v>
      </c>
      <c r="B1581">
        <v>12</v>
      </c>
      <c r="C1581" s="55" t="s">
        <v>1769</v>
      </c>
      <c r="D1581" t="s">
        <v>1770</v>
      </c>
      <c r="E1581" t="s">
        <v>59</v>
      </c>
      <c r="F1581"/>
      <c r="G1581" s="130" t="str">
        <f t="shared" si="24"/>
        <v>資訊三孝</v>
      </c>
    </row>
    <row r="1582" spans="1:7">
      <c r="A1582" t="s">
        <v>90</v>
      </c>
      <c r="B1582">
        <v>13</v>
      </c>
      <c r="C1582" s="55" t="s">
        <v>1805</v>
      </c>
      <c r="D1582" t="s">
        <v>1806</v>
      </c>
      <c r="E1582" t="s">
        <v>59</v>
      </c>
      <c r="F1582"/>
      <c r="G1582" s="130" t="str">
        <f t="shared" si="24"/>
        <v>資訊三孝</v>
      </c>
    </row>
    <row r="1583" spans="1:7">
      <c r="A1583" t="s">
        <v>90</v>
      </c>
      <c r="B1583">
        <v>14</v>
      </c>
      <c r="C1583" s="55" t="s">
        <v>1840</v>
      </c>
      <c r="D1583" t="s">
        <v>1841</v>
      </c>
      <c r="E1583" t="s">
        <v>60</v>
      </c>
      <c r="F1583"/>
      <c r="G1583" s="130" t="str">
        <f t="shared" si="24"/>
        <v>資訊三孝</v>
      </c>
    </row>
    <row r="1584" spans="1:7">
      <c r="A1584" t="s">
        <v>90</v>
      </c>
      <c r="B1584">
        <v>15</v>
      </c>
      <c r="C1584" s="55" t="s">
        <v>1875</v>
      </c>
      <c r="D1584" t="s">
        <v>985</v>
      </c>
      <c r="E1584" t="s">
        <v>59</v>
      </c>
      <c r="F1584"/>
      <c r="G1584" s="130" t="str">
        <f t="shared" si="24"/>
        <v>資訊三孝</v>
      </c>
    </row>
    <row r="1585" spans="1:7">
      <c r="A1585" t="s">
        <v>90</v>
      </c>
      <c r="B1585">
        <v>16</v>
      </c>
      <c r="C1585" s="55" t="s">
        <v>1910</v>
      </c>
      <c r="D1585" t="s">
        <v>1911</v>
      </c>
      <c r="E1585" t="s">
        <v>59</v>
      </c>
      <c r="F1585"/>
      <c r="G1585" s="130" t="str">
        <f t="shared" si="24"/>
        <v>資訊三孝</v>
      </c>
    </row>
    <row r="1586" spans="1:7">
      <c r="A1586" t="s">
        <v>90</v>
      </c>
      <c r="B1586">
        <v>17</v>
      </c>
      <c r="C1586" s="55" t="s">
        <v>1944</v>
      </c>
      <c r="D1586" t="s">
        <v>1945</v>
      </c>
      <c r="E1586" t="s">
        <v>59</v>
      </c>
      <c r="F1586"/>
      <c r="G1586" s="130" t="str">
        <f t="shared" si="24"/>
        <v>資訊三孝</v>
      </c>
    </row>
    <row r="1587" spans="1:7">
      <c r="A1587" t="s">
        <v>90</v>
      </c>
      <c r="B1587">
        <v>18</v>
      </c>
      <c r="C1587" s="55" t="s">
        <v>1978</v>
      </c>
      <c r="D1587" t="s">
        <v>1979</v>
      </c>
      <c r="E1587" t="s">
        <v>59</v>
      </c>
      <c r="F1587"/>
      <c r="G1587" s="130" t="str">
        <f t="shared" si="24"/>
        <v>資訊三孝</v>
      </c>
    </row>
    <row r="1588" spans="1:7">
      <c r="A1588" t="s">
        <v>90</v>
      </c>
      <c r="B1588">
        <v>19</v>
      </c>
      <c r="C1588" s="55" t="s">
        <v>2012</v>
      </c>
      <c r="D1588" t="s">
        <v>607</v>
      </c>
      <c r="E1588" t="s">
        <v>59</v>
      </c>
      <c r="F1588"/>
      <c r="G1588" s="130" t="str">
        <f t="shared" si="24"/>
        <v>資訊三孝</v>
      </c>
    </row>
    <row r="1589" spans="1:7">
      <c r="A1589" t="s">
        <v>90</v>
      </c>
      <c r="B1589">
        <v>20</v>
      </c>
      <c r="C1589" s="55" t="s">
        <v>2044</v>
      </c>
      <c r="D1589" t="s">
        <v>2045</v>
      </c>
      <c r="E1589" t="s">
        <v>59</v>
      </c>
      <c r="F1589"/>
      <c r="G1589" s="130" t="str">
        <f t="shared" si="24"/>
        <v>資訊三孝</v>
      </c>
    </row>
    <row r="1590" spans="1:7">
      <c r="A1590" t="s">
        <v>90</v>
      </c>
      <c r="B1590">
        <v>21</v>
      </c>
      <c r="C1590" s="55" t="s">
        <v>2077</v>
      </c>
      <c r="D1590" t="s">
        <v>2078</v>
      </c>
      <c r="E1590" t="s">
        <v>59</v>
      </c>
      <c r="F1590"/>
      <c r="G1590" s="130" t="str">
        <f t="shared" si="24"/>
        <v>資訊三孝</v>
      </c>
    </row>
    <row r="1591" spans="1:7">
      <c r="A1591" t="s">
        <v>90</v>
      </c>
      <c r="B1591">
        <v>22</v>
      </c>
      <c r="C1591" s="55" t="s">
        <v>2110</v>
      </c>
      <c r="D1591" t="s">
        <v>2144</v>
      </c>
      <c r="E1591" t="s">
        <v>59</v>
      </c>
      <c r="F1591"/>
      <c r="G1591" s="130" t="str">
        <f t="shared" si="24"/>
        <v>資訊三孝</v>
      </c>
    </row>
    <row r="1592" spans="1:7">
      <c r="A1592" t="s">
        <v>90</v>
      </c>
      <c r="B1592">
        <v>23</v>
      </c>
      <c r="C1592" s="55" t="s">
        <v>2143</v>
      </c>
      <c r="D1592" t="s">
        <v>2178</v>
      </c>
      <c r="E1592" t="s">
        <v>59</v>
      </c>
      <c r="F1592"/>
      <c r="G1592" s="130" t="str">
        <f t="shared" si="24"/>
        <v>資訊三孝</v>
      </c>
    </row>
    <row r="1593" spans="1:7">
      <c r="A1593" t="s">
        <v>90</v>
      </c>
      <c r="B1593">
        <v>24</v>
      </c>
      <c r="C1593" s="55" t="s">
        <v>2177</v>
      </c>
      <c r="D1593" t="s">
        <v>2212</v>
      </c>
      <c r="E1593" t="s">
        <v>59</v>
      </c>
      <c r="F1593"/>
      <c r="G1593" s="130" t="str">
        <f t="shared" si="24"/>
        <v>資訊三孝</v>
      </c>
    </row>
    <row r="1594" spans="1:7">
      <c r="A1594" t="s">
        <v>90</v>
      </c>
      <c r="B1594">
        <v>25</v>
      </c>
      <c r="C1594" s="55" t="s">
        <v>2211</v>
      </c>
      <c r="D1594" t="s">
        <v>2245</v>
      </c>
      <c r="E1594" t="s">
        <v>59</v>
      </c>
      <c r="F1594"/>
      <c r="G1594" s="130" t="str">
        <f t="shared" si="24"/>
        <v>資訊三孝</v>
      </c>
    </row>
    <row r="1595" spans="1:7">
      <c r="A1595" t="s">
        <v>90</v>
      </c>
      <c r="B1595">
        <v>26</v>
      </c>
      <c r="C1595" s="55" t="s">
        <v>2244</v>
      </c>
      <c r="D1595" t="s">
        <v>2279</v>
      </c>
      <c r="E1595" t="s">
        <v>59</v>
      </c>
      <c r="F1595"/>
      <c r="G1595" s="130" t="str">
        <f t="shared" si="24"/>
        <v>資訊三孝</v>
      </c>
    </row>
    <row r="1596" spans="1:7">
      <c r="A1596" t="s">
        <v>90</v>
      </c>
      <c r="B1596">
        <v>27</v>
      </c>
      <c r="C1596" s="55" t="s">
        <v>2278</v>
      </c>
      <c r="D1596" t="s">
        <v>2281</v>
      </c>
      <c r="E1596" t="s">
        <v>59</v>
      </c>
      <c r="F1596"/>
      <c r="G1596" s="130" t="str">
        <f t="shared" si="24"/>
        <v>資訊三孝</v>
      </c>
    </row>
    <row r="1597" spans="1:7">
      <c r="A1597" t="s">
        <v>90</v>
      </c>
      <c r="B1597">
        <v>28</v>
      </c>
      <c r="C1597" s="55" t="s">
        <v>2311</v>
      </c>
      <c r="D1597" t="s">
        <v>2312</v>
      </c>
      <c r="E1597" t="s">
        <v>59</v>
      </c>
      <c r="F1597"/>
      <c r="G1597" s="130" t="str">
        <f t="shared" si="24"/>
        <v>資訊三孝</v>
      </c>
    </row>
    <row r="1598" spans="1:7">
      <c r="A1598" t="s">
        <v>90</v>
      </c>
      <c r="B1598">
        <v>29</v>
      </c>
      <c r="C1598" s="55" t="s">
        <v>2344</v>
      </c>
      <c r="D1598" t="s">
        <v>2345</v>
      </c>
      <c r="E1598" t="s">
        <v>59</v>
      </c>
      <c r="F1598"/>
      <c r="G1598" s="130" t="str">
        <f t="shared" si="24"/>
        <v>資訊三孝</v>
      </c>
    </row>
    <row r="1599" spans="1:7">
      <c r="A1599" t="s">
        <v>90</v>
      </c>
      <c r="B1599">
        <v>30</v>
      </c>
      <c r="C1599" s="55" t="s">
        <v>2378</v>
      </c>
      <c r="D1599" t="s">
        <v>2379</v>
      </c>
      <c r="E1599" t="s">
        <v>59</v>
      </c>
      <c r="F1599"/>
      <c r="G1599" s="130" t="str">
        <f t="shared" si="24"/>
        <v>資訊三孝</v>
      </c>
    </row>
    <row r="1600" spans="1:7">
      <c r="A1600" t="s">
        <v>90</v>
      </c>
      <c r="B1600">
        <v>31</v>
      </c>
      <c r="C1600" s="55" t="s">
        <v>2411</v>
      </c>
      <c r="D1600" t="s">
        <v>2412</v>
      </c>
      <c r="E1600" t="s">
        <v>59</v>
      </c>
      <c r="F1600"/>
      <c r="G1600" s="130" t="str">
        <f t="shared" si="24"/>
        <v>資訊三孝</v>
      </c>
    </row>
    <row r="1601" spans="1:7">
      <c r="A1601" t="s">
        <v>90</v>
      </c>
      <c r="B1601">
        <v>32</v>
      </c>
      <c r="C1601" s="55" t="s">
        <v>2444</v>
      </c>
      <c r="D1601" t="s">
        <v>2445</v>
      </c>
      <c r="E1601" t="s">
        <v>59</v>
      </c>
      <c r="F1601"/>
      <c r="G1601" s="130" t="str">
        <f t="shared" si="24"/>
        <v>資訊三孝</v>
      </c>
    </row>
    <row r="1602" spans="1:7">
      <c r="A1602" t="s">
        <v>90</v>
      </c>
      <c r="B1602">
        <v>33</v>
      </c>
      <c r="C1602" s="55" t="s">
        <v>2473</v>
      </c>
      <c r="D1602" t="s">
        <v>2474</v>
      </c>
      <c r="E1602" t="s">
        <v>59</v>
      </c>
      <c r="F1602"/>
      <c r="G1602" s="130" t="str">
        <f t="shared" si="24"/>
        <v>資訊三孝</v>
      </c>
    </row>
    <row r="1603" spans="1:7">
      <c r="A1603" t="s">
        <v>90</v>
      </c>
      <c r="B1603">
        <v>34</v>
      </c>
      <c r="C1603" s="55" t="s">
        <v>2491</v>
      </c>
      <c r="D1603" t="s">
        <v>2492</v>
      </c>
      <c r="E1603" t="s">
        <v>59</v>
      </c>
      <c r="F1603"/>
      <c r="G1603" s="130" t="str">
        <f t="shared" ref="G1603:G1666" si="25">A1603&amp;F1603</f>
        <v>資訊三孝</v>
      </c>
    </row>
    <row r="1604" spans="1:7">
      <c r="A1604" t="s">
        <v>90</v>
      </c>
      <c r="B1604">
        <v>35</v>
      </c>
      <c r="C1604" s="55" t="s">
        <v>2509</v>
      </c>
      <c r="D1604" t="s">
        <v>2510</v>
      </c>
      <c r="E1604" t="s">
        <v>60</v>
      </c>
      <c r="F1604"/>
      <c r="G1604" s="130" t="str">
        <f t="shared" si="25"/>
        <v>資訊三孝</v>
      </c>
    </row>
    <row r="1605" spans="1:7">
      <c r="A1605" t="s">
        <v>90</v>
      </c>
      <c r="B1605">
        <v>36</v>
      </c>
      <c r="C1605" s="55" t="s">
        <v>2519</v>
      </c>
      <c r="D1605" t="s">
        <v>2520</v>
      </c>
      <c r="E1605" t="s">
        <v>59</v>
      </c>
      <c r="F1605"/>
      <c r="G1605" s="130" t="str">
        <f t="shared" si="25"/>
        <v>資訊三孝</v>
      </c>
    </row>
    <row r="1606" spans="1:7">
      <c r="A1606" t="s">
        <v>90</v>
      </c>
      <c r="B1606">
        <v>37</v>
      </c>
      <c r="C1606" s="55" t="s">
        <v>585</v>
      </c>
      <c r="D1606" t="s">
        <v>592</v>
      </c>
      <c r="E1606" t="s">
        <v>59</v>
      </c>
      <c r="F1606"/>
      <c r="G1606" s="130" t="str">
        <f t="shared" si="25"/>
        <v>資訊三孝</v>
      </c>
    </row>
    <row r="1607" spans="1:7">
      <c r="A1607" t="s">
        <v>91</v>
      </c>
      <c r="B1607">
        <v>1</v>
      </c>
      <c r="C1607" s="55" t="s">
        <v>1325</v>
      </c>
      <c r="D1607" t="s">
        <v>1326</v>
      </c>
      <c r="E1607" t="s">
        <v>59</v>
      </c>
      <c r="F1607"/>
      <c r="G1607" s="130" t="str">
        <f t="shared" si="25"/>
        <v>資訊三仁</v>
      </c>
    </row>
    <row r="1608" spans="1:7">
      <c r="A1608" t="s">
        <v>91</v>
      </c>
      <c r="B1608">
        <v>2</v>
      </c>
      <c r="C1608" s="55" t="s">
        <v>1361</v>
      </c>
      <c r="D1608" t="s">
        <v>1362</v>
      </c>
      <c r="E1608" t="s">
        <v>59</v>
      </c>
      <c r="F1608"/>
      <c r="G1608" s="130" t="str">
        <f t="shared" si="25"/>
        <v>資訊三仁</v>
      </c>
    </row>
    <row r="1609" spans="1:7">
      <c r="A1609" t="s">
        <v>91</v>
      </c>
      <c r="B1609">
        <v>3</v>
      </c>
      <c r="C1609" s="55" t="s">
        <v>1399</v>
      </c>
      <c r="D1609" t="s">
        <v>922</v>
      </c>
      <c r="E1609" t="s">
        <v>59</v>
      </c>
      <c r="F1609"/>
      <c r="G1609" s="130" t="str">
        <f t="shared" si="25"/>
        <v>資訊三仁</v>
      </c>
    </row>
    <row r="1610" spans="1:7">
      <c r="A1610" t="s">
        <v>91</v>
      </c>
      <c r="B1610">
        <v>4</v>
      </c>
      <c r="C1610" s="55" t="s">
        <v>1473</v>
      </c>
      <c r="D1610" t="s">
        <v>1474</v>
      </c>
      <c r="E1610" t="s">
        <v>59</v>
      </c>
      <c r="F1610"/>
      <c r="G1610" s="130" t="str">
        <f t="shared" si="25"/>
        <v>資訊三仁</v>
      </c>
    </row>
    <row r="1611" spans="1:7">
      <c r="A1611" t="s">
        <v>91</v>
      </c>
      <c r="B1611">
        <v>5</v>
      </c>
      <c r="C1611" s="55" t="s">
        <v>1509</v>
      </c>
      <c r="D1611" t="s">
        <v>1510</v>
      </c>
      <c r="E1611" t="s">
        <v>59</v>
      </c>
      <c r="F1611"/>
      <c r="G1611" s="130" t="str">
        <f t="shared" si="25"/>
        <v>資訊三仁</v>
      </c>
    </row>
    <row r="1612" spans="1:7">
      <c r="A1612" t="s">
        <v>91</v>
      </c>
      <c r="B1612">
        <v>6</v>
      </c>
      <c r="C1612" s="55" t="s">
        <v>1546</v>
      </c>
      <c r="D1612" t="s">
        <v>1547</v>
      </c>
      <c r="E1612" t="s">
        <v>59</v>
      </c>
      <c r="F1612"/>
      <c r="G1612" s="130" t="str">
        <f t="shared" si="25"/>
        <v>資訊三仁</v>
      </c>
    </row>
    <row r="1613" spans="1:7">
      <c r="A1613" t="s">
        <v>91</v>
      </c>
      <c r="B1613">
        <v>7</v>
      </c>
      <c r="C1613" s="55" t="s">
        <v>1583</v>
      </c>
      <c r="D1613" t="s">
        <v>1584</v>
      </c>
      <c r="E1613" t="s">
        <v>59</v>
      </c>
      <c r="F1613"/>
      <c r="G1613" s="130" t="str">
        <f t="shared" si="25"/>
        <v>資訊三仁</v>
      </c>
    </row>
    <row r="1614" spans="1:7">
      <c r="A1614" t="s">
        <v>91</v>
      </c>
      <c r="B1614">
        <v>8</v>
      </c>
      <c r="C1614" s="55" t="s">
        <v>1621</v>
      </c>
      <c r="D1614" t="s">
        <v>1622</v>
      </c>
      <c r="E1614" t="s">
        <v>59</v>
      </c>
      <c r="F1614"/>
      <c r="G1614" s="130" t="str">
        <f t="shared" si="25"/>
        <v>資訊三仁</v>
      </c>
    </row>
    <row r="1615" spans="1:7">
      <c r="A1615" t="s">
        <v>91</v>
      </c>
      <c r="B1615">
        <v>9</v>
      </c>
      <c r="C1615" s="55" t="s">
        <v>1659</v>
      </c>
      <c r="D1615" t="s">
        <v>1660</v>
      </c>
      <c r="E1615" t="s">
        <v>59</v>
      </c>
      <c r="F1615"/>
      <c r="G1615" s="130" t="str">
        <f t="shared" si="25"/>
        <v>資訊三仁</v>
      </c>
    </row>
    <row r="1616" spans="1:7">
      <c r="A1616" t="s">
        <v>91</v>
      </c>
      <c r="B1616">
        <v>10</v>
      </c>
      <c r="C1616" s="55" t="s">
        <v>1697</v>
      </c>
      <c r="D1616" t="s">
        <v>1698</v>
      </c>
      <c r="E1616" t="s">
        <v>59</v>
      </c>
      <c r="F1616"/>
      <c r="G1616" s="130" t="str">
        <f t="shared" si="25"/>
        <v>資訊三仁</v>
      </c>
    </row>
    <row r="1617" spans="1:7">
      <c r="A1617" t="s">
        <v>91</v>
      </c>
      <c r="B1617">
        <v>11</v>
      </c>
      <c r="C1617" s="55" t="s">
        <v>1734</v>
      </c>
      <c r="D1617" t="s">
        <v>1735</v>
      </c>
      <c r="E1617" t="s">
        <v>59</v>
      </c>
      <c r="F1617"/>
      <c r="G1617" s="130" t="str">
        <f t="shared" si="25"/>
        <v>資訊三仁</v>
      </c>
    </row>
    <row r="1618" spans="1:7">
      <c r="A1618" t="s">
        <v>91</v>
      </c>
      <c r="B1618">
        <v>12</v>
      </c>
      <c r="C1618" s="55" t="s">
        <v>1771</v>
      </c>
      <c r="D1618" t="s">
        <v>1772</v>
      </c>
      <c r="E1618" t="s">
        <v>59</v>
      </c>
      <c r="F1618"/>
      <c r="G1618" s="130" t="str">
        <f t="shared" si="25"/>
        <v>資訊三仁</v>
      </c>
    </row>
    <row r="1619" spans="1:7">
      <c r="A1619" t="s">
        <v>91</v>
      </c>
      <c r="B1619">
        <v>13</v>
      </c>
      <c r="C1619" s="55" t="s">
        <v>1807</v>
      </c>
      <c r="D1619" t="s">
        <v>1808</v>
      </c>
      <c r="E1619" t="s">
        <v>59</v>
      </c>
      <c r="F1619"/>
      <c r="G1619" s="130" t="str">
        <f t="shared" si="25"/>
        <v>資訊三仁</v>
      </c>
    </row>
    <row r="1620" spans="1:7">
      <c r="A1620" t="s">
        <v>91</v>
      </c>
      <c r="B1620">
        <v>14</v>
      </c>
      <c r="C1620" s="55" t="s">
        <v>1842</v>
      </c>
      <c r="D1620" t="s">
        <v>1843</v>
      </c>
      <c r="E1620" t="s">
        <v>60</v>
      </c>
      <c r="F1620"/>
      <c r="G1620" s="130" t="str">
        <f t="shared" si="25"/>
        <v>資訊三仁</v>
      </c>
    </row>
    <row r="1621" spans="1:7">
      <c r="A1621" t="s">
        <v>91</v>
      </c>
      <c r="B1621">
        <v>15</v>
      </c>
      <c r="C1621" s="55" t="s">
        <v>1876</v>
      </c>
      <c r="D1621" t="s">
        <v>1877</v>
      </c>
      <c r="E1621" t="s">
        <v>59</v>
      </c>
      <c r="F1621"/>
      <c r="G1621" s="130" t="str">
        <f t="shared" si="25"/>
        <v>資訊三仁</v>
      </c>
    </row>
    <row r="1622" spans="1:7">
      <c r="A1622" t="s">
        <v>91</v>
      </c>
      <c r="B1622">
        <v>16</v>
      </c>
      <c r="C1622" s="55" t="s">
        <v>1912</v>
      </c>
      <c r="D1622" t="s">
        <v>1913</v>
      </c>
      <c r="E1622" t="s">
        <v>59</v>
      </c>
      <c r="F1622"/>
      <c r="G1622" s="130" t="str">
        <f t="shared" si="25"/>
        <v>資訊三仁</v>
      </c>
    </row>
    <row r="1623" spans="1:7">
      <c r="A1623" t="s">
        <v>91</v>
      </c>
      <c r="B1623">
        <v>17</v>
      </c>
      <c r="C1623" s="55" t="s">
        <v>1946</v>
      </c>
      <c r="D1623" t="s">
        <v>1947</v>
      </c>
      <c r="E1623" t="s">
        <v>59</v>
      </c>
      <c r="F1623"/>
      <c r="G1623" s="130" t="str">
        <f t="shared" si="25"/>
        <v>資訊三仁</v>
      </c>
    </row>
    <row r="1624" spans="1:7">
      <c r="A1624" t="s">
        <v>91</v>
      </c>
      <c r="B1624">
        <v>18</v>
      </c>
      <c r="C1624" s="55" t="s">
        <v>1980</v>
      </c>
      <c r="D1624" t="s">
        <v>1981</v>
      </c>
      <c r="E1624" t="s">
        <v>59</v>
      </c>
      <c r="F1624"/>
      <c r="G1624" s="130" t="str">
        <f t="shared" si="25"/>
        <v>資訊三仁</v>
      </c>
    </row>
    <row r="1625" spans="1:7">
      <c r="A1625" t="s">
        <v>91</v>
      </c>
      <c r="B1625">
        <v>19</v>
      </c>
      <c r="C1625" s="55" t="s">
        <v>2046</v>
      </c>
      <c r="D1625" t="s">
        <v>141</v>
      </c>
      <c r="E1625" t="s">
        <v>59</v>
      </c>
      <c r="F1625"/>
      <c r="G1625" s="130" t="str">
        <f t="shared" si="25"/>
        <v>資訊三仁</v>
      </c>
    </row>
    <row r="1626" spans="1:7">
      <c r="A1626" t="s">
        <v>91</v>
      </c>
      <c r="B1626">
        <v>20</v>
      </c>
      <c r="C1626" s="55" t="s">
        <v>2079</v>
      </c>
      <c r="D1626" t="s">
        <v>2080</v>
      </c>
      <c r="E1626" t="s">
        <v>59</v>
      </c>
      <c r="F1626"/>
      <c r="G1626" s="130" t="str">
        <f t="shared" si="25"/>
        <v>資訊三仁</v>
      </c>
    </row>
    <row r="1627" spans="1:7">
      <c r="A1627" t="s">
        <v>91</v>
      </c>
      <c r="B1627">
        <v>21</v>
      </c>
      <c r="C1627" s="55" t="s">
        <v>2112</v>
      </c>
      <c r="D1627" t="s">
        <v>2111</v>
      </c>
      <c r="E1627" t="s">
        <v>59</v>
      </c>
      <c r="F1627"/>
      <c r="G1627" s="130" t="str">
        <f t="shared" si="25"/>
        <v>資訊三仁</v>
      </c>
    </row>
    <row r="1628" spans="1:7">
      <c r="A1628" t="s">
        <v>91</v>
      </c>
      <c r="B1628">
        <v>22</v>
      </c>
      <c r="C1628" s="55" t="s">
        <v>2145</v>
      </c>
      <c r="D1628" t="s">
        <v>2113</v>
      </c>
      <c r="E1628" t="s">
        <v>59</v>
      </c>
      <c r="F1628"/>
      <c r="G1628" s="130" t="str">
        <f t="shared" si="25"/>
        <v>資訊三仁</v>
      </c>
    </row>
    <row r="1629" spans="1:7">
      <c r="A1629" t="s">
        <v>91</v>
      </c>
      <c r="B1629">
        <v>23</v>
      </c>
      <c r="C1629" s="55" t="s">
        <v>2179</v>
      </c>
      <c r="D1629" t="s">
        <v>2146</v>
      </c>
      <c r="E1629" t="s">
        <v>59</v>
      </c>
      <c r="F1629"/>
      <c r="G1629" s="130" t="str">
        <f t="shared" si="25"/>
        <v>資訊三仁</v>
      </c>
    </row>
    <row r="1630" spans="1:7">
      <c r="A1630" t="s">
        <v>91</v>
      </c>
      <c r="B1630">
        <v>24</v>
      </c>
      <c r="C1630" s="55" t="s">
        <v>2213</v>
      </c>
      <c r="D1630" t="s">
        <v>2180</v>
      </c>
      <c r="E1630" t="s">
        <v>59</v>
      </c>
      <c r="F1630"/>
      <c r="G1630" s="130" t="str">
        <f t="shared" si="25"/>
        <v>資訊三仁</v>
      </c>
    </row>
    <row r="1631" spans="1:7">
      <c r="A1631" t="s">
        <v>91</v>
      </c>
      <c r="B1631">
        <v>25</v>
      </c>
      <c r="C1631" s="55" t="s">
        <v>2246</v>
      </c>
      <c r="D1631" t="s">
        <v>2214</v>
      </c>
      <c r="E1631" t="s">
        <v>59</v>
      </c>
      <c r="F1631"/>
      <c r="G1631" s="130" t="str">
        <f t="shared" si="25"/>
        <v>資訊三仁</v>
      </c>
    </row>
    <row r="1632" spans="1:7">
      <c r="A1632" t="s">
        <v>91</v>
      </c>
      <c r="B1632">
        <v>26</v>
      </c>
      <c r="C1632" s="55" t="s">
        <v>2280</v>
      </c>
      <c r="D1632" t="s">
        <v>2247</v>
      </c>
      <c r="E1632" t="s">
        <v>59</v>
      </c>
      <c r="F1632"/>
      <c r="G1632" s="130" t="str">
        <f t="shared" si="25"/>
        <v>資訊三仁</v>
      </c>
    </row>
    <row r="1633" spans="1:7">
      <c r="A1633" t="s">
        <v>91</v>
      </c>
      <c r="B1633">
        <v>27</v>
      </c>
      <c r="C1633" s="55" t="s">
        <v>2313</v>
      </c>
      <c r="D1633" t="s">
        <v>2314</v>
      </c>
      <c r="E1633" t="s">
        <v>59</v>
      </c>
      <c r="F1633"/>
      <c r="G1633" s="130" t="str">
        <f t="shared" si="25"/>
        <v>資訊三仁</v>
      </c>
    </row>
    <row r="1634" spans="1:7">
      <c r="A1634" t="s">
        <v>91</v>
      </c>
      <c r="B1634">
        <v>28</v>
      </c>
      <c r="C1634" s="55" t="s">
        <v>2346</v>
      </c>
      <c r="D1634" t="s">
        <v>2347</v>
      </c>
      <c r="E1634" t="s">
        <v>59</v>
      </c>
      <c r="F1634"/>
      <c r="G1634" s="130" t="str">
        <f t="shared" si="25"/>
        <v>資訊三仁</v>
      </c>
    </row>
    <row r="1635" spans="1:7">
      <c r="A1635" t="s">
        <v>91</v>
      </c>
      <c r="B1635">
        <v>29</v>
      </c>
      <c r="C1635" s="55" t="s">
        <v>2380</v>
      </c>
      <c r="D1635" t="s">
        <v>2381</v>
      </c>
      <c r="E1635" t="s">
        <v>59</v>
      </c>
      <c r="F1635"/>
      <c r="G1635" s="130" t="str">
        <f t="shared" si="25"/>
        <v>資訊三仁</v>
      </c>
    </row>
    <row r="1636" spans="1:7">
      <c r="A1636" t="s">
        <v>91</v>
      </c>
      <c r="B1636">
        <v>30</v>
      </c>
      <c r="C1636" s="55" t="s">
        <v>2413</v>
      </c>
      <c r="D1636" t="s">
        <v>2414</v>
      </c>
      <c r="E1636" t="s">
        <v>59</v>
      </c>
      <c r="F1636"/>
      <c r="G1636" s="130" t="str">
        <f t="shared" si="25"/>
        <v>資訊三仁</v>
      </c>
    </row>
    <row r="1637" spans="1:7">
      <c r="A1637" t="s">
        <v>91</v>
      </c>
      <c r="B1637">
        <v>31</v>
      </c>
      <c r="C1637" s="55" t="s">
        <v>2446</v>
      </c>
      <c r="D1637" t="s">
        <v>2447</v>
      </c>
      <c r="E1637" t="s">
        <v>59</v>
      </c>
      <c r="F1637"/>
      <c r="G1637" s="130" t="str">
        <f t="shared" si="25"/>
        <v>資訊三仁</v>
      </c>
    </row>
    <row r="1638" spans="1:7">
      <c r="A1638" t="s">
        <v>91</v>
      </c>
      <c r="B1638">
        <v>32</v>
      </c>
      <c r="C1638" s="55" t="s">
        <v>2475</v>
      </c>
      <c r="D1638" t="s">
        <v>2476</v>
      </c>
      <c r="E1638" t="s">
        <v>59</v>
      </c>
      <c r="F1638"/>
      <c r="G1638" s="130" t="str">
        <f t="shared" si="25"/>
        <v>資訊三仁</v>
      </c>
    </row>
    <row r="1639" spans="1:7">
      <c r="A1639" t="s">
        <v>91</v>
      </c>
      <c r="B1639">
        <v>33</v>
      </c>
      <c r="C1639" s="55" t="s">
        <v>2493</v>
      </c>
      <c r="D1639" t="s">
        <v>2494</v>
      </c>
      <c r="E1639" t="s">
        <v>59</v>
      </c>
      <c r="F1639"/>
      <c r="G1639" s="130" t="str">
        <f t="shared" si="25"/>
        <v>資訊三仁</v>
      </c>
    </row>
    <row r="1640" spans="1:7">
      <c r="A1640" t="s">
        <v>91</v>
      </c>
      <c r="B1640">
        <v>34</v>
      </c>
      <c r="C1640" s="55" t="s">
        <v>2511</v>
      </c>
      <c r="D1640" t="s">
        <v>2512</v>
      </c>
      <c r="E1640" t="s">
        <v>60</v>
      </c>
      <c r="F1640"/>
      <c r="G1640" s="130" t="str">
        <f t="shared" si="25"/>
        <v>資訊三仁</v>
      </c>
    </row>
    <row r="1641" spans="1:7">
      <c r="A1641" t="s">
        <v>91</v>
      </c>
      <c r="B1641">
        <v>35</v>
      </c>
      <c r="C1641" s="55" t="s">
        <v>2521</v>
      </c>
      <c r="D1641" t="s">
        <v>2522</v>
      </c>
      <c r="E1641" t="s">
        <v>59</v>
      </c>
      <c r="F1641"/>
      <c r="G1641" s="130" t="str">
        <f t="shared" si="25"/>
        <v>資訊三仁</v>
      </c>
    </row>
    <row r="1642" spans="1:7">
      <c r="A1642" t="s">
        <v>91</v>
      </c>
      <c r="B1642">
        <v>36</v>
      </c>
      <c r="C1642" s="55" t="s">
        <v>960</v>
      </c>
      <c r="D1642" t="s">
        <v>969</v>
      </c>
      <c r="E1642" t="s">
        <v>59</v>
      </c>
      <c r="F1642"/>
      <c r="G1642" s="130" t="str">
        <f t="shared" si="25"/>
        <v>資訊三仁</v>
      </c>
    </row>
    <row r="1643" spans="1:7">
      <c r="A1643" t="s">
        <v>92</v>
      </c>
      <c r="B1643">
        <v>1</v>
      </c>
      <c r="C1643" s="55" t="s">
        <v>1327</v>
      </c>
      <c r="D1643" t="s">
        <v>1328</v>
      </c>
      <c r="E1643" t="s">
        <v>60</v>
      </c>
      <c r="F1643"/>
      <c r="G1643" s="130" t="str">
        <f t="shared" si="25"/>
        <v>控制三忠</v>
      </c>
    </row>
    <row r="1644" spans="1:7">
      <c r="A1644" t="s">
        <v>92</v>
      </c>
      <c r="B1644">
        <v>2</v>
      </c>
      <c r="C1644" s="55" t="s">
        <v>1363</v>
      </c>
      <c r="D1644" t="s">
        <v>1364</v>
      </c>
      <c r="E1644" t="s">
        <v>59</v>
      </c>
      <c r="F1644"/>
      <c r="G1644" s="130" t="str">
        <f t="shared" si="25"/>
        <v>控制三忠</v>
      </c>
    </row>
    <row r="1645" spans="1:7">
      <c r="A1645" t="s">
        <v>92</v>
      </c>
      <c r="B1645">
        <v>3</v>
      </c>
      <c r="C1645" s="55" t="s">
        <v>1400</v>
      </c>
      <c r="D1645" t="s">
        <v>1401</v>
      </c>
      <c r="E1645" t="s">
        <v>59</v>
      </c>
      <c r="F1645"/>
      <c r="G1645" s="130" t="str">
        <f t="shared" si="25"/>
        <v>控制三忠</v>
      </c>
    </row>
    <row r="1646" spans="1:7">
      <c r="A1646" t="s">
        <v>92</v>
      </c>
      <c r="B1646">
        <v>4</v>
      </c>
      <c r="C1646" s="55" t="s">
        <v>1438</v>
      </c>
      <c r="D1646" t="s">
        <v>1439</v>
      </c>
      <c r="E1646" t="s">
        <v>59</v>
      </c>
      <c r="F1646"/>
      <c r="G1646" s="130" t="str">
        <f t="shared" si="25"/>
        <v>控制三忠</v>
      </c>
    </row>
    <row r="1647" spans="1:7">
      <c r="A1647" t="s">
        <v>92</v>
      </c>
      <c r="B1647">
        <v>5</v>
      </c>
      <c r="C1647" s="55" t="s">
        <v>1475</v>
      </c>
      <c r="D1647" t="s">
        <v>1476</v>
      </c>
      <c r="E1647" t="s">
        <v>59</v>
      </c>
      <c r="F1647"/>
      <c r="G1647" s="130" t="str">
        <f t="shared" si="25"/>
        <v>控制三忠</v>
      </c>
    </row>
    <row r="1648" spans="1:7">
      <c r="A1648" t="s">
        <v>92</v>
      </c>
      <c r="B1648">
        <v>6</v>
      </c>
      <c r="C1648" s="55" t="s">
        <v>1548</v>
      </c>
      <c r="D1648" t="s">
        <v>952</v>
      </c>
      <c r="E1648" t="s">
        <v>59</v>
      </c>
      <c r="F1648"/>
      <c r="G1648" s="130" t="str">
        <f t="shared" si="25"/>
        <v>控制三忠</v>
      </c>
    </row>
    <row r="1649" spans="1:7">
      <c r="A1649" t="s">
        <v>92</v>
      </c>
      <c r="B1649">
        <v>7</v>
      </c>
      <c r="C1649" s="55" t="s">
        <v>1585</v>
      </c>
      <c r="D1649" t="s">
        <v>1586</v>
      </c>
      <c r="E1649" t="s">
        <v>59</v>
      </c>
      <c r="F1649"/>
      <c r="G1649" s="130" t="str">
        <f t="shared" si="25"/>
        <v>控制三忠</v>
      </c>
    </row>
    <row r="1650" spans="1:7">
      <c r="A1650" t="s">
        <v>92</v>
      </c>
      <c r="B1650">
        <v>8</v>
      </c>
      <c r="C1650" s="55" t="s">
        <v>1623</v>
      </c>
      <c r="D1650" t="s">
        <v>1624</v>
      </c>
      <c r="E1650" t="s">
        <v>59</v>
      </c>
      <c r="F1650"/>
      <c r="G1650" s="130" t="str">
        <f t="shared" si="25"/>
        <v>控制三忠</v>
      </c>
    </row>
    <row r="1651" spans="1:7">
      <c r="A1651" t="s">
        <v>92</v>
      </c>
      <c r="B1651">
        <v>9</v>
      </c>
      <c r="C1651" s="55" t="s">
        <v>1661</v>
      </c>
      <c r="D1651" t="s">
        <v>1662</v>
      </c>
      <c r="E1651" t="s">
        <v>59</v>
      </c>
      <c r="F1651"/>
      <c r="G1651" s="130" t="str">
        <f t="shared" si="25"/>
        <v>控制三忠</v>
      </c>
    </row>
    <row r="1652" spans="1:7">
      <c r="A1652" t="s">
        <v>92</v>
      </c>
      <c r="B1652">
        <v>10</v>
      </c>
      <c r="C1652" s="55" t="s">
        <v>1699</v>
      </c>
      <c r="D1652" t="s">
        <v>1700</v>
      </c>
      <c r="E1652" t="s">
        <v>59</v>
      </c>
      <c r="F1652"/>
      <c r="G1652" s="130" t="str">
        <f t="shared" si="25"/>
        <v>控制三忠</v>
      </c>
    </row>
    <row r="1653" spans="1:7">
      <c r="A1653" t="s">
        <v>92</v>
      </c>
      <c r="B1653">
        <v>11</v>
      </c>
      <c r="C1653" s="55" t="s">
        <v>1773</v>
      </c>
      <c r="D1653" t="s">
        <v>1774</v>
      </c>
      <c r="E1653" t="s">
        <v>59</v>
      </c>
      <c r="F1653"/>
      <c r="G1653" s="130" t="str">
        <f t="shared" si="25"/>
        <v>控制三忠</v>
      </c>
    </row>
    <row r="1654" spans="1:7">
      <c r="A1654" t="s">
        <v>92</v>
      </c>
      <c r="B1654">
        <v>12</v>
      </c>
      <c r="C1654" s="55" t="s">
        <v>1809</v>
      </c>
      <c r="D1654" t="s">
        <v>1810</v>
      </c>
      <c r="E1654" t="s">
        <v>59</v>
      </c>
      <c r="F1654"/>
      <c r="G1654" s="130" t="str">
        <f t="shared" si="25"/>
        <v>控制三忠</v>
      </c>
    </row>
    <row r="1655" spans="1:7">
      <c r="A1655" t="s">
        <v>92</v>
      </c>
      <c r="B1655">
        <v>13</v>
      </c>
      <c r="C1655" s="55" t="s">
        <v>1844</v>
      </c>
      <c r="D1655" t="s">
        <v>1845</v>
      </c>
      <c r="E1655" t="s">
        <v>59</v>
      </c>
      <c r="F1655"/>
      <c r="G1655" s="130" t="str">
        <f t="shared" si="25"/>
        <v>控制三忠</v>
      </c>
    </row>
    <row r="1656" spans="1:7">
      <c r="A1656" t="s">
        <v>92</v>
      </c>
      <c r="B1656">
        <v>14</v>
      </c>
      <c r="C1656" s="55" t="s">
        <v>1878</v>
      </c>
      <c r="D1656" t="s">
        <v>1879</v>
      </c>
      <c r="E1656" t="s">
        <v>59</v>
      </c>
      <c r="F1656"/>
      <c r="G1656" s="130" t="str">
        <f t="shared" si="25"/>
        <v>控制三忠</v>
      </c>
    </row>
    <row r="1657" spans="1:7">
      <c r="A1657" t="s">
        <v>92</v>
      </c>
      <c r="B1657">
        <v>15</v>
      </c>
      <c r="C1657" s="55" t="s">
        <v>1914</v>
      </c>
      <c r="D1657" t="s">
        <v>1915</v>
      </c>
      <c r="E1657" t="s">
        <v>59</v>
      </c>
      <c r="F1657"/>
      <c r="G1657" s="130" t="str">
        <f t="shared" si="25"/>
        <v>控制三忠</v>
      </c>
    </row>
    <row r="1658" spans="1:7">
      <c r="A1658" t="s">
        <v>92</v>
      </c>
      <c r="B1658">
        <v>16</v>
      </c>
      <c r="C1658" s="55" t="s">
        <v>1948</v>
      </c>
      <c r="D1658" t="s">
        <v>1949</v>
      </c>
      <c r="E1658" t="s">
        <v>59</v>
      </c>
      <c r="F1658"/>
      <c r="G1658" s="130" t="str">
        <f t="shared" si="25"/>
        <v>控制三忠</v>
      </c>
    </row>
    <row r="1659" spans="1:7">
      <c r="A1659" t="s">
        <v>92</v>
      </c>
      <c r="B1659">
        <v>17</v>
      </c>
      <c r="C1659" s="55" t="s">
        <v>1982</v>
      </c>
      <c r="D1659" t="s">
        <v>1983</v>
      </c>
      <c r="E1659" t="s">
        <v>59</v>
      </c>
      <c r="F1659"/>
      <c r="G1659" s="130" t="str">
        <f t="shared" si="25"/>
        <v>控制三忠</v>
      </c>
    </row>
    <row r="1660" spans="1:7">
      <c r="A1660" t="s">
        <v>92</v>
      </c>
      <c r="B1660">
        <v>18</v>
      </c>
      <c r="C1660" s="55" t="s">
        <v>2015</v>
      </c>
      <c r="D1660" t="s">
        <v>2016</v>
      </c>
      <c r="E1660" t="s">
        <v>59</v>
      </c>
      <c r="F1660"/>
      <c r="G1660" s="130" t="str">
        <f t="shared" si="25"/>
        <v>控制三忠</v>
      </c>
    </row>
    <row r="1661" spans="1:7">
      <c r="A1661" t="s">
        <v>92</v>
      </c>
      <c r="B1661">
        <v>19</v>
      </c>
      <c r="C1661" s="55" t="s">
        <v>2047</v>
      </c>
      <c r="D1661" t="s">
        <v>2048</v>
      </c>
      <c r="E1661" t="s">
        <v>59</v>
      </c>
      <c r="F1661"/>
      <c r="G1661" s="130" t="str">
        <f t="shared" si="25"/>
        <v>控制三忠</v>
      </c>
    </row>
    <row r="1662" spans="1:7">
      <c r="A1662" t="s">
        <v>92</v>
      </c>
      <c r="B1662">
        <v>20</v>
      </c>
      <c r="C1662" s="55" t="s">
        <v>2081</v>
      </c>
      <c r="D1662" t="s">
        <v>2082</v>
      </c>
      <c r="E1662" t="s">
        <v>59</v>
      </c>
      <c r="F1662"/>
      <c r="G1662" s="130" t="str">
        <f t="shared" si="25"/>
        <v>控制三忠</v>
      </c>
    </row>
    <row r="1663" spans="1:7">
      <c r="A1663" t="s">
        <v>92</v>
      </c>
      <c r="B1663">
        <v>21</v>
      </c>
      <c r="C1663" s="55" t="s">
        <v>2114</v>
      </c>
      <c r="D1663" t="s">
        <v>213</v>
      </c>
      <c r="E1663" t="s">
        <v>60</v>
      </c>
      <c r="F1663"/>
      <c r="G1663" s="130" t="str">
        <f t="shared" si="25"/>
        <v>控制三忠</v>
      </c>
    </row>
    <row r="1664" spans="1:7">
      <c r="A1664" t="s">
        <v>92</v>
      </c>
      <c r="B1664">
        <v>22</v>
      </c>
      <c r="C1664" s="55" t="s">
        <v>2147</v>
      </c>
      <c r="D1664" t="s">
        <v>2148</v>
      </c>
      <c r="E1664" t="s">
        <v>59</v>
      </c>
      <c r="F1664"/>
      <c r="G1664" s="130" t="str">
        <f t="shared" si="25"/>
        <v>控制三忠</v>
      </c>
    </row>
    <row r="1665" spans="1:7">
      <c r="A1665" t="s">
        <v>92</v>
      </c>
      <c r="B1665">
        <v>23</v>
      </c>
      <c r="C1665" s="55" t="s">
        <v>2181</v>
      </c>
      <c r="D1665" t="s">
        <v>2182</v>
      </c>
      <c r="E1665" t="s">
        <v>59</v>
      </c>
      <c r="F1665"/>
      <c r="G1665" s="130" t="str">
        <f t="shared" si="25"/>
        <v>控制三忠</v>
      </c>
    </row>
    <row r="1666" spans="1:7">
      <c r="A1666" t="s">
        <v>92</v>
      </c>
      <c r="B1666">
        <v>24</v>
      </c>
      <c r="C1666" s="55" t="s">
        <v>2215</v>
      </c>
      <c r="D1666" t="s">
        <v>2216</v>
      </c>
      <c r="E1666" t="s">
        <v>59</v>
      </c>
      <c r="F1666"/>
      <c r="G1666" s="130" t="str">
        <f t="shared" si="25"/>
        <v>控制三忠</v>
      </c>
    </row>
    <row r="1667" spans="1:7">
      <c r="A1667" t="s">
        <v>92</v>
      </c>
      <c r="B1667">
        <v>25</v>
      </c>
      <c r="C1667" s="55" t="s">
        <v>2248</v>
      </c>
      <c r="D1667" t="s">
        <v>2249</v>
      </c>
      <c r="E1667" t="s">
        <v>59</v>
      </c>
      <c r="F1667"/>
      <c r="G1667" s="130" t="str">
        <f t="shared" ref="G1667:G1730" si="26">A1667&amp;F1667</f>
        <v>控制三忠</v>
      </c>
    </row>
    <row r="1668" spans="1:7">
      <c r="A1668" t="s">
        <v>92</v>
      </c>
      <c r="B1668">
        <v>26</v>
      </c>
      <c r="C1668" s="55" t="s">
        <v>2315</v>
      </c>
      <c r="D1668" t="s">
        <v>2316</v>
      </c>
      <c r="E1668" t="s">
        <v>59</v>
      </c>
      <c r="F1668"/>
      <c r="G1668" s="130" t="str">
        <f t="shared" si="26"/>
        <v>控制三忠</v>
      </c>
    </row>
    <row r="1669" spans="1:7">
      <c r="A1669" t="s">
        <v>92</v>
      </c>
      <c r="B1669">
        <v>27</v>
      </c>
      <c r="C1669" s="55" t="s">
        <v>2348</v>
      </c>
      <c r="D1669" t="s">
        <v>2349</v>
      </c>
      <c r="E1669" t="s">
        <v>59</v>
      </c>
      <c r="F1669"/>
      <c r="G1669" s="130" t="str">
        <f t="shared" si="26"/>
        <v>控制三忠</v>
      </c>
    </row>
    <row r="1670" spans="1:7">
      <c r="A1670" t="s">
        <v>92</v>
      </c>
      <c r="B1670">
        <v>28</v>
      </c>
      <c r="C1670" s="55" t="s">
        <v>2382</v>
      </c>
      <c r="D1670" t="s">
        <v>2383</v>
      </c>
      <c r="E1670" t="s">
        <v>59</v>
      </c>
      <c r="F1670"/>
      <c r="G1670" s="130" t="str">
        <f t="shared" si="26"/>
        <v>控制三忠</v>
      </c>
    </row>
    <row r="1671" spans="1:7">
      <c r="A1671" t="s">
        <v>92</v>
      </c>
      <c r="B1671">
        <v>29</v>
      </c>
      <c r="C1671" s="55" t="s">
        <v>2415</v>
      </c>
      <c r="D1671" t="s">
        <v>2416</v>
      </c>
      <c r="E1671" t="s">
        <v>60</v>
      </c>
      <c r="F1671"/>
      <c r="G1671" s="130" t="str">
        <f t="shared" si="26"/>
        <v>控制三忠</v>
      </c>
    </row>
    <row r="1672" spans="1:7">
      <c r="A1672" t="s">
        <v>92</v>
      </c>
      <c r="B1672">
        <v>30</v>
      </c>
      <c r="C1672" s="55" t="s">
        <v>1017</v>
      </c>
      <c r="D1672" t="s">
        <v>1018</v>
      </c>
      <c r="E1672" t="s">
        <v>59</v>
      </c>
      <c r="F1672"/>
      <c r="G1672" s="130" t="str">
        <f t="shared" si="26"/>
        <v>控制三忠</v>
      </c>
    </row>
    <row r="1673" spans="1:7">
      <c r="A1673" t="s">
        <v>93</v>
      </c>
      <c r="B1673">
        <v>1</v>
      </c>
      <c r="C1673" s="55" t="s">
        <v>1329</v>
      </c>
      <c r="D1673" t="s">
        <v>1330</v>
      </c>
      <c r="E1673" t="s">
        <v>59</v>
      </c>
      <c r="F1673"/>
      <c r="G1673" s="130" t="str">
        <f t="shared" si="26"/>
        <v>控制三孝</v>
      </c>
    </row>
    <row r="1674" spans="1:7">
      <c r="A1674" t="s">
        <v>93</v>
      </c>
      <c r="B1674">
        <v>2</v>
      </c>
      <c r="C1674" s="55" t="s">
        <v>1365</v>
      </c>
      <c r="D1674" t="s">
        <v>1366</v>
      </c>
      <c r="E1674" t="s">
        <v>59</v>
      </c>
      <c r="F1674"/>
      <c r="G1674" s="130" t="str">
        <f t="shared" si="26"/>
        <v>控制三孝</v>
      </c>
    </row>
    <row r="1675" spans="1:7">
      <c r="A1675" t="s">
        <v>93</v>
      </c>
      <c r="B1675">
        <v>3</v>
      </c>
      <c r="C1675" s="55" t="s">
        <v>1402</v>
      </c>
      <c r="D1675" t="s">
        <v>1403</v>
      </c>
      <c r="E1675" t="s">
        <v>59</v>
      </c>
      <c r="F1675"/>
      <c r="G1675" s="130" t="str">
        <f t="shared" si="26"/>
        <v>控制三孝</v>
      </c>
    </row>
    <row r="1676" spans="1:7">
      <c r="A1676" t="s">
        <v>93</v>
      </c>
      <c r="B1676">
        <v>4</v>
      </c>
      <c r="C1676" s="55" t="s">
        <v>1440</v>
      </c>
      <c r="D1676" t="s">
        <v>1441</v>
      </c>
      <c r="E1676" t="s">
        <v>59</v>
      </c>
      <c r="F1676"/>
      <c r="G1676" s="130" t="str">
        <f t="shared" si="26"/>
        <v>控制三孝</v>
      </c>
    </row>
    <row r="1677" spans="1:7">
      <c r="A1677" t="s">
        <v>93</v>
      </c>
      <c r="B1677">
        <v>5</v>
      </c>
      <c r="C1677" s="55" t="s">
        <v>1477</v>
      </c>
      <c r="D1677" t="s">
        <v>3571</v>
      </c>
      <c r="E1677" t="s">
        <v>59</v>
      </c>
      <c r="F1677"/>
      <c r="G1677" s="130" t="str">
        <f t="shared" si="26"/>
        <v>控制三孝</v>
      </c>
    </row>
    <row r="1678" spans="1:7">
      <c r="A1678" t="s">
        <v>93</v>
      </c>
      <c r="B1678">
        <v>6</v>
      </c>
      <c r="C1678" s="55" t="s">
        <v>1549</v>
      </c>
      <c r="D1678" t="s">
        <v>1550</v>
      </c>
      <c r="E1678" t="s">
        <v>59</v>
      </c>
      <c r="F1678"/>
      <c r="G1678" s="130" t="str">
        <f t="shared" si="26"/>
        <v>控制三孝</v>
      </c>
    </row>
    <row r="1679" spans="1:7">
      <c r="A1679" t="s">
        <v>93</v>
      </c>
      <c r="B1679">
        <v>7</v>
      </c>
      <c r="C1679" s="55" t="s">
        <v>1625</v>
      </c>
      <c r="D1679" t="s">
        <v>1626</v>
      </c>
      <c r="E1679" t="s">
        <v>59</v>
      </c>
      <c r="F1679"/>
      <c r="G1679" s="130" t="str">
        <f t="shared" si="26"/>
        <v>控制三孝</v>
      </c>
    </row>
    <row r="1680" spans="1:7">
      <c r="A1680" t="s">
        <v>93</v>
      </c>
      <c r="B1680">
        <v>8</v>
      </c>
      <c r="C1680" s="55" t="s">
        <v>1663</v>
      </c>
      <c r="D1680" t="s">
        <v>1664</v>
      </c>
      <c r="E1680" t="s">
        <v>59</v>
      </c>
      <c r="F1680"/>
      <c r="G1680" s="130" t="str">
        <f t="shared" si="26"/>
        <v>控制三孝</v>
      </c>
    </row>
    <row r="1681" spans="1:7">
      <c r="A1681" t="s">
        <v>93</v>
      </c>
      <c r="B1681">
        <v>9</v>
      </c>
      <c r="C1681" s="55" t="s">
        <v>1701</v>
      </c>
      <c r="D1681" t="s">
        <v>1702</v>
      </c>
      <c r="E1681" t="s">
        <v>59</v>
      </c>
      <c r="F1681"/>
      <c r="G1681" s="130" t="str">
        <f t="shared" si="26"/>
        <v>控制三孝</v>
      </c>
    </row>
    <row r="1682" spans="1:7">
      <c r="A1682" t="s">
        <v>93</v>
      </c>
      <c r="B1682">
        <v>10</v>
      </c>
      <c r="C1682" s="55" t="s">
        <v>1738</v>
      </c>
      <c r="D1682" t="s">
        <v>1739</v>
      </c>
      <c r="E1682" t="s">
        <v>59</v>
      </c>
      <c r="F1682"/>
      <c r="G1682" s="130" t="str">
        <f t="shared" si="26"/>
        <v>控制三孝</v>
      </c>
    </row>
    <row r="1683" spans="1:7">
      <c r="A1683" t="s">
        <v>93</v>
      </c>
      <c r="B1683">
        <v>11</v>
      </c>
      <c r="C1683" s="55" t="s">
        <v>1775</v>
      </c>
      <c r="D1683" t="s">
        <v>1776</v>
      </c>
      <c r="E1683" t="s">
        <v>59</v>
      </c>
      <c r="F1683"/>
      <c r="G1683" s="130" t="str">
        <f t="shared" si="26"/>
        <v>控制三孝</v>
      </c>
    </row>
    <row r="1684" spans="1:7">
      <c r="A1684" t="s">
        <v>93</v>
      </c>
      <c r="B1684">
        <v>12</v>
      </c>
      <c r="C1684" s="55" t="s">
        <v>1846</v>
      </c>
      <c r="D1684" t="s">
        <v>1847</v>
      </c>
      <c r="E1684" t="s">
        <v>60</v>
      </c>
      <c r="F1684"/>
      <c r="G1684" s="130" t="str">
        <f t="shared" si="26"/>
        <v>控制三孝</v>
      </c>
    </row>
    <row r="1685" spans="1:7">
      <c r="A1685" t="s">
        <v>93</v>
      </c>
      <c r="B1685">
        <v>13</v>
      </c>
      <c r="C1685" s="55" t="s">
        <v>1880</v>
      </c>
      <c r="D1685" t="s">
        <v>1881</v>
      </c>
      <c r="E1685" t="s">
        <v>59</v>
      </c>
      <c r="F1685"/>
      <c r="G1685" s="130" t="str">
        <f t="shared" si="26"/>
        <v>控制三孝</v>
      </c>
    </row>
    <row r="1686" spans="1:7">
      <c r="A1686" t="s">
        <v>93</v>
      </c>
      <c r="B1686">
        <v>14</v>
      </c>
      <c r="C1686" s="55" t="s">
        <v>1916</v>
      </c>
      <c r="D1686" t="s">
        <v>991</v>
      </c>
      <c r="E1686" t="s">
        <v>59</v>
      </c>
      <c r="F1686"/>
      <c r="G1686" s="130" t="str">
        <f t="shared" si="26"/>
        <v>控制三孝</v>
      </c>
    </row>
    <row r="1687" spans="1:7">
      <c r="A1687" t="s">
        <v>93</v>
      </c>
      <c r="B1687">
        <v>15</v>
      </c>
      <c r="C1687" s="55" t="s">
        <v>1950</v>
      </c>
      <c r="D1687" t="s">
        <v>1951</v>
      </c>
      <c r="E1687" t="s">
        <v>59</v>
      </c>
      <c r="F1687"/>
      <c r="G1687" s="130" t="str">
        <f t="shared" si="26"/>
        <v>控制三孝</v>
      </c>
    </row>
    <row r="1688" spans="1:7">
      <c r="A1688" t="s">
        <v>93</v>
      </c>
      <c r="B1688">
        <v>16</v>
      </c>
      <c r="C1688" s="55" t="s">
        <v>2017</v>
      </c>
      <c r="D1688" t="s">
        <v>2018</v>
      </c>
      <c r="E1688" t="s">
        <v>60</v>
      </c>
      <c r="F1688"/>
      <c r="G1688" s="130" t="str">
        <f t="shared" si="26"/>
        <v>控制三孝</v>
      </c>
    </row>
    <row r="1689" spans="1:7">
      <c r="A1689" t="s">
        <v>93</v>
      </c>
      <c r="B1689">
        <v>17</v>
      </c>
      <c r="C1689" s="55" t="s">
        <v>2049</v>
      </c>
      <c r="D1689" t="s">
        <v>2050</v>
      </c>
      <c r="E1689" t="s">
        <v>59</v>
      </c>
      <c r="F1689"/>
      <c r="G1689" s="130" t="str">
        <f t="shared" si="26"/>
        <v>控制三孝</v>
      </c>
    </row>
    <row r="1690" spans="1:7">
      <c r="A1690" t="s">
        <v>93</v>
      </c>
      <c r="B1690">
        <v>18</v>
      </c>
      <c r="C1690" s="55" t="s">
        <v>2083</v>
      </c>
      <c r="D1690" t="s">
        <v>2084</v>
      </c>
      <c r="E1690" t="s">
        <v>59</v>
      </c>
      <c r="F1690"/>
      <c r="G1690" s="130" t="str">
        <f t="shared" si="26"/>
        <v>控制三孝</v>
      </c>
    </row>
    <row r="1691" spans="1:7">
      <c r="A1691" t="s">
        <v>93</v>
      </c>
      <c r="B1691">
        <v>19</v>
      </c>
      <c r="C1691" s="55" t="s">
        <v>2115</v>
      </c>
      <c r="D1691" t="s">
        <v>2116</v>
      </c>
      <c r="E1691" t="s">
        <v>59</v>
      </c>
      <c r="F1691"/>
      <c r="G1691" s="130" t="str">
        <f t="shared" si="26"/>
        <v>控制三孝</v>
      </c>
    </row>
    <row r="1692" spans="1:7">
      <c r="A1692" t="s">
        <v>93</v>
      </c>
      <c r="B1692">
        <v>20</v>
      </c>
      <c r="C1692" s="55" t="s">
        <v>2149</v>
      </c>
      <c r="D1692" t="s">
        <v>2150</v>
      </c>
      <c r="E1692" t="s">
        <v>59</v>
      </c>
      <c r="F1692"/>
      <c r="G1692" s="130" t="str">
        <f t="shared" si="26"/>
        <v>控制三孝</v>
      </c>
    </row>
    <row r="1693" spans="1:7">
      <c r="A1693" t="s">
        <v>93</v>
      </c>
      <c r="B1693">
        <v>21</v>
      </c>
      <c r="C1693" s="55" t="s">
        <v>2183</v>
      </c>
      <c r="D1693" t="s">
        <v>2184</v>
      </c>
      <c r="E1693" t="s">
        <v>59</v>
      </c>
      <c r="F1693"/>
      <c r="G1693" s="130" t="str">
        <f t="shared" si="26"/>
        <v>控制三孝</v>
      </c>
    </row>
    <row r="1694" spans="1:7">
      <c r="A1694" t="s">
        <v>93</v>
      </c>
      <c r="B1694">
        <v>22</v>
      </c>
      <c r="C1694" s="55" t="s">
        <v>2217</v>
      </c>
      <c r="D1694" t="s">
        <v>2218</v>
      </c>
      <c r="E1694" t="s">
        <v>59</v>
      </c>
      <c r="F1694"/>
      <c r="G1694" s="130" t="str">
        <f t="shared" si="26"/>
        <v>控制三孝</v>
      </c>
    </row>
    <row r="1695" spans="1:7">
      <c r="A1695" t="s">
        <v>93</v>
      </c>
      <c r="B1695">
        <v>23</v>
      </c>
      <c r="C1695" s="55" t="s">
        <v>2250</v>
      </c>
      <c r="D1695" t="s">
        <v>2251</v>
      </c>
      <c r="E1695" t="s">
        <v>59</v>
      </c>
      <c r="F1695"/>
      <c r="G1695" s="130" t="str">
        <f t="shared" si="26"/>
        <v>控制三孝</v>
      </c>
    </row>
    <row r="1696" spans="1:7">
      <c r="A1696" t="s">
        <v>93</v>
      </c>
      <c r="B1696">
        <v>24</v>
      </c>
      <c r="C1696" s="55" t="s">
        <v>2284</v>
      </c>
      <c r="D1696" t="s">
        <v>2285</v>
      </c>
      <c r="E1696" t="s">
        <v>59</v>
      </c>
      <c r="F1696"/>
      <c r="G1696" s="130" t="str">
        <f t="shared" si="26"/>
        <v>控制三孝</v>
      </c>
    </row>
    <row r="1697" spans="1:7">
      <c r="A1697" t="s">
        <v>93</v>
      </c>
      <c r="B1697">
        <v>25</v>
      </c>
      <c r="C1697" s="55" t="s">
        <v>2317</v>
      </c>
      <c r="D1697" t="s">
        <v>2318</v>
      </c>
      <c r="E1697" t="s">
        <v>59</v>
      </c>
      <c r="F1697"/>
      <c r="G1697" s="130" t="str">
        <f t="shared" si="26"/>
        <v>控制三孝</v>
      </c>
    </row>
    <row r="1698" spans="1:7">
      <c r="A1698" t="s">
        <v>93</v>
      </c>
      <c r="B1698">
        <v>26</v>
      </c>
      <c r="C1698" s="55" t="s">
        <v>2350</v>
      </c>
      <c r="D1698" t="s">
        <v>2351</v>
      </c>
      <c r="E1698" t="s">
        <v>59</v>
      </c>
      <c r="F1698"/>
      <c r="G1698" s="130" t="str">
        <f t="shared" si="26"/>
        <v>控制三孝</v>
      </c>
    </row>
    <row r="1699" spans="1:7">
      <c r="A1699" t="s">
        <v>93</v>
      </c>
      <c r="B1699">
        <v>27</v>
      </c>
      <c r="C1699" s="55" t="s">
        <v>2384</v>
      </c>
      <c r="D1699" t="s">
        <v>2385</v>
      </c>
      <c r="E1699" t="s">
        <v>60</v>
      </c>
      <c r="F1699"/>
      <c r="G1699" s="130" t="str">
        <f t="shared" si="26"/>
        <v>控制三孝</v>
      </c>
    </row>
    <row r="1700" spans="1:7">
      <c r="A1700" t="s">
        <v>93</v>
      </c>
      <c r="B1700">
        <v>28</v>
      </c>
      <c r="C1700" s="55" t="s">
        <v>2417</v>
      </c>
      <c r="D1700" t="s">
        <v>2418</v>
      </c>
      <c r="E1700" t="s">
        <v>60</v>
      </c>
      <c r="F1700"/>
      <c r="G1700" s="130" t="str">
        <f t="shared" si="26"/>
        <v>控制三孝</v>
      </c>
    </row>
    <row r="1701" spans="1:7">
      <c r="A1701" t="s">
        <v>93</v>
      </c>
      <c r="B1701">
        <v>29</v>
      </c>
      <c r="C1701" s="55" t="s">
        <v>3448</v>
      </c>
      <c r="D1701" t="s">
        <v>3445</v>
      </c>
      <c r="E1701" t="s">
        <v>59</v>
      </c>
      <c r="F1701"/>
      <c r="G1701" s="130" t="str">
        <f t="shared" si="26"/>
        <v>控制三孝</v>
      </c>
    </row>
    <row r="1702" spans="1:7">
      <c r="A1702" t="s">
        <v>94</v>
      </c>
      <c r="B1702">
        <v>1</v>
      </c>
      <c r="C1702" s="55" t="s">
        <v>1331</v>
      </c>
      <c r="D1702" t="s">
        <v>1332</v>
      </c>
      <c r="E1702" t="s">
        <v>59</v>
      </c>
      <c r="F1702"/>
      <c r="G1702" s="130" t="str">
        <f t="shared" si="26"/>
        <v>冷凍三忠</v>
      </c>
    </row>
    <row r="1703" spans="1:7">
      <c r="A1703" t="s">
        <v>94</v>
      </c>
      <c r="B1703">
        <v>2</v>
      </c>
      <c r="C1703" s="55" t="s">
        <v>1367</v>
      </c>
      <c r="D1703" t="s">
        <v>1334</v>
      </c>
      <c r="E1703" t="s">
        <v>59</v>
      </c>
      <c r="F1703"/>
      <c r="G1703" s="130" t="str">
        <f t="shared" si="26"/>
        <v>冷凍三忠</v>
      </c>
    </row>
    <row r="1704" spans="1:7">
      <c r="A1704" t="s">
        <v>94</v>
      </c>
      <c r="B1704">
        <v>3</v>
      </c>
      <c r="C1704" s="55" t="s">
        <v>1404</v>
      </c>
      <c r="D1704" t="s">
        <v>1405</v>
      </c>
      <c r="E1704" t="s">
        <v>59</v>
      </c>
      <c r="F1704"/>
      <c r="G1704" s="130" t="str">
        <f t="shared" si="26"/>
        <v>冷凍三忠</v>
      </c>
    </row>
    <row r="1705" spans="1:7">
      <c r="A1705" t="s">
        <v>94</v>
      </c>
      <c r="B1705">
        <v>4</v>
      </c>
      <c r="C1705" s="55" t="s">
        <v>1442</v>
      </c>
      <c r="D1705" t="s">
        <v>1353</v>
      </c>
      <c r="E1705" t="s">
        <v>59</v>
      </c>
      <c r="F1705"/>
      <c r="G1705" s="130" t="str">
        <f t="shared" si="26"/>
        <v>冷凍三忠</v>
      </c>
    </row>
    <row r="1706" spans="1:7">
      <c r="A1706" t="s">
        <v>94</v>
      </c>
      <c r="B1706">
        <v>5</v>
      </c>
      <c r="C1706" s="55" t="s">
        <v>1478</v>
      </c>
      <c r="D1706" t="s">
        <v>1479</v>
      </c>
      <c r="E1706" t="s">
        <v>59</v>
      </c>
      <c r="F1706"/>
      <c r="G1706" s="130" t="str">
        <f t="shared" si="26"/>
        <v>冷凍三忠</v>
      </c>
    </row>
    <row r="1707" spans="1:7">
      <c r="A1707" t="s">
        <v>94</v>
      </c>
      <c r="B1707">
        <v>6</v>
      </c>
      <c r="C1707" s="55" t="s">
        <v>1515</v>
      </c>
      <c r="D1707" t="s">
        <v>1516</v>
      </c>
      <c r="E1707" t="s">
        <v>59</v>
      </c>
      <c r="F1707"/>
      <c r="G1707" s="130" t="str">
        <f t="shared" si="26"/>
        <v>冷凍三忠</v>
      </c>
    </row>
    <row r="1708" spans="1:7">
      <c r="A1708" t="s">
        <v>94</v>
      </c>
      <c r="B1708">
        <v>7</v>
      </c>
      <c r="C1708" s="55" t="s">
        <v>1551</v>
      </c>
      <c r="D1708" t="s">
        <v>1552</v>
      </c>
      <c r="E1708" t="s">
        <v>59</v>
      </c>
      <c r="F1708"/>
      <c r="G1708" s="130" t="str">
        <f t="shared" si="26"/>
        <v>冷凍三忠</v>
      </c>
    </row>
    <row r="1709" spans="1:7">
      <c r="A1709" t="s">
        <v>94</v>
      </c>
      <c r="B1709">
        <v>8</v>
      </c>
      <c r="C1709" s="55" t="s">
        <v>1627</v>
      </c>
      <c r="D1709" t="s">
        <v>1743</v>
      </c>
      <c r="E1709" t="s">
        <v>59</v>
      </c>
      <c r="F1709"/>
      <c r="G1709" s="130" t="str">
        <f t="shared" si="26"/>
        <v>冷凍三忠</v>
      </c>
    </row>
    <row r="1710" spans="1:7">
      <c r="A1710" t="s">
        <v>94</v>
      </c>
      <c r="B1710">
        <v>9</v>
      </c>
      <c r="C1710" s="55" t="s">
        <v>1665</v>
      </c>
      <c r="D1710" t="s">
        <v>1628</v>
      </c>
      <c r="E1710" t="s">
        <v>59</v>
      </c>
      <c r="F1710"/>
      <c r="G1710" s="130" t="str">
        <f t="shared" si="26"/>
        <v>冷凍三忠</v>
      </c>
    </row>
    <row r="1711" spans="1:7">
      <c r="A1711" t="s">
        <v>94</v>
      </c>
      <c r="B1711">
        <v>10</v>
      </c>
      <c r="C1711" s="55" t="s">
        <v>1703</v>
      </c>
      <c r="D1711" t="s">
        <v>1704</v>
      </c>
      <c r="E1711" t="s">
        <v>59</v>
      </c>
      <c r="F1711"/>
      <c r="G1711" s="130" t="str">
        <f t="shared" si="26"/>
        <v>冷凍三忠</v>
      </c>
    </row>
    <row r="1712" spans="1:7">
      <c r="A1712" t="s">
        <v>94</v>
      </c>
      <c r="B1712">
        <v>11</v>
      </c>
      <c r="C1712" s="55" t="s">
        <v>1777</v>
      </c>
      <c r="D1712" t="s">
        <v>1778</v>
      </c>
      <c r="E1712" t="s">
        <v>59</v>
      </c>
      <c r="F1712"/>
      <c r="G1712" s="130" t="str">
        <f t="shared" si="26"/>
        <v>冷凍三忠</v>
      </c>
    </row>
    <row r="1713" spans="1:7">
      <c r="A1713" t="s">
        <v>94</v>
      </c>
      <c r="B1713">
        <v>12</v>
      </c>
      <c r="C1713" s="55" t="s">
        <v>1813</v>
      </c>
      <c r="D1713" t="s">
        <v>1814</v>
      </c>
      <c r="E1713" t="s">
        <v>59</v>
      </c>
      <c r="F1713"/>
      <c r="G1713" s="130" t="str">
        <f t="shared" si="26"/>
        <v>冷凍三忠</v>
      </c>
    </row>
    <row r="1714" spans="1:7">
      <c r="A1714" t="s">
        <v>94</v>
      </c>
      <c r="B1714">
        <v>13</v>
      </c>
      <c r="C1714" s="55" t="s">
        <v>1848</v>
      </c>
      <c r="D1714" t="s">
        <v>1849</v>
      </c>
      <c r="E1714" t="s">
        <v>59</v>
      </c>
      <c r="F1714"/>
      <c r="G1714" s="130" t="str">
        <f t="shared" si="26"/>
        <v>冷凍三忠</v>
      </c>
    </row>
    <row r="1715" spans="1:7">
      <c r="A1715" t="s">
        <v>94</v>
      </c>
      <c r="B1715">
        <v>14</v>
      </c>
      <c r="C1715" s="55" t="s">
        <v>1882</v>
      </c>
      <c r="D1715" t="s">
        <v>1883</v>
      </c>
      <c r="E1715" t="s">
        <v>59</v>
      </c>
      <c r="F1715"/>
      <c r="G1715" s="130" t="str">
        <f t="shared" si="26"/>
        <v>冷凍三忠</v>
      </c>
    </row>
    <row r="1716" spans="1:7">
      <c r="A1716" t="s">
        <v>94</v>
      </c>
      <c r="B1716">
        <v>15</v>
      </c>
      <c r="C1716" s="55" t="s">
        <v>1917</v>
      </c>
      <c r="D1716" t="s">
        <v>1918</v>
      </c>
      <c r="E1716" t="s">
        <v>59</v>
      </c>
      <c r="F1716"/>
      <c r="G1716" s="130" t="str">
        <f t="shared" si="26"/>
        <v>冷凍三忠</v>
      </c>
    </row>
    <row r="1717" spans="1:7">
      <c r="A1717" t="s">
        <v>94</v>
      </c>
      <c r="B1717">
        <v>16</v>
      </c>
      <c r="C1717" s="55" t="s">
        <v>1986</v>
      </c>
      <c r="D1717" t="s">
        <v>1987</v>
      </c>
      <c r="E1717" t="s">
        <v>59</v>
      </c>
      <c r="F1717"/>
      <c r="G1717" s="130" t="str">
        <f t="shared" si="26"/>
        <v>冷凍三忠</v>
      </c>
    </row>
    <row r="1718" spans="1:7">
      <c r="A1718" t="s">
        <v>94</v>
      </c>
      <c r="B1718">
        <v>17</v>
      </c>
      <c r="C1718" s="55" t="s">
        <v>2051</v>
      </c>
      <c r="D1718" t="s">
        <v>2052</v>
      </c>
      <c r="E1718" t="s">
        <v>59</v>
      </c>
      <c r="F1718"/>
      <c r="G1718" s="130" t="str">
        <f t="shared" si="26"/>
        <v>冷凍三忠</v>
      </c>
    </row>
    <row r="1719" spans="1:7">
      <c r="A1719" t="s">
        <v>94</v>
      </c>
      <c r="B1719">
        <v>18</v>
      </c>
      <c r="C1719" s="55" t="s">
        <v>2085</v>
      </c>
      <c r="D1719" t="s">
        <v>2120</v>
      </c>
      <c r="E1719" t="s">
        <v>59</v>
      </c>
      <c r="F1719"/>
      <c r="G1719" s="130" t="str">
        <f t="shared" si="26"/>
        <v>冷凍三忠</v>
      </c>
    </row>
    <row r="1720" spans="1:7">
      <c r="A1720" t="s">
        <v>94</v>
      </c>
      <c r="B1720">
        <v>19</v>
      </c>
      <c r="C1720" s="55" t="s">
        <v>2117</v>
      </c>
      <c r="D1720" t="s">
        <v>2118</v>
      </c>
      <c r="E1720" t="s">
        <v>59</v>
      </c>
      <c r="F1720"/>
      <c r="G1720" s="130" t="str">
        <f t="shared" si="26"/>
        <v>冷凍三忠</v>
      </c>
    </row>
    <row r="1721" spans="1:7">
      <c r="A1721" t="s">
        <v>94</v>
      </c>
      <c r="B1721">
        <v>20</v>
      </c>
      <c r="C1721" s="55" t="s">
        <v>2151</v>
      </c>
      <c r="D1721" t="s">
        <v>2152</v>
      </c>
      <c r="E1721" t="s">
        <v>59</v>
      </c>
      <c r="F1721"/>
      <c r="G1721" s="130" t="str">
        <f t="shared" si="26"/>
        <v>冷凍三忠</v>
      </c>
    </row>
    <row r="1722" spans="1:7">
      <c r="A1722" t="s">
        <v>94</v>
      </c>
      <c r="B1722">
        <v>21</v>
      </c>
      <c r="C1722" s="55" t="s">
        <v>2185</v>
      </c>
      <c r="D1722" t="s">
        <v>2186</v>
      </c>
      <c r="E1722" t="s">
        <v>59</v>
      </c>
      <c r="F1722"/>
      <c r="G1722" s="130" t="str">
        <f t="shared" si="26"/>
        <v>冷凍三忠</v>
      </c>
    </row>
    <row r="1723" spans="1:7">
      <c r="A1723" t="s">
        <v>94</v>
      </c>
      <c r="B1723">
        <v>22</v>
      </c>
      <c r="C1723" s="55" t="s">
        <v>2219</v>
      </c>
      <c r="D1723" t="s">
        <v>2220</v>
      </c>
      <c r="E1723" t="s">
        <v>59</v>
      </c>
      <c r="F1723"/>
      <c r="G1723" s="130" t="str">
        <f t="shared" si="26"/>
        <v>冷凍三忠</v>
      </c>
    </row>
    <row r="1724" spans="1:7">
      <c r="A1724" t="s">
        <v>94</v>
      </c>
      <c r="B1724">
        <v>23</v>
      </c>
      <c r="C1724" s="55" t="s">
        <v>2252</v>
      </c>
      <c r="D1724" t="s">
        <v>2253</v>
      </c>
      <c r="E1724" t="s">
        <v>59</v>
      </c>
      <c r="F1724"/>
      <c r="G1724" s="130" t="str">
        <f t="shared" si="26"/>
        <v>冷凍三忠</v>
      </c>
    </row>
    <row r="1725" spans="1:7">
      <c r="A1725" t="s">
        <v>94</v>
      </c>
      <c r="B1725">
        <v>24</v>
      </c>
      <c r="C1725" s="55" t="s">
        <v>2286</v>
      </c>
      <c r="D1725" t="s">
        <v>2287</v>
      </c>
      <c r="E1725" t="s">
        <v>59</v>
      </c>
      <c r="F1725"/>
      <c r="G1725" s="130" t="str">
        <f t="shared" si="26"/>
        <v>冷凍三忠</v>
      </c>
    </row>
    <row r="1726" spans="1:7">
      <c r="A1726" t="s">
        <v>94</v>
      </c>
      <c r="B1726">
        <v>25</v>
      </c>
      <c r="C1726" s="55" t="s">
        <v>2319</v>
      </c>
      <c r="D1726" t="s">
        <v>2320</v>
      </c>
      <c r="E1726" t="s">
        <v>59</v>
      </c>
      <c r="F1726"/>
      <c r="G1726" s="130" t="str">
        <f t="shared" si="26"/>
        <v>冷凍三忠</v>
      </c>
    </row>
    <row r="1727" spans="1:7">
      <c r="A1727" t="s">
        <v>94</v>
      </c>
      <c r="B1727">
        <v>26</v>
      </c>
      <c r="C1727" s="55" t="s">
        <v>2352</v>
      </c>
      <c r="D1727" t="s">
        <v>2353</v>
      </c>
      <c r="E1727" t="s">
        <v>59</v>
      </c>
      <c r="F1727"/>
      <c r="G1727" s="130" t="str">
        <f t="shared" si="26"/>
        <v>冷凍三忠</v>
      </c>
    </row>
    <row r="1728" spans="1:7">
      <c r="A1728" t="s">
        <v>94</v>
      </c>
      <c r="B1728">
        <v>27</v>
      </c>
      <c r="C1728" s="55" t="s">
        <v>2386</v>
      </c>
      <c r="D1728" t="s">
        <v>2387</v>
      </c>
      <c r="E1728" t="s">
        <v>59</v>
      </c>
      <c r="F1728"/>
      <c r="G1728" s="130" t="str">
        <f t="shared" si="26"/>
        <v>冷凍三忠</v>
      </c>
    </row>
    <row r="1729" spans="1:7">
      <c r="A1729" t="s">
        <v>94</v>
      </c>
      <c r="B1729">
        <v>28</v>
      </c>
      <c r="C1729" s="55" t="s">
        <v>2419</v>
      </c>
      <c r="D1729" t="s">
        <v>2420</v>
      </c>
      <c r="E1729" t="s">
        <v>59</v>
      </c>
      <c r="F1729"/>
      <c r="G1729" s="130" t="str">
        <f t="shared" si="26"/>
        <v>冷凍三忠</v>
      </c>
    </row>
    <row r="1730" spans="1:7">
      <c r="A1730" t="s">
        <v>94</v>
      </c>
      <c r="B1730">
        <v>29</v>
      </c>
      <c r="C1730" s="55" t="s">
        <v>2477</v>
      </c>
      <c r="D1730" t="s">
        <v>2478</v>
      </c>
      <c r="E1730" t="s">
        <v>59</v>
      </c>
      <c r="F1730"/>
      <c r="G1730" s="130" t="str">
        <f t="shared" si="26"/>
        <v>冷凍三忠</v>
      </c>
    </row>
    <row r="1731" spans="1:7">
      <c r="A1731" t="s">
        <v>94</v>
      </c>
      <c r="B1731">
        <v>30</v>
      </c>
      <c r="C1731" s="55" t="s">
        <v>2495</v>
      </c>
      <c r="D1731" t="s">
        <v>2496</v>
      </c>
      <c r="E1731" t="s">
        <v>59</v>
      </c>
      <c r="F1731"/>
      <c r="G1731" s="130" t="str">
        <f t="shared" ref="G1731:G1794" si="27">A1731&amp;F1731</f>
        <v>冷凍三忠</v>
      </c>
    </row>
    <row r="1732" spans="1:7">
      <c r="A1732" t="s">
        <v>94</v>
      </c>
      <c r="B1732">
        <v>31</v>
      </c>
      <c r="C1732" s="55" t="s">
        <v>3449</v>
      </c>
      <c r="D1732" t="s">
        <v>3446</v>
      </c>
      <c r="E1732" t="s">
        <v>59</v>
      </c>
      <c r="F1732"/>
      <c r="G1732" s="130" t="str">
        <f t="shared" si="27"/>
        <v>冷凍三忠</v>
      </c>
    </row>
    <row r="1733" spans="1:7">
      <c r="A1733" t="s">
        <v>95</v>
      </c>
      <c r="B1733">
        <v>1</v>
      </c>
      <c r="C1733" s="55" t="s">
        <v>1333</v>
      </c>
      <c r="D1733" t="s">
        <v>1370</v>
      </c>
      <c r="E1733" t="s">
        <v>59</v>
      </c>
      <c r="F1733"/>
      <c r="G1733" s="130" t="str">
        <f t="shared" si="27"/>
        <v>冷凍三孝</v>
      </c>
    </row>
    <row r="1734" spans="1:7">
      <c r="A1734" t="s">
        <v>95</v>
      </c>
      <c r="B1734">
        <v>2</v>
      </c>
      <c r="C1734" s="55" t="s">
        <v>1369</v>
      </c>
      <c r="D1734" t="s">
        <v>1407</v>
      </c>
      <c r="E1734" t="s">
        <v>59</v>
      </c>
      <c r="F1734"/>
      <c r="G1734" s="130" t="str">
        <f t="shared" si="27"/>
        <v>冷凍三孝</v>
      </c>
    </row>
    <row r="1735" spans="1:7">
      <c r="A1735" t="s">
        <v>95</v>
      </c>
      <c r="B1735">
        <v>3</v>
      </c>
      <c r="C1735" s="55" t="s">
        <v>1406</v>
      </c>
      <c r="D1735" t="s">
        <v>1368</v>
      </c>
      <c r="E1735" t="s">
        <v>60</v>
      </c>
      <c r="F1735"/>
      <c r="G1735" s="130" t="str">
        <f t="shared" si="27"/>
        <v>冷凍三孝</v>
      </c>
    </row>
    <row r="1736" spans="1:7">
      <c r="A1736" t="s">
        <v>95</v>
      </c>
      <c r="B1736">
        <v>4</v>
      </c>
      <c r="C1736" s="55" t="s">
        <v>1480</v>
      </c>
      <c r="D1736" t="s">
        <v>1481</v>
      </c>
      <c r="E1736" t="s">
        <v>59</v>
      </c>
      <c r="F1736"/>
      <c r="G1736" s="130" t="str">
        <f t="shared" si="27"/>
        <v>冷凍三孝</v>
      </c>
    </row>
    <row r="1737" spans="1:7">
      <c r="A1737" t="s">
        <v>95</v>
      </c>
      <c r="B1737">
        <v>5</v>
      </c>
      <c r="C1737" s="55" t="s">
        <v>1517</v>
      </c>
      <c r="D1737" t="s">
        <v>1518</v>
      </c>
      <c r="E1737" t="s">
        <v>59</v>
      </c>
      <c r="F1737"/>
      <c r="G1737" s="130" t="str">
        <f t="shared" si="27"/>
        <v>冷凍三孝</v>
      </c>
    </row>
    <row r="1738" spans="1:7">
      <c r="A1738" t="s">
        <v>95</v>
      </c>
      <c r="B1738">
        <v>6</v>
      </c>
      <c r="C1738" s="55" t="s">
        <v>1553</v>
      </c>
      <c r="D1738" t="s">
        <v>1554</v>
      </c>
      <c r="E1738" t="s">
        <v>59</v>
      </c>
      <c r="F1738"/>
      <c r="G1738" s="130" t="str">
        <f t="shared" si="27"/>
        <v>冷凍三孝</v>
      </c>
    </row>
    <row r="1739" spans="1:7">
      <c r="A1739" t="s">
        <v>95</v>
      </c>
      <c r="B1739">
        <v>7</v>
      </c>
      <c r="C1739" s="55" t="s">
        <v>1591</v>
      </c>
      <c r="D1739" t="s">
        <v>1592</v>
      </c>
      <c r="E1739" t="s">
        <v>59</v>
      </c>
      <c r="F1739"/>
      <c r="G1739" s="130" t="str">
        <f t="shared" si="27"/>
        <v>冷凍三孝</v>
      </c>
    </row>
    <row r="1740" spans="1:7">
      <c r="A1740" t="s">
        <v>95</v>
      </c>
      <c r="B1740">
        <v>8</v>
      </c>
      <c r="C1740" s="55" t="s">
        <v>1629</v>
      </c>
      <c r="D1740" t="s">
        <v>1630</v>
      </c>
      <c r="E1740" t="s">
        <v>59</v>
      </c>
      <c r="F1740"/>
      <c r="G1740" s="130" t="str">
        <f t="shared" si="27"/>
        <v>冷凍三孝</v>
      </c>
    </row>
    <row r="1741" spans="1:7">
      <c r="A1741" t="s">
        <v>95</v>
      </c>
      <c r="B1741">
        <v>9</v>
      </c>
      <c r="C1741" s="55" t="s">
        <v>1667</v>
      </c>
      <c r="D1741" t="s">
        <v>1668</v>
      </c>
      <c r="E1741" t="s">
        <v>59</v>
      </c>
      <c r="F1741"/>
      <c r="G1741" s="130" t="str">
        <f t="shared" si="27"/>
        <v>冷凍三孝</v>
      </c>
    </row>
    <row r="1742" spans="1:7">
      <c r="A1742" t="s">
        <v>95</v>
      </c>
      <c r="B1742">
        <v>10</v>
      </c>
      <c r="C1742" s="55" t="s">
        <v>1705</v>
      </c>
      <c r="D1742" t="s">
        <v>1706</v>
      </c>
      <c r="E1742" t="s">
        <v>59</v>
      </c>
      <c r="F1742"/>
      <c r="G1742" s="130" t="str">
        <f t="shared" si="27"/>
        <v>冷凍三孝</v>
      </c>
    </row>
    <row r="1743" spans="1:7">
      <c r="A1743" t="s">
        <v>95</v>
      </c>
      <c r="B1743">
        <v>11</v>
      </c>
      <c r="C1743" s="55" t="s">
        <v>1742</v>
      </c>
      <c r="D1743" t="s">
        <v>1666</v>
      </c>
      <c r="E1743" t="s">
        <v>60</v>
      </c>
      <c r="F1743"/>
      <c r="G1743" s="130" t="str">
        <f t="shared" si="27"/>
        <v>冷凍三孝</v>
      </c>
    </row>
    <row r="1744" spans="1:7">
      <c r="A1744" t="s">
        <v>95</v>
      </c>
      <c r="B1744">
        <v>12</v>
      </c>
      <c r="C1744" s="55" t="s">
        <v>1779</v>
      </c>
      <c r="D1744" t="s">
        <v>1780</v>
      </c>
      <c r="E1744" t="s">
        <v>59</v>
      </c>
      <c r="F1744"/>
      <c r="G1744" s="130" t="str">
        <f t="shared" si="27"/>
        <v>冷凍三孝</v>
      </c>
    </row>
    <row r="1745" spans="1:7">
      <c r="A1745" t="s">
        <v>95</v>
      </c>
      <c r="B1745">
        <v>13</v>
      </c>
      <c r="C1745" s="55" t="s">
        <v>1815</v>
      </c>
      <c r="D1745" t="s">
        <v>1816</v>
      </c>
      <c r="E1745" t="s">
        <v>59</v>
      </c>
      <c r="F1745"/>
      <c r="G1745" s="130" t="str">
        <f t="shared" si="27"/>
        <v>冷凍三孝</v>
      </c>
    </row>
    <row r="1746" spans="1:7">
      <c r="A1746" t="s">
        <v>95</v>
      </c>
      <c r="B1746">
        <v>14</v>
      </c>
      <c r="C1746" s="55" t="s">
        <v>1850</v>
      </c>
      <c r="D1746" t="s">
        <v>1851</v>
      </c>
      <c r="E1746" t="s">
        <v>59</v>
      </c>
      <c r="F1746"/>
      <c r="G1746" s="130" t="str">
        <f t="shared" si="27"/>
        <v>冷凍三孝</v>
      </c>
    </row>
    <row r="1747" spans="1:7">
      <c r="A1747" t="s">
        <v>95</v>
      </c>
      <c r="B1747">
        <v>15</v>
      </c>
      <c r="C1747" s="55" t="s">
        <v>1884</v>
      </c>
      <c r="D1747" t="s">
        <v>1885</v>
      </c>
      <c r="E1747" t="s">
        <v>59</v>
      </c>
      <c r="F1747"/>
      <c r="G1747" s="130" t="str">
        <f t="shared" si="27"/>
        <v>冷凍三孝</v>
      </c>
    </row>
    <row r="1748" spans="1:7">
      <c r="A1748" t="s">
        <v>95</v>
      </c>
      <c r="B1748">
        <v>16</v>
      </c>
      <c r="C1748" s="55" t="s">
        <v>1954</v>
      </c>
      <c r="D1748" t="s">
        <v>1955</v>
      </c>
      <c r="E1748" t="s">
        <v>59</v>
      </c>
      <c r="F1748"/>
      <c r="G1748" s="130" t="str">
        <f t="shared" si="27"/>
        <v>冷凍三孝</v>
      </c>
    </row>
    <row r="1749" spans="1:7">
      <c r="A1749" t="s">
        <v>95</v>
      </c>
      <c r="B1749">
        <v>17</v>
      </c>
      <c r="C1749" s="55" t="s">
        <v>1988</v>
      </c>
      <c r="D1749" t="s">
        <v>1989</v>
      </c>
      <c r="E1749" t="s">
        <v>59</v>
      </c>
      <c r="F1749"/>
      <c r="G1749" s="130" t="str">
        <f t="shared" si="27"/>
        <v>冷凍三孝</v>
      </c>
    </row>
    <row r="1750" spans="1:7">
      <c r="A1750" t="s">
        <v>95</v>
      </c>
      <c r="B1750">
        <v>18</v>
      </c>
      <c r="C1750" s="55" t="s">
        <v>2053</v>
      </c>
      <c r="D1750" t="s">
        <v>2054</v>
      </c>
      <c r="E1750" t="s">
        <v>59</v>
      </c>
      <c r="F1750"/>
      <c r="G1750" s="130" t="str">
        <f t="shared" si="27"/>
        <v>冷凍三孝</v>
      </c>
    </row>
    <row r="1751" spans="1:7">
      <c r="A1751" t="s">
        <v>95</v>
      </c>
      <c r="B1751">
        <v>19</v>
      </c>
      <c r="C1751" s="55" t="s">
        <v>2087</v>
      </c>
      <c r="D1751" t="s">
        <v>2088</v>
      </c>
      <c r="E1751" t="s">
        <v>59</v>
      </c>
      <c r="F1751"/>
      <c r="G1751" s="130" t="str">
        <f t="shared" si="27"/>
        <v>冷凍三孝</v>
      </c>
    </row>
    <row r="1752" spans="1:7">
      <c r="A1752" t="s">
        <v>95</v>
      </c>
      <c r="B1752">
        <v>20</v>
      </c>
      <c r="C1752" s="55" t="s">
        <v>2119</v>
      </c>
      <c r="D1752" t="s">
        <v>2086</v>
      </c>
      <c r="E1752" t="s">
        <v>60</v>
      </c>
      <c r="F1752"/>
      <c r="G1752" s="130" t="str">
        <f t="shared" si="27"/>
        <v>冷凍三孝</v>
      </c>
    </row>
    <row r="1753" spans="1:7">
      <c r="A1753" t="s">
        <v>95</v>
      </c>
      <c r="B1753">
        <v>21</v>
      </c>
      <c r="C1753" s="55" t="s">
        <v>2153</v>
      </c>
      <c r="D1753" t="s">
        <v>2154</v>
      </c>
      <c r="E1753" t="s">
        <v>59</v>
      </c>
      <c r="F1753"/>
      <c r="G1753" s="130" t="str">
        <f t="shared" si="27"/>
        <v>冷凍三孝</v>
      </c>
    </row>
    <row r="1754" spans="1:7">
      <c r="A1754" t="s">
        <v>95</v>
      </c>
      <c r="B1754">
        <v>22</v>
      </c>
      <c r="C1754" s="55" t="s">
        <v>2187</v>
      </c>
      <c r="D1754" t="s">
        <v>2188</v>
      </c>
      <c r="E1754" t="s">
        <v>59</v>
      </c>
      <c r="F1754"/>
      <c r="G1754" s="130" t="str">
        <f t="shared" si="27"/>
        <v>冷凍三孝</v>
      </c>
    </row>
    <row r="1755" spans="1:7">
      <c r="A1755" t="s">
        <v>95</v>
      </c>
      <c r="B1755">
        <v>23</v>
      </c>
      <c r="C1755" s="55" t="s">
        <v>2221</v>
      </c>
      <c r="D1755" t="s">
        <v>2222</v>
      </c>
      <c r="E1755" t="s">
        <v>59</v>
      </c>
      <c r="F1755"/>
      <c r="G1755" s="130" t="str">
        <f t="shared" si="27"/>
        <v>冷凍三孝</v>
      </c>
    </row>
    <row r="1756" spans="1:7">
      <c r="A1756" t="s">
        <v>95</v>
      </c>
      <c r="B1756">
        <v>24</v>
      </c>
      <c r="C1756" s="55" t="s">
        <v>2254</v>
      </c>
      <c r="D1756" t="s">
        <v>2255</v>
      </c>
      <c r="E1756" t="s">
        <v>59</v>
      </c>
      <c r="F1756"/>
      <c r="G1756" s="130" t="str">
        <f t="shared" si="27"/>
        <v>冷凍三孝</v>
      </c>
    </row>
    <row r="1757" spans="1:7">
      <c r="A1757" t="s">
        <v>95</v>
      </c>
      <c r="B1757">
        <v>25</v>
      </c>
      <c r="C1757" s="55" t="s">
        <v>2288</v>
      </c>
      <c r="D1757" t="s">
        <v>2289</v>
      </c>
      <c r="E1757" t="s">
        <v>59</v>
      </c>
      <c r="F1757"/>
      <c r="G1757" s="130" t="str">
        <f t="shared" si="27"/>
        <v>冷凍三孝</v>
      </c>
    </row>
    <row r="1758" spans="1:7">
      <c r="A1758" t="s">
        <v>95</v>
      </c>
      <c r="B1758">
        <v>26</v>
      </c>
      <c r="C1758" s="55" t="s">
        <v>2321</v>
      </c>
      <c r="D1758" t="s">
        <v>2322</v>
      </c>
      <c r="E1758" t="s">
        <v>59</v>
      </c>
      <c r="F1758"/>
      <c r="G1758" s="130" t="str">
        <f t="shared" si="27"/>
        <v>冷凍三孝</v>
      </c>
    </row>
    <row r="1759" spans="1:7">
      <c r="A1759" t="s">
        <v>95</v>
      </c>
      <c r="B1759">
        <v>27</v>
      </c>
      <c r="C1759" s="55" t="s">
        <v>2388</v>
      </c>
      <c r="D1759" t="s">
        <v>2389</v>
      </c>
      <c r="E1759" t="s">
        <v>59</v>
      </c>
      <c r="F1759"/>
      <c r="G1759" s="130" t="str">
        <f t="shared" si="27"/>
        <v>冷凍三孝</v>
      </c>
    </row>
    <row r="1760" spans="1:7">
      <c r="A1760" t="s">
        <v>95</v>
      </c>
      <c r="B1760">
        <v>28</v>
      </c>
      <c r="C1760" s="55" t="s">
        <v>2421</v>
      </c>
      <c r="D1760" t="s">
        <v>2422</v>
      </c>
      <c r="E1760" t="s">
        <v>59</v>
      </c>
      <c r="F1760"/>
      <c r="G1760" s="130" t="str">
        <f t="shared" si="27"/>
        <v>冷凍三孝</v>
      </c>
    </row>
    <row r="1761" spans="1:7">
      <c r="A1761" t="s">
        <v>95</v>
      </c>
      <c r="B1761">
        <v>29</v>
      </c>
      <c r="C1761" s="55" t="s">
        <v>2449</v>
      </c>
      <c r="D1761" t="s">
        <v>2450</v>
      </c>
      <c r="E1761" t="s">
        <v>59</v>
      </c>
      <c r="F1761"/>
      <c r="G1761" s="130" t="str">
        <f t="shared" si="27"/>
        <v>冷凍三孝</v>
      </c>
    </row>
    <row r="1762" spans="1:7">
      <c r="A1762" t="s">
        <v>95</v>
      </c>
      <c r="B1762">
        <v>30</v>
      </c>
      <c r="C1762" s="55" t="s">
        <v>2479</v>
      </c>
      <c r="D1762" t="s">
        <v>2480</v>
      </c>
      <c r="E1762" t="s">
        <v>59</v>
      </c>
      <c r="F1762"/>
      <c r="G1762" s="130" t="str">
        <f t="shared" si="27"/>
        <v>冷凍三孝</v>
      </c>
    </row>
    <row r="1763" spans="1:7">
      <c r="A1763" t="s">
        <v>95</v>
      </c>
      <c r="B1763">
        <v>31</v>
      </c>
      <c r="C1763" s="55" t="s">
        <v>2497</v>
      </c>
      <c r="D1763" t="s">
        <v>2498</v>
      </c>
      <c r="E1763" t="s">
        <v>59</v>
      </c>
      <c r="F1763"/>
      <c r="G1763" s="130" t="str">
        <f t="shared" si="27"/>
        <v>冷凍三孝</v>
      </c>
    </row>
    <row r="1764" spans="1:7">
      <c r="A1764" t="s">
        <v>2737</v>
      </c>
      <c r="B1764">
        <v>1</v>
      </c>
      <c r="C1764" s="55" t="s">
        <v>1335</v>
      </c>
      <c r="D1764" t="s">
        <v>1336</v>
      </c>
      <c r="E1764" t="s">
        <v>60</v>
      </c>
      <c r="F1764"/>
      <c r="G1764" s="130" t="str">
        <f t="shared" si="27"/>
        <v>應英三忠</v>
      </c>
    </row>
    <row r="1765" spans="1:7">
      <c r="A1765" t="s">
        <v>2737</v>
      </c>
      <c r="B1765">
        <v>2</v>
      </c>
      <c r="C1765" s="55" t="s">
        <v>1371</v>
      </c>
      <c r="D1765" t="s">
        <v>1372</v>
      </c>
      <c r="E1765" t="s">
        <v>59</v>
      </c>
      <c r="F1765"/>
      <c r="G1765" s="130" t="str">
        <f t="shared" si="27"/>
        <v>應英三忠</v>
      </c>
    </row>
    <row r="1766" spans="1:7">
      <c r="A1766" t="s">
        <v>2737</v>
      </c>
      <c r="B1766">
        <v>3</v>
      </c>
      <c r="C1766" s="55" t="s">
        <v>1445</v>
      </c>
      <c r="D1766" t="s">
        <v>1446</v>
      </c>
      <c r="E1766" t="s">
        <v>59</v>
      </c>
      <c r="F1766"/>
      <c r="G1766" s="130" t="str">
        <f t="shared" si="27"/>
        <v>應英三忠</v>
      </c>
    </row>
    <row r="1767" spans="1:7">
      <c r="A1767" t="s">
        <v>2737</v>
      </c>
      <c r="B1767">
        <v>4</v>
      </c>
      <c r="C1767" s="55" t="s">
        <v>1482</v>
      </c>
      <c r="D1767" t="s">
        <v>1483</v>
      </c>
      <c r="E1767" t="s">
        <v>59</v>
      </c>
      <c r="F1767"/>
      <c r="G1767" s="130" t="str">
        <f t="shared" si="27"/>
        <v>應英三忠</v>
      </c>
    </row>
    <row r="1768" spans="1:7">
      <c r="A1768" t="s">
        <v>2737</v>
      </c>
      <c r="B1768">
        <v>5</v>
      </c>
      <c r="C1768" s="55" t="s">
        <v>1519</v>
      </c>
      <c r="D1768" t="s">
        <v>1520</v>
      </c>
      <c r="E1768" t="s">
        <v>60</v>
      </c>
      <c r="F1768"/>
      <c r="G1768" s="130" t="str">
        <f t="shared" si="27"/>
        <v>應英三忠</v>
      </c>
    </row>
    <row r="1769" spans="1:7">
      <c r="A1769" t="s">
        <v>2737</v>
      </c>
      <c r="B1769">
        <v>6</v>
      </c>
      <c r="C1769" s="55" t="s">
        <v>1555</v>
      </c>
      <c r="D1769" t="s">
        <v>1556</v>
      </c>
      <c r="E1769" t="s">
        <v>60</v>
      </c>
      <c r="F1769"/>
      <c r="G1769" s="130" t="str">
        <f t="shared" si="27"/>
        <v>應英三忠</v>
      </c>
    </row>
    <row r="1770" spans="1:7">
      <c r="A1770" t="s">
        <v>2737</v>
      </c>
      <c r="B1770">
        <v>7</v>
      </c>
      <c r="C1770" s="55" t="s">
        <v>1593</v>
      </c>
      <c r="D1770" t="s">
        <v>1594</v>
      </c>
      <c r="E1770" t="s">
        <v>59</v>
      </c>
      <c r="F1770"/>
      <c r="G1770" s="130" t="str">
        <f t="shared" si="27"/>
        <v>應英三忠</v>
      </c>
    </row>
    <row r="1771" spans="1:7">
      <c r="A1771" t="s">
        <v>2737</v>
      </c>
      <c r="B1771">
        <v>8</v>
      </c>
      <c r="C1771" s="55" t="s">
        <v>1631</v>
      </c>
      <c r="D1771" t="s">
        <v>1632</v>
      </c>
      <c r="E1771" t="s">
        <v>59</v>
      </c>
      <c r="F1771"/>
      <c r="G1771" s="130" t="str">
        <f t="shared" si="27"/>
        <v>應英三忠</v>
      </c>
    </row>
    <row r="1772" spans="1:7">
      <c r="A1772" t="s">
        <v>2737</v>
      </c>
      <c r="B1772">
        <v>9</v>
      </c>
      <c r="C1772" s="55" t="s">
        <v>1669</v>
      </c>
      <c r="D1772" t="s">
        <v>1670</v>
      </c>
      <c r="E1772" t="s">
        <v>59</v>
      </c>
      <c r="F1772"/>
      <c r="G1772" s="130" t="str">
        <f t="shared" si="27"/>
        <v>應英三忠</v>
      </c>
    </row>
    <row r="1773" spans="1:7">
      <c r="A1773" t="s">
        <v>2737</v>
      </c>
      <c r="B1773">
        <v>10</v>
      </c>
      <c r="C1773" s="55" t="s">
        <v>1707</v>
      </c>
      <c r="D1773" t="s">
        <v>1708</v>
      </c>
      <c r="E1773" t="s">
        <v>60</v>
      </c>
      <c r="F1773"/>
      <c r="G1773" s="130" t="str">
        <f t="shared" si="27"/>
        <v>應英三忠</v>
      </c>
    </row>
    <row r="1774" spans="1:7">
      <c r="A1774" t="s">
        <v>2737</v>
      </c>
      <c r="B1774">
        <v>11</v>
      </c>
      <c r="C1774" s="55" t="s">
        <v>1744</v>
      </c>
      <c r="D1774" t="s">
        <v>1745</v>
      </c>
      <c r="E1774" t="s">
        <v>60</v>
      </c>
      <c r="F1774"/>
      <c r="G1774" s="130" t="str">
        <f t="shared" si="27"/>
        <v>應英三忠</v>
      </c>
    </row>
    <row r="1775" spans="1:7">
      <c r="A1775" t="s">
        <v>2737</v>
      </c>
      <c r="B1775">
        <v>12</v>
      </c>
      <c r="C1775" s="55" t="s">
        <v>1781</v>
      </c>
      <c r="D1775" t="s">
        <v>1782</v>
      </c>
      <c r="E1775" t="s">
        <v>59</v>
      </c>
      <c r="F1775"/>
      <c r="G1775" s="130" t="str">
        <f t="shared" si="27"/>
        <v>應英三忠</v>
      </c>
    </row>
    <row r="1776" spans="1:7">
      <c r="A1776" t="s">
        <v>2737</v>
      </c>
      <c r="B1776">
        <v>13</v>
      </c>
      <c r="C1776" s="55" t="s">
        <v>1817</v>
      </c>
      <c r="D1776" t="s">
        <v>1818</v>
      </c>
      <c r="E1776" t="s">
        <v>60</v>
      </c>
      <c r="F1776"/>
      <c r="G1776" s="130" t="str">
        <f t="shared" si="27"/>
        <v>應英三忠</v>
      </c>
    </row>
    <row r="1777" spans="1:7">
      <c r="A1777" t="s">
        <v>2737</v>
      </c>
      <c r="B1777">
        <v>14</v>
      </c>
      <c r="C1777" s="55" t="s">
        <v>1852</v>
      </c>
      <c r="D1777" t="s">
        <v>1853</v>
      </c>
      <c r="E1777" t="s">
        <v>59</v>
      </c>
      <c r="F1777"/>
      <c r="G1777" s="130" t="str">
        <f t="shared" si="27"/>
        <v>應英三忠</v>
      </c>
    </row>
    <row r="1778" spans="1:7">
      <c r="A1778" t="s">
        <v>2737</v>
      </c>
      <c r="B1778">
        <v>15</v>
      </c>
      <c r="C1778" s="55" t="s">
        <v>1886</v>
      </c>
      <c r="D1778" t="s">
        <v>1887</v>
      </c>
      <c r="E1778" t="s">
        <v>59</v>
      </c>
      <c r="F1778"/>
      <c r="G1778" s="130" t="str">
        <f t="shared" si="27"/>
        <v>應英三忠</v>
      </c>
    </row>
    <row r="1779" spans="1:7">
      <c r="A1779" t="s">
        <v>2737</v>
      </c>
      <c r="B1779">
        <v>16</v>
      </c>
      <c r="C1779" s="55" t="s">
        <v>1921</v>
      </c>
      <c r="D1779" t="s">
        <v>1922</v>
      </c>
      <c r="E1779" t="s">
        <v>60</v>
      </c>
      <c r="F1779"/>
      <c r="G1779" s="130" t="str">
        <f t="shared" si="27"/>
        <v>應英三忠</v>
      </c>
    </row>
    <row r="1780" spans="1:7">
      <c r="A1780" t="s">
        <v>2737</v>
      </c>
      <c r="B1780">
        <v>17</v>
      </c>
      <c r="C1780" s="55" t="s">
        <v>1956</v>
      </c>
      <c r="D1780" t="s">
        <v>1957</v>
      </c>
      <c r="E1780" t="s">
        <v>60</v>
      </c>
      <c r="F1780"/>
      <c r="G1780" s="130" t="str">
        <f t="shared" si="27"/>
        <v>應英三忠</v>
      </c>
    </row>
    <row r="1781" spans="1:7">
      <c r="A1781" t="s">
        <v>2737</v>
      </c>
      <c r="B1781">
        <v>18</v>
      </c>
      <c r="C1781" s="55" t="s">
        <v>1990</v>
      </c>
      <c r="D1781" t="s">
        <v>1991</v>
      </c>
      <c r="E1781" t="s">
        <v>60</v>
      </c>
      <c r="F1781"/>
      <c r="G1781" s="130" t="str">
        <f t="shared" si="27"/>
        <v>應英三忠</v>
      </c>
    </row>
    <row r="1782" spans="1:7">
      <c r="A1782" t="s">
        <v>2737</v>
      </c>
      <c r="B1782">
        <v>19</v>
      </c>
      <c r="C1782" s="55" t="s">
        <v>2023</v>
      </c>
      <c r="D1782" t="s">
        <v>2024</v>
      </c>
      <c r="E1782" t="s">
        <v>60</v>
      </c>
      <c r="F1782"/>
      <c r="G1782" s="130" t="str">
        <f t="shared" si="27"/>
        <v>應英三忠</v>
      </c>
    </row>
    <row r="1783" spans="1:7">
      <c r="A1783" t="s">
        <v>2737</v>
      </c>
      <c r="B1783">
        <v>20</v>
      </c>
      <c r="C1783" s="55" t="s">
        <v>2055</v>
      </c>
      <c r="D1783" t="s">
        <v>2056</v>
      </c>
      <c r="E1783" t="s">
        <v>59</v>
      </c>
      <c r="F1783"/>
      <c r="G1783" s="130" t="str">
        <f t="shared" si="27"/>
        <v>應英三忠</v>
      </c>
    </row>
    <row r="1784" spans="1:7">
      <c r="A1784" t="s">
        <v>2737</v>
      </c>
      <c r="B1784">
        <v>21</v>
      </c>
      <c r="C1784" s="55" t="s">
        <v>2089</v>
      </c>
      <c r="D1784" t="s">
        <v>2090</v>
      </c>
      <c r="E1784" t="s">
        <v>60</v>
      </c>
      <c r="F1784"/>
      <c r="G1784" s="130" t="str">
        <f t="shared" si="27"/>
        <v>應英三忠</v>
      </c>
    </row>
    <row r="1785" spans="1:7">
      <c r="A1785" t="s">
        <v>2737</v>
      </c>
      <c r="B1785">
        <v>22</v>
      </c>
      <c r="C1785" s="55" t="s">
        <v>2121</v>
      </c>
      <c r="D1785" t="s">
        <v>2122</v>
      </c>
      <c r="E1785" t="s">
        <v>60</v>
      </c>
      <c r="F1785"/>
      <c r="G1785" s="130" t="str">
        <f t="shared" si="27"/>
        <v>應英三忠</v>
      </c>
    </row>
    <row r="1786" spans="1:7">
      <c r="A1786" t="s">
        <v>2737</v>
      </c>
      <c r="B1786">
        <v>23</v>
      </c>
      <c r="C1786" s="55" t="s">
        <v>2155</v>
      </c>
      <c r="D1786" t="s">
        <v>2156</v>
      </c>
      <c r="E1786" t="s">
        <v>60</v>
      </c>
      <c r="F1786"/>
      <c r="G1786" s="130" t="str">
        <f t="shared" si="27"/>
        <v>應英三忠</v>
      </c>
    </row>
    <row r="1787" spans="1:7">
      <c r="A1787" t="s">
        <v>2737</v>
      </c>
      <c r="B1787">
        <v>24</v>
      </c>
      <c r="C1787" s="55" t="s">
        <v>2189</v>
      </c>
      <c r="D1787" t="s">
        <v>2190</v>
      </c>
      <c r="E1787" t="s">
        <v>60</v>
      </c>
      <c r="F1787"/>
      <c r="G1787" s="130" t="str">
        <f t="shared" si="27"/>
        <v>應英三忠</v>
      </c>
    </row>
    <row r="1788" spans="1:7">
      <c r="A1788" t="s">
        <v>2737</v>
      </c>
      <c r="B1788">
        <v>25</v>
      </c>
      <c r="C1788" s="55" t="s">
        <v>2223</v>
      </c>
      <c r="D1788" t="s">
        <v>2224</v>
      </c>
      <c r="E1788" t="s">
        <v>60</v>
      </c>
      <c r="F1788"/>
      <c r="G1788" s="130" t="str">
        <f t="shared" si="27"/>
        <v>應英三忠</v>
      </c>
    </row>
    <row r="1789" spans="1:7">
      <c r="A1789" t="s">
        <v>2737</v>
      </c>
      <c r="B1789">
        <v>26</v>
      </c>
      <c r="C1789" s="55" t="s">
        <v>2256</v>
      </c>
      <c r="D1789" t="s">
        <v>2257</v>
      </c>
      <c r="E1789" t="s">
        <v>60</v>
      </c>
      <c r="F1789"/>
      <c r="G1789" s="130" t="str">
        <f t="shared" si="27"/>
        <v>應英三忠</v>
      </c>
    </row>
    <row r="1790" spans="1:7">
      <c r="A1790" t="s">
        <v>2737</v>
      </c>
      <c r="B1790">
        <v>27</v>
      </c>
      <c r="C1790" s="55" t="s">
        <v>2290</v>
      </c>
      <c r="D1790" t="s">
        <v>2291</v>
      </c>
      <c r="E1790" t="s">
        <v>60</v>
      </c>
      <c r="F1790"/>
      <c r="G1790" s="130" t="str">
        <f t="shared" si="27"/>
        <v>應英三忠</v>
      </c>
    </row>
    <row r="1791" spans="1:7">
      <c r="A1791" t="s">
        <v>2737</v>
      </c>
      <c r="B1791">
        <v>28</v>
      </c>
      <c r="C1791" s="55" t="s">
        <v>2323</v>
      </c>
      <c r="D1791" t="s">
        <v>2324</v>
      </c>
      <c r="E1791" t="s">
        <v>59</v>
      </c>
      <c r="F1791"/>
      <c r="G1791" s="130" t="str">
        <f t="shared" si="27"/>
        <v>應英三忠</v>
      </c>
    </row>
    <row r="1792" spans="1:7">
      <c r="A1792" t="s">
        <v>2737</v>
      </c>
      <c r="B1792">
        <v>29</v>
      </c>
      <c r="C1792" s="55" t="s">
        <v>2356</v>
      </c>
      <c r="D1792" t="s">
        <v>2357</v>
      </c>
      <c r="E1792" t="s">
        <v>60</v>
      </c>
      <c r="F1792"/>
      <c r="G1792" s="130" t="str">
        <f t="shared" si="27"/>
        <v>應英三忠</v>
      </c>
    </row>
    <row r="1793" spans="1:7">
      <c r="A1793" t="s">
        <v>2737</v>
      </c>
      <c r="B1793">
        <v>30</v>
      </c>
      <c r="C1793" s="55" t="s">
        <v>2390</v>
      </c>
      <c r="D1793" t="s">
        <v>2391</v>
      </c>
      <c r="E1793" t="s">
        <v>60</v>
      </c>
      <c r="F1793"/>
      <c r="G1793" s="130" t="str">
        <f t="shared" si="27"/>
        <v>應英三忠</v>
      </c>
    </row>
    <row r="1794" spans="1:7">
      <c r="A1794" t="s">
        <v>2737</v>
      </c>
      <c r="B1794">
        <v>31</v>
      </c>
      <c r="C1794" s="55" t="s">
        <v>2451</v>
      </c>
      <c r="D1794" t="s">
        <v>2452</v>
      </c>
      <c r="E1794" t="s">
        <v>60</v>
      </c>
      <c r="F1794"/>
      <c r="G1794" s="130" t="str">
        <f t="shared" si="27"/>
        <v>應英三忠</v>
      </c>
    </row>
    <row r="1795" spans="1:7">
      <c r="A1795" t="s">
        <v>2737</v>
      </c>
      <c r="B1795">
        <v>32</v>
      </c>
      <c r="C1795" s="55" t="s">
        <v>958</v>
      </c>
      <c r="D1795" t="s">
        <v>959</v>
      </c>
      <c r="E1795" t="s">
        <v>59</v>
      </c>
      <c r="F1795"/>
      <c r="G1795" s="130" t="str">
        <f t="shared" ref="G1795:G1858" si="28">A1795&amp;F1795</f>
        <v>應英三忠</v>
      </c>
    </row>
    <row r="1796" spans="1:7">
      <c r="A1796" t="s">
        <v>2738</v>
      </c>
      <c r="B1796">
        <v>1</v>
      </c>
      <c r="C1796" s="55" t="s">
        <v>1337</v>
      </c>
      <c r="D1796" t="s">
        <v>1338</v>
      </c>
      <c r="E1796" t="s">
        <v>60</v>
      </c>
      <c r="F1796"/>
      <c r="G1796" s="130" t="str">
        <f t="shared" si="28"/>
        <v>應英三孝</v>
      </c>
    </row>
    <row r="1797" spans="1:7">
      <c r="A1797" t="s">
        <v>2738</v>
      </c>
      <c r="B1797">
        <v>2</v>
      </c>
      <c r="C1797" s="55" t="s">
        <v>1373</v>
      </c>
      <c r="D1797" t="s">
        <v>1374</v>
      </c>
      <c r="E1797" t="s">
        <v>60</v>
      </c>
      <c r="F1797"/>
      <c r="G1797" s="130" t="str">
        <f t="shared" si="28"/>
        <v>應英三孝</v>
      </c>
    </row>
    <row r="1798" spans="1:7">
      <c r="A1798" t="s">
        <v>2738</v>
      </c>
      <c r="B1798">
        <v>3</v>
      </c>
      <c r="C1798" s="55" t="s">
        <v>1410</v>
      </c>
      <c r="D1798" t="s">
        <v>1411</v>
      </c>
      <c r="E1798" t="s">
        <v>59</v>
      </c>
      <c r="F1798"/>
      <c r="G1798" s="130" t="str">
        <f t="shared" si="28"/>
        <v>應英三孝</v>
      </c>
    </row>
    <row r="1799" spans="1:7">
      <c r="A1799" t="s">
        <v>2738</v>
      </c>
      <c r="B1799">
        <v>4</v>
      </c>
      <c r="C1799" s="55" t="s">
        <v>1447</v>
      </c>
      <c r="D1799" t="s">
        <v>1448</v>
      </c>
      <c r="E1799" t="s">
        <v>59</v>
      </c>
      <c r="F1799"/>
      <c r="G1799" s="130" t="str">
        <f t="shared" si="28"/>
        <v>應英三孝</v>
      </c>
    </row>
    <row r="1800" spans="1:7">
      <c r="A1800" t="s">
        <v>2738</v>
      </c>
      <c r="B1800">
        <v>5</v>
      </c>
      <c r="C1800" s="55" t="s">
        <v>1484</v>
      </c>
      <c r="D1800" t="s">
        <v>1485</v>
      </c>
      <c r="E1800" t="s">
        <v>60</v>
      </c>
      <c r="F1800"/>
      <c r="G1800" s="130" t="str">
        <f t="shared" si="28"/>
        <v>應英三孝</v>
      </c>
    </row>
    <row r="1801" spans="1:7">
      <c r="A1801" t="s">
        <v>2738</v>
      </c>
      <c r="B1801">
        <v>6</v>
      </c>
      <c r="C1801" s="55" t="s">
        <v>1557</v>
      </c>
      <c r="D1801" t="s">
        <v>1558</v>
      </c>
      <c r="E1801" t="s">
        <v>60</v>
      </c>
      <c r="F1801"/>
      <c r="G1801" s="130" t="str">
        <f t="shared" si="28"/>
        <v>應英三孝</v>
      </c>
    </row>
    <row r="1802" spans="1:7">
      <c r="A1802" t="s">
        <v>2738</v>
      </c>
      <c r="B1802">
        <v>7</v>
      </c>
      <c r="C1802" s="55" t="s">
        <v>1595</v>
      </c>
      <c r="D1802" t="s">
        <v>1596</v>
      </c>
      <c r="E1802" t="s">
        <v>59</v>
      </c>
      <c r="F1802"/>
      <c r="G1802" s="130" t="str">
        <f t="shared" si="28"/>
        <v>應英三孝</v>
      </c>
    </row>
    <row r="1803" spans="1:7">
      <c r="A1803" t="s">
        <v>2738</v>
      </c>
      <c r="B1803">
        <v>8</v>
      </c>
      <c r="C1803" s="55" t="s">
        <v>1633</v>
      </c>
      <c r="D1803" t="s">
        <v>1634</v>
      </c>
      <c r="E1803" t="s">
        <v>60</v>
      </c>
      <c r="F1803"/>
      <c r="G1803" s="130" t="str">
        <f t="shared" si="28"/>
        <v>應英三孝</v>
      </c>
    </row>
    <row r="1804" spans="1:7">
      <c r="A1804" t="s">
        <v>2738</v>
      </c>
      <c r="B1804">
        <v>9</v>
      </c>
      <c r="C1804" s="55" t="s">
        <v>1671</v>
      </c>
      <c r="D1804" t="s">
        <v>1672</v>
      </c>
      <c r="E1804" t="s">
        <v>60</v>
      </c>
      <c r="F1804"/>
      <c r="G1804" s="130" t="str">
        <f t="shared" si="28"/>
        <v>應英三孝</v>
      </c>
    </row>
    <row r="1805" spans="1:7">
      <c r="A1805" t="s">
        <v>2738</v>
      </c>
      <c r="B1805">
        <v>10</v>
      </c>
      <c r="C1805" s="55" t="s">
        <v>1709</v>
      </c>
      <c r="D1805" t="s">
        <v>1710</v>
      </c>
      <c r="E1805" t="s">
        <v>60</v>
      </c>
      <c r="F1805"/>
      <c r="G1805" s="130" t="str">
        <f t="shared" si="28"/>
        <v>應英三孝</v>
      </c>
    </row>
    <row r="1806" spans="1:7">
      <c r="A1806" t="s">
        <v>2738</v>
      </c>
      <c r="B1806">
        <v>11</v>
      </c>
      <c r="C1806" s="55" t="s">
        <v>1746</v>
      </c>
      <c r="D1806" t="s">
        <v>1747</v>
      </c>
      <c r="E1806" t="s">
        <v>60</v>
      </c>
      <c r="F1806"/>
      <c r="G1806" s="130" t="str">
        <f t="shared" si="28"/>
        <v>應英三孝</v>
      </c>
    </row>
    <row r="1807" spans="1:7">
      <c r="A1807" t="s">
        <v>2738</v>
      </c>
      <c r="B1807">
        <v>12</v>
      </c>
      <c r="C1807" s="55" t="s">
        <v>1783</v>
      </c>
      <c r="D1807" t="s">
        <v>1784</v>
      </c>
      <c r="E1807" t="s">
        <v>59</v>
      </c>
      <c r="F1807"/>
      <c r="G1807" s="130" t="str">
        <f t="shared" si="28"/>
        <v>應英三孝</v>
      </c>
    </row>
    <row r="1808" spans="1:7">
      <c r="A1808" t="s">
        <v>2738</v>
      </c>
      <c r="B1808">
        <v>13</v>
      </c>
      <c r="C1808" s="55" t="s">
        <v>1854</v>
      </c>
      <c r="D1808" t="s">
        <v>1855</v>
      </c>
      <c r="E1808" t="s">
        <v>59</v>
      </c>
      <c r="F1808"/>
      <c r="G1808" s="130" t="str">
        <f t="shared" si="28"/>
        <v>應英三孝</v>
      </c>
    </row>
    <row r="1809" spans="1:7">
      <c r="A1809" t="s">
        <v>2738</v>
      </c>
      <c r="B1809">
        <v>14</v>
      </c>
      <c r="C1809" s="55" t="s">
        <v>1888</v>
      </c>
      <c r="D1809" t="s">
        <v>1889</v>
      </c>
      <c r="E1809" t="s">
        <v>60</v>
      </c>
      <c r="F1809"/>
      <c r="G1809" s="130" t="str">
        <f t="shared" si="28"/>
        <v>應英三孝</v>
      </c>
    </row>
    <row r="1810" spans="1:7">
      <c r="A1810" t="s">
        <v>2738</v>
      </c>
      <c r="B1810">
        <v>15</v>
      </c>
      <c r="C1810" s="55" t="s">
        <v>1923</v>
      </c>
      <c r="D1810" t="s">
        <v>1924</v>
      </c>
      <c r="E1810" t="s">
        <v>60</v>
      </c>
      <c r="F1810"/>
      <c r="G1810" s="130" t="str">
        <f t="shared" si="28"/>
        <v>應英三孝</v>
      </c>
    </row>
    <row r="1811" spans="1:7">
      <c r="A1811" t="s">
        <v>2738</v>
      </c>
      <c r="B1811">
        <v>16</v>
      </c>
      <c r="C1811" s="55" t="s">
        <v>1958</v>
      </c>
      <c r="D1811" t="s">
        <v>1959</v>
      </c>
      <c r="E1811" t="s">
        <v>59</v>
      </c>
      <c r="F1811"/>
      <c r="G1811" s="130" t="str">
        <f t="shared" si="28"/>
        <v>應英三孝</v>
      </c>
    </row>
    <row r="1812" spans="1:7">
      <c r="A1812" t="s">
        <v>2738</v>
      </c>
      <c r="B1812">
        <v>17</v>
      </c>
      <c r="C1812" s="55" t="s">
        <v>2025</v>
      </c>
      <c r="D1812" t="s">
        <v>2026</v>
      </c>
      <c r="E1812" t="s">
        <v>59</v>
      </c>
      <c r="F1812"/>
      <c r="G1812" s="130" t="str">
        <f t="shared" si="28"/>
        <v>應英三孝</v>
      </c>
    </row>
    <row r="1813" spans="1:7">
      <c r="A1813" t="s">
        <v>2738</v>
      </c>
      <c r="B1813">
        <v>18</v>
      </c>
      <c r="C1813" s="55" t="s">
        <v>2091</v>
      </c>
      <c r="D1813" t="s">
        <v>2092</v>
      </c>
      <c r="E1813" t="s">
        <v>60</v>
      </c>
      <c r="F1813"/>
      <c r="G1813" s="130" t="str">
        <f t="shared" si="28"/>
        <v>應英三孝</v>
      </c>
    </row>
    <row r="1814" spans="1:7">
      <c r="A1814" t="s">
        <v>2738</v>
      </c>
      <c r="B1814">
        <v>19</v>
      </c>
      <c r="C1814" s="55" t="s">
        <v>2123</v>
      </c>
      <c r="D1814" t="s">
        <v>2124</v>
      </c>
      <c r="E1814" t="s">
        <v>60</v>
      </c>
      <c r="F1814"/>
      <c r="G1814" s="130" t="str">
        <f t="shared" si="28"/>
        <v>應英三孝</v>
      </c>
    </row>
    <row r="1815" spans="1:7">
      <c r="A1815" t="s">
        <v>2738</v>
      </c>
      <c r="B1815">
        <v>20</v>
      </c>
      <c r="C1815" s="55" t="s">
        <v>2157</v>
      </c>
      <c r="D1815" t="s">
        <v>2158</v>
      </c>
      <c r="E1815" t="s">
        <v>60</v>
      </c>
      <c r="F1815"/>
      <c r="G1815" s="130" t="str">
        <f t="shared" si="28"/>
        <v>應英三孝</v>
      </c>
    </row>
    <row r="1816" spans="1:7">
      <c r="A1816" t="s">
        <v>2738</v>
      </c>
      <c r="B1816">
        <v>21</v>
      </c>
      <c r="C1816" s="55" t="s">
        <v>2225</v>
      </c>
      <c r="D1816" t="s">
        <v>2523</v>
      </c>
      <c r="E1816" t="s">
        <v>60</v>
      </c>
      <c r="F1816"/>
      <c r="G1816" s="130" t="str">
        <f t="shared" si="28"/>
        <v>應英三孝</v>
      </c>
    </row>
    <row r="1817" spans="1:7">
      <c r="A1817" t="s">
        <v>2738</v>
      </c>
      <c r="B1817">
        <v>22</v>
      </c>
      <c r="C1817" s="55" t="s">
        <v>2258</v>
      </c>
      <c r="D1817" t="s">
        <v>2259</v>
      </c>
      <c r="E1817" t="s">
        <v>59</v>
      </c>
      <c r="F1817"/>
      <c r="G1817" s="130" t="str">
        <f t="shared" si="28"/>
        <v>應英三孝</v>
      </c>
    </row>
    <row r="1818" spans="1:7">
      <c r="A1818" t="s">
        <v>2738</v>
      </c>
      <c r="B1818">
        <v>23</v>
      </c>
      <c r="C1818" s="55" t="s">
        <v>2292</v>
      </c>
      <c r="D1818" t="s">
        <v>2293</v>
      </c>
      <c r="E1818" t="s">
        <v>60</v>
      </c>
      <c r="F1818"/>
      <c r="G1818" s="130" t="str">
        <f t="shared" si="28"/>
        <v>應英三孝</v>
      </c>
    </row>
    <row r="1819" spans="1:7">
      <c r="A1819" t="s">
        <v>2738</v>
      </c>
      <c r="B1819">
        <v>24</v>
      </c>
      <c r="C1819" s="55" t="s">
        <v>2325</v>
      </c>
      <c r="D1819" t="s">
        <v>1007</v>
      </c>
      <c r="E1819" t="s">
        <v>60</v>
      </c>
      <c r="F1819"/>
      <c r="G1819" s="130" t="str">
        <f t="shared" si="28"/>
        <v>應英三孝</v>
      </c>
    </row>
    <row r="1820" spans="1:7">
      <c r="A1820" t="s">
        <v>2738</v>
      </c>
      <c r="B1820">
        <v>25</v>
      </c>
      <c r="C1820" s="55" t="s">
        <v>2358</v>
      </c>
      <c r="D1820" t="s">
        <v>2359</v>
      </c>
      <c r="E1820" t="s">
        <v>59</v>
      </c>
      <c r="F1820"/>
      <c r="G1820" s="130" t="str">
        <f t="shared" si="28"/>
        <v>應英三孝</v>
      </c>
    </row>
    <row r="1821" spans="1:7">
      <c r="A1821" t="s">
        <v>2738</v>
      </c>
      <c r="B1821">
        <v>26</v>
      </c>
      <c r="C1821" s="55" t="s">
        <v>2392</v>
      </c>
      <c r="D1821" t="s">
        <v>2393</v>
      </c>
      <c r="E1821" t="s">
        <v>59</v>
      </c>
      <c r="F1821"/>
      <c r="G1821" s="130" t="str">
        <f t="shared" si="28"/>
        <v>應英三孝</v>
      </c>
    </row>
    <row r="1822" spans="1:7">
      <c r="A1822" t="s">
        <v>2738</v>
      </c>
      <c r="B1822">
        <v>27</v>
      </c>
      <c r="C1822" s="55" t="s">
        <v>2424</v>
      </c>
      <c r="D1822" t="s">
        <v>2425</v>
      </c>
      <c r="E1822" t="s">
        <v>60</v>
      </c>
      <c r="F1822"/>
      <c r="G1822" s="130" t="str">
        <f t="shared" si="28"/>
        <v>應英三孝</v>
      </c>
    </row>
    <row r="1823" spans="1:7">
      <c r="A1823" t="s">
        <v>2738</v>
      </c>
      <c r="B1823">
        <v>28</v>
      </c>
      <c r="C1823" s="55" t="s">
        <v>2453</v>
      </c>
      <c r="D1823" t="s">
        <v>2454</v>
      </c>
      <c r="E1823" t="s">
        <v>60</v>
      </c>
      <c r="F1823"/>
      <c r="G1823" s="130" t="str">
        <f t="shared" si="28"/>
        <v>應英三孝</v>
      </c>
    </row>
    <row r="1824" spans="1:7">
      <c r="A1824" t="s">
        <v>2738</v>
      </c>
      <c r="B1824">
        <v>29</v>
      </c>
      <c r="C1824" s="55" t="s">
        <v>2624</v>
      </c>
      <c r="D1824" t="s">
        <v>2448</v>
      </c>
      <c r="E1824" t="s">
        <v>59</v>
      </c>
      <c r="F1824"/>
      <c r="G1824" s="130" t="str">
        <f t="shared" si="28"/>
        <v>應英三孝</v>
      </c>
    </row>
    <row r="1825" spans="1:7">
      <c r="A1825" t="s">
        <v>2739</v>
      </c>
      <c r="B1825">
        <v>1</v>
      </c>
      <c r="C1825" s="55" t="s">
        <v>1339</v>
      </c>
      <c r="D1825" t="s">
        <v>1340</v>
      </c>
      <c r="E1825" t="s">
        <v>59</v>
      </c>
      <c r="F1825"/>
      <c r="G1825" s="130" t="str">
        <f t="shared" si="28"/>
        <v>門服三忠</v>
      </c>
    </row>
    <row r="1826" spans="1:7">
      <c r="A1826" t="s">
        <v>2739</v>
      </c>
      <c r="B1826">
        <v>2</v>
      </c>
      <c r="C1826" s="55" t="s">
        <v>1375</v>
      </c>
      <c r="D1826" t="s">
        <v>1376</v>
      </c>
      <c r="E1826" t="s">
        <v>60</v>
      </c>
      <c r="F1826"/>
      <c r="G1826" s="130" t="str">
        <f t="shared" si="28"/>
        <v>門服三忠</v>
      </c>
    </row>
    <row r="1827" spans="1:7">
      <c r="A1827" t="s">
        <v>2739</v>
      </c>
      <c r="B1827">
        <v>3</v>
      </c>
      <c r="C1827" s="55" t="s">
        <v>1412</v>
      </c>
      <c r="D1827" t="s">
        <v>1413</v>
      </c>
      <c r="E1827" t="s">
        <v>60</v>
      </c>
      <c r="F1827"/>
      <c r="G1827" s="130" t="str">
        <f t="shared" si="28"/>
        <v>門服三忠</v>
      </c>
    </row>
    <row r="1828" spans="1:7">
      <c r="A1828" t="s">
        <v>2739</v>
      </c>
      <c r="B1828">
        <v>4</v>
      </c>
      <c r="C1828" s="55" t="s">
        <v>1449</v>
      </c>
      <c r="D1828" t="s">
        <v>1450</v>
      </c>
      <c r="E1828" t="s">
        <v>59</v>
      </c>
      <c r="F1828"/>
      <c r="G1828" s="130" t="str">
        <f t="shared" si="28"/>
        <v>門服三忠</v>
      </c>
    </row>
    <row r="1829" spans="1:7">
      <c r="A1829" t="s">
        <v>2739</v>
      </c>
      <c r="B1829">
        <v>5</v>
      </c>
      <c r="C1829" s="55" t="s">
        <v>1523</v>
      </c>
      <c r="D1829" t="s">
        <v>1524</v>
      </c>
      <c r="E1829" t="s">
        <v>60</v>
      </c>
      <c r="F1829"/>
      <c r="G1829" s="130" t="str">
        <f t="shared" si="28"/>
        <v>門服三忠</v>
      </c>
    </row>
    <row r="1830" spans="1:7">
      <c r="A1830" t="s">
        <v>2739</v>
      </c>
      <c r="B1830">
        <v>6</v>
      </c>
      <c r="C1830" s="55" t="s">
        <v>1559</v>
      </c>
      <c r="D1830" t="s">
        <v>1560</v>
      </c>
      <c r="E1830" t="s">
        <v>59</v>
      </c>
      <c r="F1830"/>
      <c r="G1830" s="130" t="str">
        <f t="shared" si="28"/>
        <v>門服三忠</v>
      </c>
    </row>
    <row r="1831" spans="1:7">
      <c r="A1831" t="s">
        <v>2739</v>
      </c>
      <c r="B1831">
        <v>7</v>
      </c>
      <c r="C1831" s="55" t="s">
        <v>1597</v>
      </c>
      <c r="D1831" t="s">
        <v>1598</v>
      </c>
      <c r="E1831" t="s">
        <v>59</v>
      </c>
      <c r="F1831"/>
      <c r="G1831" s="130" t="str">
        <f t="shared" si="28"/>
        <v>門服三忠</v>
      </c>
    </row>
    <row r="1832" spans="1:7">
      <c r="A1832" t="s">
        <v>2739</v>
      </c>
      <c r="B1832">
        <v>8</v>
      </c>
      <c r="C1832" s="55" t="s">
        <v>1635</v>
      </c>
      <c r="D1832" t="s">
        <v>1636</v>
      </c>
      <c r="E1832" t="s">
        <v>59</v>
      </c>
      <c r="F1832"/>
      <c r="G1832" s="130" t="str">
        <f t="shared" si="28"/>
        <v>門服三忠</v>
      </c>
    </row>
    <row r="1833" spans="1:7">
      <c r="A1833" t="s">
        <v>2739</v>
      </c>
      <c r="B1833">
        <v>9</v>
      </c>
      <c r="C1833" s="55" t="s">
        <v>1673</v>
      </c>
      <c r="D1833" t="s">
        <v>1674</v>
      </c>
      <c r="E1833" t="s">
        <v>59</v>
      </c>
      <c r="F1833"/>
      <c r="G1833" s="130" t="str">
        <f t="shared" si="28"/>
        <v>門服三忠</v>
      </c>
    </row>
    <row r="1834" spans="1:7">
      <c r="A1834" t="s">
        <v>2739</v>
      </c>
      <c r="B1834">
        <v>10</v>
      </c>
      <c r="C1834" s="55" t="s">
        <v>1711</v>
      </c>
      <c r="D1834" t="s">
        <v>1712</v>
      </c>
      <c r="E1834" t="s">
        <v>59</v>
      </c>
      <c r="F1834"/>
      <c r="G1834" s="130" t="str">
        <f t="shared" si="28"/>
        <v>門服三忠</v>
      </c>
    </row>
    <row r="1835" spans="1:7">
      <c r="A1835" t="s">
        <v>2739</v>
      </c>
      <c r="B1835">
        <v>11</v>
      </c>
      <c r="C1835" s="55" t="s">
        <v>1748</v>
      </c>
      <c r="D1835" t="s">
        <v>1749</v>
      </c>
      <c r="E1835" t="s">
        <v>59</v>
      </c>
      <c r="F1835"/>
      <c r="G1835" s="130" t="str">
        <f t="shared" si="28"/>
        <v>門服三忠</v>
      </c>
    </row>
    <row r="1836" spans="1:7">
      <c r="A1836" t="s">
        <v>2739</v>
      </c>
      <c r="B1836">
        <v>12</v>
      </c>
      <c r="C1836" s="55" t="s">
        <v>1785</v>
      </c>
      <c r="D1836" t="s">
        <v>1786</v>
      </c>
      <c r="E1836" t="s">
        <v>59</v>
      </c>
      <c r="F1836"/>
      <c r="G1836" s="130" t="str">
        <f t="shared" si="28"/>
        <v>門服三忠</v>
      </c>
    </row>
    <row r="1837" spans="1:7">
      <c r="A1837" t="s">
        <v>2739</v>
      </c>
      <c r="B1837">
        <v>13</v>
      </c>
      <c r="C1837" s="55" t="s">
        <v>3477</v>
      </c>
      <c r="D1837" t="s">
        <v>3476</v>
      </c>
      <c r="E1837" t="s">
        <v>59</v>
      </c>
      <c r="F1837"/>
      <c r="G1837" s="130" t="str">
        <f t="shared" si="28"/>
        <v>門服三忠</v>
      </c>
    </row>
    <row r="1838" spans="1:7">
      <c r="A1838" t="s">
        <v>97</v>
      </c>
      <c r="B1838">
        <v>1</v>
      </c>
      <c r="C1838" s="55" t="s">
        <v>1341</v>
      </c>
      <c r="D1838" t="s">
        <v>1342</v>
      </c>
      <c r="E1838" t="s">
        <v>60</v>
      </c>
      <c r="F1838"/>
      <c r="G1838" s="130" t="str">
        <f t="shared" si="28"/>
        <v>體育三忠</v>
      </c>
    </row>
    <row r="1839" spans="1:7">
      <c r="A1839" t="s">
        <v>97</v>
      </c>
      <c r="B1839">
        <v>2</v>
      </c>
      <c r="C1839" s="55" t="s">
        <v>1377</v>
      </c>
      <c r="D1839" t="s">
        <v>1378</v>
      </c>
      <c r="E1839" t="s">
        <v>59</v>
      </c>
      <c r="F1839"/>
      <c r="G1839" s="130" t="str">
        <f t="shared" si="28"/>
        <v>體育三忠</v>
      </c>
    </row>
    <row r="1840" spans="1:7">
      <c r="A1840" t="s">
        <v>97</v>
      </c>
      <c r="B1840">
        <v>3</v>
      </c>
      <c r="C1840" s="55" t="s">
        <v>1414</v>
      </c>
      <c r="D1840" t="s">
        <v>1415</v>
      </c>
      <c r="E1840" t="s">
        <v>59</v>
      </c>
      <c r="F1840"/>
      <c r="G1840" s="130" t="str">
        <f t="shared" si="28"/>
        <v>體育三忠</v>
      </c>
    </row>
    <row r="1841" spans="1:7">
      <c r="A1841" t="s">
        <v>97</v>
      </c>
      <c r="B1841">
        <v>4</v>
      </c>
      <c r="C1841" s="55" t="s">
        <v>1451</v>
      </c>
      <c r="D1841" t="s">
        <v>1452</v>
      </c>
      <c r="E1841" t="s">
        <v>59</v>
      </c>
      <c r="F1841"/>
      <c r="G1841" s="130" t="str">
        <f t="shared" si="28"/>
        <v>體育三忠</v>
      </c>
    </row>
    <row r="1842" spans="1:7">
      <c r="A1842" t="s">
        <v>97</v>
      </c>
      <c r="B1842">
        <v>5</v>
      </c>
      <c r="C1842" s="55" t="s">
        <v>1488</v>
      </c>
      <c r="D1842" t="s">
        <v>1489</v>
      </c>
      <c r="E1842" t="s">
        <v>59</v>
      </c>
      <c r="F1842"/>
      <c r="G1842" s="130" t="str">
        <f t="shared" si="28"/>
        <v>體育三忠</v>
      </c>
    </row>
    <row r="1843" spans="1:7">
      <c r="A1843" t="s">
        <v>97</v>
      </c>
      <c r="B1843">
        <v>6</v>
      </c>
      <c r="C1843" s="55" t="s">
        <v>1525</v>
      </c>
      <c r="D1843" t="s">
        <v>1526</v>
      </c>
      <c r="E1843" t="s">
        <v>59</v>
      </c>
      <c r="F1843"/>
      <c r="G1843" s="130" t="str">
        <f t="shared" si="28"/>
        <v>體育三忠</v>
      </c>
    </row>
    <row r="1844" spans="1:7">
      <c r="A1844" t="s">
        <v>97</v>
      </c>
      <c r="B1844">
        <v>7</v>
      </c>
      <c r="C1844" s="55" t="s">
        <v>1561</v>
      </c>
      <c r="D1844" t="s">
        <v>1562</v>
      </c>
      <c r="E1844" t="s">
        <v>59</v>
      </c>
      <c r="F1844"/>
      <c r="G1844" s="130" t="str">
        <f t="shared" si="28"/>
        <v>體育三忠</v>
      </c>
    </row>
    <row r="1845" spans="1:7">
      <c r="A1845" t="s">
        <v>97</v>
      </c>
      <c r="B1845">
        <v>8</v>
      </c>
      <c r="C1845" s="55" t="s">
        <v>1599</v>
      </c>
      <c r="D1845" t="s">
        <v>1600</v>
      </c>
      <c r="E1845" t="s">
        <v>60</v>
      </c>
      <c r="F1845"/>
      <c r="G1845" s="130" t="str">
        <f t="shared" si="28"/>
        <v>體育三忠</v>
      </c>
    </row>
    <row r="1846" spans="1:7">
      <c r="A1846" t="s">
        <v>97</v>
      </c>
      <c r="B1846">
        <v>9</v>
      </c>
      <c r="C1846" s="55" t="s">
        <v>1637</v>
      </c>
      <c r="D1846" t="s">
        <v>1638</v>
      </c>
      <c r="E1846" t="s">
        <v>59</v>
      </c>
      <c r="F1846"/>
      <c r="G1846" s="130" t="str">
        <f t="shared" si="28"/>
        <v>體育三忠</v>
      </c>
    </row>
    <row r="1847" spans="1:7">
      <c r="A1847" t="s">
        <v>97</v>
      </c>
      <c r="B1847">
        <v>10</v>
      </c>
      <c r="C1847" s="55" t="s">
        <v>1675</v>
      </c>
      <c r="D1847" t="s">
        <v>1676</v>
      </c>
      <c r="E1847" t="s">
        <v>59</v>
      </c>
      <c r="F1847"/>
      <c r="G1847" s="130" t="str">
        <f t="shared" si="28"/>
        <v>體育三忠</v>
      </c>
    </row>
    <row r="1848" spans="1:7">
      <c r="A1848" t="s">
        <v>97</v>
      </c>
      <c r="B1848">
        <v>11</v>
      </c>
      <c r="C1848" s="55" t="s">
        <v>1713</v>
      </c>
      <c r="D1848" t="s">
        <v>1714</v>
      </c>
      <c r="E1848" t="s">
        <v>59</v>
      </c>
      <c r="F1848"/>
      <c r="G1848" s="130" t="str">
        <f t="shared" si="28"/>
        <v>體育三忠</v>
      </c>
    </row>
    <row r="1849" spans="1:7">
      <c r="A1849" t="s">
        <v>97</v>
      </c>
      <c r="B1849">
        <v>12</v>
      </c>
      <c r="C1849" s="55" t="s">
        <v>1750</v>
      </c>
      <c r="D1849" t="s">
        <v>1751</v>
      </c>
      <c r="E1849" t="s">
        <v>59</v>
      </c>
      <c r="F1849"/>
      <c r="G1849" s="130" t="str">
        <f t="shared" si="28"/>
        <v>體育三忠</v>
      </c>
    </row>
    <row r="1850" spans="1:7">
      <c r="A1850" t="s">
        <v>97</v>
      </c>
      <c r="B1850">
        <v>13</v>
      </c>
      <c r="C1850" s="55" t="s">
        <v>1787</v>
      </c>
      <c r="D1850" t="s">
        <v>1788</v>
      </c>
      <c r="E1850" t="s">
        <v>60</v>
      </c>
      <c r="F1850"/>
      <c r="G1850" s="130" t="str">
        <f t="shared" si="28"/>
        <v>體育三忠</v>
      </c>
    </row>
    <row r="1851" spans="1:7">
      <c r="A1851" t="s">
        <v>97</v>
      </c>
      <c r="B1851">
        <v>14</v>
      </c>
      <c r="C1851" s="55" t="s">
        <v>1821</v>
      </c>
      <c r="D1851" t="s">
        <v>1822</v>
      </c>
      <c r="E1851" t="s">
        <v>59</v>
      </c>
      <c r="F1851"/>
      <c r="G1851" s="130" t="str">
        <f t="shared" si="28"/>
        <v>體育三忠</v>
      </c>
    </row>
    <row r="1852" spans="1:7">
      <c r="A1852" t="s">
        <v>97</v>
      </c>
      <c r="B1852">
        <v>15</v>
      </c>
      <c r="C1852" s="55" t="s">
        <v>1856</v>
      </c>
      <c r="D1852" t="s">
        <v>1857</v>
      </c>
      <c r="E1852" t="s">
        <v>60</v>
      </c>
      <c r="F1852"/>
      <c r="G1852" s="130" t="str">
        <f t="shared" si="28"/>
        <v>體育三忠</v>
      </c>
    </row>
    <row r="1853" spans="1:7">
      <c r="A1853" t="s">
        <v>97</v>
      </c>
      <c r="B1853">
        <v>16</v>
      </c>
      <c r="C1853" s="55" t="s">
        <v>1890</v>
      </c>
      <c r="D1853" t="s">
        <v>1891</v>
      </c>
      <c r="E1853" t="s">
        <v>60</v>
      </c>
      <c r="F1853"/>
      <c r="G1853" s="130" t="str">
        <f t="shared" si="28"/>
        <v>體育三忠</v>
      </c>
    </row>
    <row r="1854" spans="1:7">
      <c r="A1854" t="s">
        <v>97</v>
      </c>
      <c r="B1854">
        <v>17</v>
      </c>
      <c r="C1854" s="55" t="s">
        <v>1925</v>
      </c>
      <c r="D1854" t="s">
        <v>1926</v>
      </c>
      <c r="E1854" t="s">
        <v>59</v>
      </c>
      <c r="F1854"/>
      <c r="G1854" s="130" t="str">
        <f t="shared" si="28"/>
        <v>體育三忠</v>
      </c>
    </row>
    <row r="1855" spans="1:7">
      <c r="A1855" t="s">
        <v>97</v>
      </c>
      <c r="B1855">
        <v>18</v>
      </c>
      <c r="C1855" s="55" t="s">
        <v>1960</v>
      </c>
      <c r="D1855" t="s">
        <v>1961</v>
      </c>
      <c r="E1855" t="s">
        <v>59</v>
      </c>
      <c r="F1855"/>
      <c r="G1855" s="130" t="str">
        <f t="shared" si="28"/>
        <v>體育三忠</v>
      </c>
    </row>
    <row r="1856" spans="1:7">
      <c r="A1856" t="s">
        <v>97</v>
      </c>
      <c r="B1856">
        <v>19</v>
      </c>
      <c r="C1856" s="55" t="s">
        <v>2671</v>
      </c>
      <c r="D1856" t="s">
        <v>2666</v>
      </c>
      <c r="E1856" t="s">
        <v>59</v>
      </c>
      <c r="F1856"/>
      <c r="G1856" s="130" t="str">
        <f t="shared" si="28"/>
        <v>體育三忠</v>
      </c>
    </row>
    <row r="1857" spans="1:7">
      <c r="A1857" t="s">
        <v>97</v>
      </c>
      <c r="B1857">
        <v>20</v>
      </c>
      <c r="C1857" s="55" t="s">
        <v>2672</v>
      </c>
      <c r="D1857" t="s">
        <v>2667</v>
      </c>
      <c r="E1857" t="s">
        <v>59</v>
      </c>
      <c r="F1857"/>
      <c r="G1857" s="130" t="str">
        <f t="shared" si="28"/>
        <v>體育三忠</v>
      </c>
    </row>
    <row r="1858" spans="1:7">
      <c r="A1858" t="s">
        <v>97</v>
      </c>
      <c r="B1858">
        <v>21</v>
      </c>
      <c r="C1858" s="55" t="s">
        <v>2673</v>
      </c>
      <c r="D1858" t="s">
        <v>2668</v>
      </c>
      <c r="E1858" t="s">
        <v>59</v>
      </c>
      <c r="F1858"/>
      <c r="G1858" s="130" t="str">
        <f t="shared" si="28"/>
        <v>體育三忠</v>
      </c>
    </row>
    <row r="1859" spans="1:7">
      <c r="A1859" t="s">
        <v>97</v>
      </c>
      <c r="B1859">
        <v>22</v>
      </c>
      <c r="C1859" s="55" t="s">
        <v>2674</v>
      </c>
      <c r="D1859" t="s">
        <v>2669</v>
      </c>
      <c r="E1859" t="s">
        <v>59</v>
      </c>
      <c r="F1859"/>
      <c r="G1859" s="130" t="str">
        <f t="shared" ref="G1859:G1903" si="29">A1859&amp;F1859</f>
        <v>體育三忠</v>
      </c>
    </row>
    <row r="1860" spans="1:7">
      <c r="A1860" t="s">
        <v>97</v>
      </c>
      <c r="B1860">
        <v>23</v>
      </c>
      <c r="C1860" s="55" t="s">
        <v>3372</v>
      </c>
      <c r="D1860" t="s">
        <v>3370</v>
      </c>
      <c r="E1860" t="s">
        <v>59</v>
      </c>
      <c r="F1860"/>
      <c r="G1860" s="130" t="str">
        <f t="shared" si="29"/>
        <v>體育三忠</v>
      </c>
    </row>
    <row r="1861" spans="1:7">
      <c r="A1861" t="s">
        <v>97</v>
      </c>
      <c r="B1861">
        <v>24</v>
      </c>
      <c r="C1861" s="55" t="s">
        <v>3374</v>
      </c>
      <c r="D1861" t="s">
        <v>3371</v>
      </c>
      <c r="E1861" t="s">
        <v>59</v>
      </c>
      <c r="F1861"/>
      <c r="G1861" s="130" t="str">
        <f t="shared" si="29"/>
        <v>體育三忠</v>
      </c>
    </row>
    <row r="1862" spans="1:7">
      <c r="A1862" t="s">
        <v>97</v>
      </c>
      <c r="B1862">
        <v>25</v>
      </c>
      <c r="C1862" s="55" t="s">
        <v>3578</v>
      </c>
      <c r="D1862" t="s">
        <v>3580</v>
      </c>
      <c r="E1862" t="s">
        <v>59</v>
      </c>
      <c r="F1862"/>
      <c r="G1862" s="130" t="str">
        <f t="shared" si="29"/>
        <v>體育三忠</v>
      </c>
    </row>
    <row r="1863" spans="1:7">
      <c r="A1863"/>
      <c r="B1863"/>
      <c r="C1863" s="55"/>
      <c r="D1863"/>
      <c r="E1863"/>
      <c r="F1863"/>
      <c r="G1863" s="130" t="str">
        <f t="shared" si="29"/>
        <v/>
      </c>
    </row>
    <row r="1864" spans="1:7">
      <c r="A1864"/>
      <c r="B1864"/>
      <c r="C1864" s="55"/>
      <c r="D1864"/>
      <c r="E1864"/>
      <c r="F1864"/>
      <c r="G1864" s="130" t="str">
        <f t="shared" si="29"/>
        <v/>
      </c>
    </row>
    <row r="1865" spans="1:7">
      <c r="A1865"/>
      <c r="B1865"/>
      <c r="C1865" s="55"/>
      <c r="D1865"/>
      <c r="E1865"/>
      <c r="F1865"/>
      <c r="G1865" s="130" t="str">
        <f t="shared" si="29"/>
        <v/>
      </c>
    </row>
    <row r="1866" spans="1:7">
      <c r="A1866"/>
      <c r="B1866"/>
      <c r="C1866" s="55"/>
      <c r="D1866"/>
      <c r="E1866"/>
      <c r="F1866"/>
      <c r="G1866" s="130" t="str">
        <f t="shared" si="29"/>
        <v/>
      </c>
    </row>
    <row r="1867" spans="1:7">
      <c r="A1867"/>
      <c r="B1867"/>
      <c r="C1867" s="55"/>
      <c r="D1867"/>
      <c r="E1867"/>
      <c r="F1867"/>
      <c r="G1867" s="130" t="str">
        <f t="shared" si="29"/>
        <v/>
      </c>
    </row>
    <row r="1868" spans="1:7">
      <c r="A1868"/>
      <c r="B1868"/>
      <c r="C1868" s="55"/>
      <c r="D1868"/>
      <c r="E1868"/>
      <c r="F1868"/>
      <c r="G1868" s="130" t="str">
        <f t="shared" si="29"/>
        <v/>
      </c>
    </row>
    <row r="1869" spans="1:7">
      <c r="A1869"/>
      <c r="B1869"/>
      <c r="C1869" s="55"/>
      <c r="D1869"/>
      <c r="E1869"/>
      <c r="F1869"/>
      <c r="G1869" s="130" t="str">
        <f t="shared" si="29"/>
        <v/>
      </c>
    </row>
    <row r="1870" spans="1:7">
      <c r="A1870"/>
      <c r="B1870"/>
      <c r="C1870" s="55"/>
      <c r="D1870"/>
      <c r="E1870"/>
      <c r="F1870"/>
      <c r="G1870" s="130" t="str">
        <f t="shared" si="29"/>
        <v/>
      </c>
    </row>
    <row r="1871" spans="1:7">
      <c r="A1871"/>
      <c r="B1871"/>
      <c r="C1871" s="55"/>
      <c r="D1871"/>
      <c r="E1871"/>
      <c r="F1871"/>
      <c r="G1871" s="130" t="str">
        <f t="shared" si="29"/>
        <v/>
      </c>
    </row>
    <row r="1872" spans="1:7">
      <c r="A1872"/>
      <c r="B1872"/>
      <c r="C1872" s="55"/>
      <c r="D1872"/>
      <c r="E1872"/>
      <c r="F1872"/>
      <c r="G1872" s="130" t="str">
        <f t="shared" si="29"/>
        <v/>
      </c>
    </row>
    <row r="1873" spans="1:7">
      <c r="A1873"/>
      <c r="B1873"/>
      <c r="C1873" s="55"/>
      <c r="D1873"/>
      <c r="E1873"/>
      <c r="F1873"/>
      <c r="G1873" s="130" t="str">
        <f t="shared" si="29"/>
        <v/>
      </c>
    </row>
    <row r="1874" spans="1:7">
      <c r="A1874"/>
      <c r="B1874"/>
      <c r="C1874" s="55"/>
      <c r="D1874"/>
      <c r="E1874"/>
      <c r="F1874"/>
      <c r="G1874" s="130" t="str">
        <f t="shared" si="29"/>
        <v/>
      </c>
    </row>
    <row r="1875" spans="1:7">
      <c r="A1875"/>
      <c r="B1875"/>
      <c r="C1875" s="55"/>
      <c r="D1875"/>
      <c r="E1875"/>
      <c r="F1875"/>
      <c r="G1875" s="130" t="str">
        <f t="shared" si="29"/>
        <v/>
      </c>
    </row>
    <row r="1876" spans="1:7">
      <c r="A1876"/>
      <c r="B1876"/>
      <c r="C1876" s="55"/>
      <c r="D1876"/>
      <c r="E1876"/>
      <c r="F1876"/>
      <c r="G1876" s="130" t="str">
        <f t="shared" si="29"/>
        <v/>
      </c>
    </row>
    <row r="1877" spans="1:7">
      <c r="A1877"/>
      <c r="B1877"/>
      <c r="C1877" s="55"/>
      <c r="D1877"/>
      <c r="E1877"/>
      <c r="F1877"/>
      <c r="G1877" s="130" t="str">
        <f t="shared" si="29"/>
        <v/>
      </c>
    </row>
    <row r="1878" spans="1:7">
      <c r="A1878"/>
      <c r="B1878"/>
      <c r="C1878" s="55"/>
      <c r="D1878"/>
      <c r="E1878"/>
      <c r="F1878"/>
      <c r="G1878" s="130" t="str">
        <f t="shared" si="29"/>
        <v/>
      </c>
    </row>
    <row r="1879" spans="1:7">
      <c r="A1879"/>
      <c r="B1879"/>
      <c r="C1879" s="55"/>
      <c r="D1879"/>
      <c r="E1879"/>
      <c r="F1879"/>
      <c r="G1879" s="130" t="str">
        <f t="shared" si="29"/>
        <v/>
      </c>
    </row>
    <row r="1880" spans="1:7">
      <c r="A1880"/>
      <c r="B1880"/>
      <c r="C1880" s="55"/>
      <c r="D1880"/>
      <c r="E1880"/>
      <c r="F1880"/>
      <c r="G1880" s="130" t="str">
        <f t="shared" si="29"/>
        <v/>
      </c>
    </row>
    <row r="1881" spans="1:7">
      <c r="A1881"/>
      <c r="B1881"/>
      <c r="C1881" s="55"/>
      <c r="D1881"/>
      <c r="E1881"/>
      <c r="F1881"/>
      <c r="G1881" s="130" t="str">
        <f t="shared" si="29"/>
        <v/>
      </c>
    </row>
    <row r="1882" spans="1:7">
      <c r="A1882"/>
      <c r="B1882"/>
      <c r="C1882" s="55"/>
      <c r="D1882"/>
      <c r="E1882"/>
      <c r="F1882"/>
      <c r="G1882" s="130" t="str">
        <f t="shared" si="29"/>
        <v/>
      </c>
    </row>
    <row r="1883" spans="1:7">
      <c r="A1883"/>
      <c r="B1883"/>
      <c r="C1883" s="55"/>
      <c r="D1883"/>
      <c r="E1883"/>
      <c r="F1883"/>
      <c r="G1883" s="130" t="str">
        <f t="shared" si="29"/>
        <v/>
      </c>
    </row>
    <row r="1884" spans="1:7">
      <c r="A1884"/>
      <c r="B1884"/>
      <c r="C1884" s="55"/>
      <c r="D1884"/>
      <c r="E1884"/>
      <c r="F1884"/>
      <c r="G1884" s="130" t="str">
        <f t="shared" si="29"/>
        <v/>
      </c>
    </row>
    <row r="1885" spans="1:7">
      <c r="A1885"/>
      <c r="B1885"/>
      <c r="C1885" s="55"/>
      <c r="D1885"/>
      <c r="E1885"/>
      <c r="F1885"/>
      <c r="G1885" s="130" t="str">
        <f t="shared" si="29"/>
        <v/>
      </c>
    </row>
    <row r="1886" spans="1:7">
      <c r="A1886"/>
      <c r="B1886"/>
      <c r="C1886" s="55"/>
      <c r="D1886"/>
      <c r="E1886"/>
      <c r="F1886"/>
      <c r="G1886" s="130" t="str">
        <f t="shared" si="29"/>
        <v/>
      </c>
    </row>
    <row r="1887" spans="1:7">
      <c r="A1887"/>
      <c r="B1887"/>
      <c r="C1887" s="55"/>
      <c r="D1887"/>
      <c r="E1887"/>
      <c r="F1887"/>
      <c r="G1887" s="130" t="str">
        <f t="shared" si="29"/>
        <v/>
      </c>
    </row>
    <row r="1888" spans="1:7">
      <c r="A1888"/>
      <c r="B1888"/>
      <c r="C1888" s="55"/>
      <c r="D1888"/>
      <c r="E1888"/>
      <c r="F1888"/>
      <c r="G1888" s="130" t="str">
        <f t="shared" si="29"/>
        <v/>
      </c>
    </row>
    <row r="1889" spans="1:7">
      <c r="A1889"/>
      <c r="B1889"/>
      <c r="C1889" s="55"/>
      <c r="D1889"/>
      <c r="E1889"/>
      <c r="F1889"/>
      <c r="G1889" s="130" t="str">
        <f t="shared" si="29"/>
        <v/>
      </c>
    </row>
    <row r="1890" spans="1:7">
      <c r="A1890"/>
      <c r="B1890"/>
      <c r="C1890" s="55"/>
      <c r="D1890"/>
      <c r="E1890"/>
      <c r="F1890"/>
      <c r="G1890" s="130" t="str">
        <f t="shared" si="29"/>
        <v/>
      </c>
    </row>
    <row r="1891" spans="1:7">
      <c r="A1891"/>
      <c r="B1891"/>
      <c r="C1891" s="55"/>
      <c r="D1891"/>
      <c r="E1891"/>
      <c r="F1891"/>
      <c r="G1891" s="130" t="str">
        <f t="shared" si="29"/>
        <v/>
      </c>
    </row>
    <row r="1892" spans="1:7">
      <c r="A1892"/>
      <c r="B1892"/>
      <c r="C1892" s="55"/>
      <c r="D1892"/>
      <c r="E1892"/>
      <c r="F1892"/>
      <c r="G1892" s="130" t="str">
        <f t="shared" si="29"/>
        <v/>
      </c>
    </row>
    <row r="1893" spans="1:7">
      <c r="A1893"/>
      <c r="B1893"/>
      <c r="C1893" s="55"/>
      <c r="D1893"/>
      <c r="E1893"/>
      <c r="F1893"/>
      <c r="G1893" s="130" t="str">
        <f t="shared" si="29"/>
        <v/>
      </c>
    </row>
    <row r="1894" spans="1:7">
      <c r="A1894"/>
      <c r="B1894"/>
      <c r="C1894" s="55"/>
      <c r="D1894"/>
      <c r="E1894"/>
      <c r="F1894"/>
      <c r="G1894" s="130" t="str">
        <f t="shared" si="29"/>
        <v/>
      </c>
    </row>
    <row r="1895" spans="1:7">
      <c r="A1895"/>
      <c r="B1895"/>
      <c r="C1895" s="55"/>
      <c r="D1895"/>
      <c r="E1895"/>
      <c r="F1895"/>
      <c r="G1895" s="130" t="str">
        <f t="shared" si="29"/>
        <v/>
      </c>
    </row>
    <row r="1896" spans="1:7">
      <c r="A1896"/>
      <c r="B1896"/>
      <c r="C1896" s="55"/>
      <c r="D1896"/>
      <c r="E1896"/>
      <c r="F1896"/>
      <c r="G1896" s="130" t="str">
        <f t="shared" si="29"/>
        <v/>
      </c>
    </row>
    <row r="1897" spans="1:7">
      <c r="A1897"/>
      <c r="B1897"/>
      <c r="C1897" s="55"/>
      <c r="D1897"/>
      <c r="E1897"/>
      <c r="F1897"/>
      <c r="G1897" s="130" t="str">
        <f t="shared" si="29"/>
        <v/>
      </c>
    </row>
    <row r="1898" spans="1:7">
      <c r="A1898"/>
      <c r="B1898"/>
      <c r="C1898" s="55"/>
      <c r="D1898"/>
      <c r="E1898"/>
      <c r="F1898"/>
      <c r="G1898" s="130" t="str">
        <f t="shared" si="29"/>
        <v/>
      </c>
    </row>
    <row r="1899" spans="1:7">
      <c r="A1899"/>
      <c r="B1899"/>
      <c r="C1899" s="55"/>
      <c r="D1899"/>
      <c r="E1899"/>
      <c r="F1899"/>
      <c r="G1899" s="130" t="str">
        <f t="shared" si="29"/>
        <v/>
      </c>
    </row>
    <row r="1900" spans="1:7">
      <c r="A1900"/>
      <c r="B1900"/>
      <c r="C1900" s="55"/>
      <c r="D1900"/>
      <c r="E1900"/>
      <c r="F1900"/>
      <c r="G1900" s="130" t="str">
        <f t="shared" si="29"/>
        <v/>
      </c>
    </row>
    <row r="1901" spans="1:7">
      <c r="A1901"/>
      <c r="B1901"/>
      <c r="C1901" s="55"/>
      <c r="D1901"/>
      <c r="E1901"/>
      <c r="F1901"/>
      <c r="G1901" s="130" t="str">
        <f t="shared" si="29"/>
        <v/>
      </c>
    </row>
    <row r="1902" spans="1:7">
      <c r="A1902"/>
      <c r="B1902"/>
      <c r="C1902" s="55"/>
      <c r="D1902"/>
      <c r="E1902"/>
      <c r="F1902"/>
      <c r="G1902" s="130" t="str">
        <f t="shared" si="29"/>
        <v/>
      </c>
    </row>
    <row r="1903" spans="1:7">
      <c r="A1903"/>
      <c r="B1903"/>
      <c r="C1903" s="55"/>
      <c r="D1903"/>
      <c r="E1903"/>
      <c r="F1903"/>
      <c r="G1903" s="130" t="str">
        <f t="shared" si="29"/>
        <v/>
      </c>
    </row>
    <row r="1904" spans="1:7">
      <c r="A1904"/>
      <c r="B1904"/>
      <c r="C1904" s="55"/>
      <c r="D1904"/>
      <c r="E1904"/>
      <c r="F1904"/>
      <c r="G1904" s="130"/>
    </row>
    <row r="1905" spans="1:7">
      <c r="A1905"/>
      <c r="B1905"/>
      <c r="C1905" s="55"/>
      <c r="D1905"/>
      <c r="E1905"/>
      <c r="F1905"/>
      <c r="G1905" s="130"/>
    </row>
    <row r="1906" spans="1:7">
      <c r="A1906"/>
      <c r="B1906"/>
      <c r="C1906" s="55"/>
      <c r="D1906"/>
      <c r="E1906"/>
      <c r="F1906"/>
      <c r="G1906" s="130"/>
    </row>
    <row r="1907" spans="1:7">
      <c r="A1907"/>
      <c r="B1907"/>
      <c r="C1907" s="55"/>
      <c r="D1907"/>
      <c r="E1907"/>
      <c r="F1907"/>
      <c r="G1907" s="130"/>
    </row>
    <row r="1908" spans="1:7">
      <c r="A1908"/>
      <c r="B1908"/>
      <c r="C1908" s="55"/>
      <c r="D1908"/>
      <c r="E1908"/>
      <c r="F1908"/>
      <c r="G1908" s="130"/>
    </row>
    <row r="1909" spans="1:7">
      <c r="A1909"/>
      <c r="B1909"/>
      <c r="C1909" s="55"/>
      <c r="D1909"/>
      <c r="E1909"/>
      <c r="F1909"/>
      <c r="G1909" s="130"/>
    </row>
    <row r="1910" spans="1:7">
      <c r="A1910"/>
      <c r="B1910"/>
      <c r="C1910" s="55"/>
      <c r="D1910"/>
      <c r="E1910"/>
      <c r="F1910"/>
      <c r="G1910" s="130"/>
    </row>
    <row r="1911" spans="1:7">
      <c r="A1911"/>
      <c r="B1911"/>
      <c r="C1911" s="55"/>
      <c r="D1911"/>
      <c r="E1911"/>
      <c r="F1911"/>
      <c r="G1911" s="130"/>
    </row>
    <row r="1912" spans="1:7">
      <c r="A1912"/>
      <c r="B1912"/>
      <c r="C1912" s="55"/>
      <c r="D1912"/>
      <c r="E1912"/>
      <c r="F1912"/>
      <c r="G1912" s="130"/>
    </row>
    <row r="1913" spans="1:7">
      <c r="A1913"/>
      <c r="B1913"/>
      <c r="C1913" s="55"/>
      <c r="D1913"/>
      <c r="E1913"/>
      <c r="F1913"/>
      <c r="G1913" s="130"/>
    </row>
    <row r="1914" spans="1:7">
      <c r="A1914"/>
      <c r="B1914"/>
      <c r="C1914" s="55"/>
      <c r="D1914"/>
      <c r="E1914"/>
      <c r="F1914"/>
      <c r="G1914" s="130"/>
    </row>
    <row r="1915" spans="1:7">
      <c r="A1915"/>
      <c r="B1915"/>
      <c r="C1915" s="55"/>
      <c r="D1915"/>
      <c r="E1915"/>
      <c r="F1915"/>
      <c r="G1915" s="130"/>
    </row>
    <row r="1916" spans="1:7">
      <c r="A1916"/>
      <c r="B1916"/>
      <c r="C1916" s="55"/>
      <c r="D1916"/>
      <c r="E1916"/>
      <c r="F1916"/>
      <c r="G1916" s="130"/>
    </row>
    <row r="1917" spans="1:7">
      <c r="A1917"/>
      <c r="B1917"/>
      <c r="C1917" s="55"/>
      <c r="D1917"/>
      <c r="E1917"/>
      <c r="F1917"/>
      <c r="G1917" s="130"/>
    </row>
    <row r="1918" spans="1:7">
      <c r="A1918"/>
      <c r="B1918"/>
      <c r="C1918" s="55"/>
      <c r="D1918"/>
      <c r="E1918"/>
      <c r="F1918"/>
      <c r="G1918" s="130"/>
    </row>
    <row r="1919" spans="1:7">
      <c r="A1919"/>
      <c r="B1919"/>
      <c r="C1919" s="55"/>
      <c r="D1919"/>
      <c r="E1919"/>
      <c r="F1919"/>
      <c r="G1919" s="130"/>
    </row>
    <row r="1920" spans="1:7">
      <c r="A1920"/>
      <c r="B1920"/>
      <c r="C1920" s="55"/>
      <c r="D1920"/>
      <c r="E1920"/>
      <c r="F1920"/>
      <c r="G1920" s="130"/>
    </row>
    <row r="1921" spans="1:7">
      <c r="A1921"/>
      <c r="B1921"/>
      <c r="C1921" s="55"/>
      <c r="D1921"/>
      <c r="E1921"/>
      <c r="F1921"/>
      <c r="G1921" s="130"/>
    </row>
    <row r="1922" spans="1:7">
      <c r="A1922"/>
      <c r="B1922"/>
      <c r="C1922" s="55"/>
      <c r="D1922"/>
      <c r="E1922"/>
      <c r="F1922"/>
      <c r="G1922" s="130"/>
    </row>
    <row r="1923" spans="1:7">
      <c r="A1923"/>
      <c r="B1923"/>
      <c r="C1923" s="55"/>
      <c r="D1923"/>
      <c r="E1923"/>
      <c r="F1923" s="55"/>
      <c r="G1923" s="130"/>
    </row>
    <row r="1924" spans="1:7">
      <c r="A1924"/>
      <c r="B1924"/>
      <c r="C1924" s="55"/>
      <c r="D1924"/>
      <c r="E1924"/>
      <c r="F1924" s="55"/>
      <c r="G1924" s="130"/>
    </row>
    <row r="1925" spans="1:7">
      <c r="A1925"/>
      <c r="B1925"/>
      <c r="C1925" s="55"/>
      <c r="D1925"/>
      <c r="E1925"/>
      <c r="F1925" s="55"/>
      <c r="G1925" s="130"/>
    </row>
    <row r="1926" spans="1:7">
      <c r="A1926"/>
      <c r="B1926"/>
      <c r="C1926" s="55"/>
      <c r="D1926"/>
      <c r="E1926"/>
      <c r="F1926" s="55"/>
      <c r="G1926" s="130"/>
    </row>
    <row r="1927" spans="1:7">
      <c r="A1927"/>
      <c r="B1927"/>
      <c r="C1927" s="55"/>
      <c r="D1927"/>
      <c r="E1927"/>
      <c r="F1927" s="55"/>
      <c r="G1927" s="130"/>
    </row>
    <row r="1928" spans="1:7">
      <c r="A1928"/>
      <c r="B1928"/>
      <c r="C1928" s="55"/>
      <c r="D1928"/>
      <c r="E1928"/>
      <c r="F1928" s="55"/>
      <c r="G1928" s="130"/>
    </row>
    <row r="1929" spans="1:7">
      <c r="A1929"/>
      <c r="B1929"/>
      <c r="C1929" s="55"/>
      <c r="D1929"/>
      <c r="E1929"/>
      <c r="F1929" s="55"/>
      <c r="G1929" s="130"/>
    </row>
    <row r="1930" spans="1:7">
      <c r="A1930"/>
      <c r="B1930"/>
      <c r="C1930" s="55"/>
      <c r="D1930"/>
      <c r="E1930"/>
      <c r="F1930" s="55"/>
      <c r="G1930" s="130"/>
    </row>
    <row r="1931" spans="1:7">
      <c r="A1931"/>
      <c r="B1931"/>
      <c r="C1931" s="55"/>
      <c r="D1931"/>
      <c r="E1931"/>
      <c r="F1931" s="55"/>
      <c r="G1931" s="130"/>
    </row>
    <row r="1932" spans="1:7">
      <c r="A1932"/>
      <c r="B1932"/>
      <c r="C1932" s="55"/>
      <c r="D1932"/>
      <c r="E1932"/>
      <c r="F1932" s="55"/>
      <c r="G1932" s="130"/>
    </row>
    <row r="1933" spans="1:7">
      <c r="A1933"/>
      <c r="B1933"/>
      <c r="C1933" s="55"/>
      <c r="D1933"/>
      <c r="E1933"/>
      <c r="F1933" s="55"/>
      <c r="G1933" s="130"/>
    </row>
    <row r="1934" spans="1:7">
      <c r="A1934"/>
      <c r="B1934"/>
      <c r="C1934" s="55"/>
      <c r="D1934"/>
      <c r="E1934"/>
      <c r="F1934" s="55"/>
      <c r="G1934" s="130"/>
    </row>
    <row r="1935" spans="1:7">
      <c r="A1935"/>
      <c r="B1935"/>
      <c r="C1935" s="55"/>
      <c r="D1935"/>
      <c r="E1935"/>
      <c r="F1935" s="55"/>
      <c r="G1935" s="130"/>
    </row>
    <row r="1936" spans="1:7">
      <c r="A1936"/>
      <c r="B1936"/>
      <c r="C1936" s="55"/>
      <c r="D1936"/>
      <c r="E1936"/>
      <c r="F1936" s="55"/>
      <c r="G1936" s="130"/>
    </row>
    <row r="1937" spans="1:7">
      <c r="A1937"/>
      <c r="B1937"/>
      <c r="C1937" s="55"/>
      <c r="D1937"/>
      <c r="E1937"/>
      <c r="F1937" s="55"/>
      <c r="G1937" s="130"/>
    </row>
    <row r="1938" spans="1:7">
      <c r="A1938"/>
      <c r="B1938"/>
      <c r="C1938" s="55"/>
      <c r="D1938"/>
      <c r="E1938"/>
      <c r="F1938" s="55"/>
      <c r="G1938" s="130"/>
    </row>
    <row r="1939" spans="1:7">
      <c r="A1939"/>
      <c r="B1939"/>
      <c r="C1939" s="55"/>
      <c r="D1939"/>
      <c r="E1939"/>
      <c r="F1939" s="55"/>
      <c r="G1939" s="130"/>
    </row>
    <row r="1940" spans="1:7">
      <c r="A1940"/>
      <c r="B1940"/>
      <c r="C1940" s="55"/>
      <c r="D1940"/>
      <c r="E1940"/>
      <c r="F1940" s="55"/>
      <c r="G1940" s="130"/>
    </row>
    <row r="1941" spans="1:7">
      <c r="A1941"/>
      <c r="B1941"/>
      <c r="C1941" s="55"/>
      <c r="D1941"/>
      <c r="E1941"/>
      <c r="F1941" s="55"/>
      <c r="G1941" s="130"/>
    </row>
    <row r="1942" spans="1:7">
      <c r="A1942"/>
      <c r="B1942"/>
      <c r="C1942" s="55"/>
      <c r="D1942"/>
      <c r="E1942"/>
      <c r="F1942" s="55"/>
      <c r="G1942" s="130"/>
    </row>
    <row r="1943" spans="1:7">
      <c r="A1943"/>
      <c r="B1943"/>
      <c r="C1943" s="55"/>
      <c r="D1943"/>
      <c r="E1943"/>
      <c r="F1943"/>
      <c r="G1943" s="130"/>
    </row>
    <row r="1944" spans="1:7">
      <c r="A1944"/>
      <c r="B1944"/>
      <c r="C1944" s="55"/>
      <c r="D1944"/>
      <c r="E1944"/>
      <c r="F1944"/>
      <c r="G1944" s="130"/>
    </row>
    <row r="1945" spans="1:7">
      <c r="A1945"/>
      <c r="B1945"/>
      <c r="C1945" s="55"/>
      <c r="D1945"/>
      <c r="E1945"/>
      <c r="F1945"/>
      <c r="G1945" s="130"/>
    </row>
    <row r="1946" spans="1:7">
      <c r="A1946"/>
      <c r="B1946"/>
      <c r="C1946" s="55"/>
      <c r="D1946"/>
      <c r="E1946"/>
      <c r="F1946"/>
      <c r="G1946" s="130"/>
    </row>
    <row r="1947" spans="1:7">
      <c r="A1947"/>
      <c r="B1947"/>
      <c r="C1947" s="55"/>
      <c r="D1947"/>
      <c r="E1947"/>
      <c r="F1947"/>
      <c r="G1947" s="130"/>
    </row>
    <row r="1948" spans="1:7">
      <c r="A1948"/>
      <c r="B1948"/>
      <c r="C1948" s="55"/>
      <c r="D1948"/>
      <c r="E1948"/>
      <c r="F1948"/>
      <c r="G1948" s="130"/>
    </row>
    <row r="1949" spans="1:7">
      <c r="A1949"/>
      <c r="B1949"/>
      <c r="C1949" s="55"/>
      <c r="D1949"/>
      <c r="E1949"/>
      <c r="F1949"/>
      <c r="G1949" s="130"/>
    </row>
    <row r="1950" spans="1:7">
      <c r="A1950"/>
      <c r="B1950"/>
      <c r="C1950" s="55"/>
      <c r="D1950"/>
      <c r="E1950"/>
      <c r="F1950"/>
      <c r="G1950" s="130"/>
    </row>
    <row r="1951" spans="1:7">
      <c r="A1951"/>
      <c r="B1951"/>
      <c r="C1951" s="55"/>
      <c r="D1951"/>
      <c r="E1951"/>
      <c r="F1951"/>
      <c r="G1951" s="130"/>
    </row>
    <row r="1952" spans="1:7">
      <c r="A1952"/>
      <c r="B1952"/>
      <c r="C1952" s="55"/>
      <c r="D1952"/>
      <c r="E1952"/>
      <c r="F1952"/>
      <c r="G1952" s="130"/>
    </row>
    <row r="1953" spans="1:7">
      <c r="A1953"/>
      <c r="B1953"/>
      <c r="C1953" s="55"/>
      <c r="D1953"/>
      <c r="E1953"/>
      <c r="F1953"/>
      <c r="G1953" s="130"/>
    </row>
    <row r="1954" spans="1:7">
      <c r="A1954"/>
      <c r="B1954"/>
      <c r="C1954" s="55"/>
      <c r="D1954"/>
      <c r="E1954"/>
      <c r="F1954"/>
      <c r="G1954" s="130"/>
    </row>
    <row r="1955" spans="1:7">
      <c r="A1955"/>
      <c r="B1955"/>
      <c r="C1955" s="55"/>
      <c r="D1955"/>
      <c r="E1955"/>
      <c r="F1955"/>
      <c r="G1955" s="130"/>
    </row>
    <row r="1956" spans="1:7">
      <c r="A1956"/>
      <c r="B1956"/>
      <c r="C1956" s="55"/>
      <c r="D1956"/>
      <c r="E1956"/>
      <c r="F1956"/>
      <c r="G1956" s="130"/>
    </row>
    <row r="1957" spans="1:7">
      <c r="A1957"/>
      <c r="B1957"/>
      <c r="C1957" s="55"/>
      <c r="D1957"/>
      <c r="E1957"/>
      <c r="F1957"/>
      <c r="G1957" s="130"/>
    </row>
    <row r="1958" spans="1:7">
      <c r="A1958"/>
      <c r="B1958"/>
      <c r="C1958" s="55"/>
      <c r="D1958"/>
      <c r="E1958"/>
      <c r="F1958"/>
      <c r="G1958" s="130"/>
    </row>
    <row r="1959" spans="1:7">
      <c r="A1959"/>
      <c r="B1959"/>
      <c r="C1959" s="55"/>
      <c r="D1959"/>
      <c r="E1959"/>
      <c r="F1959"/>
      <c r="G1959" s="130"/>
    </row>
    <row r="1960" spans="1:7">
      <c r="A1960"/>
      <c r="B1960"/>
      <c r="C1960" s="55"/>
      <c r="D1960"/>
      <c r="E1960"/>
      <c r="F1960"/>
      <c r="G1960" s="130"/>
    </row>
    <row r="1961" spans="1:7">
      <c r="A1961"/>
      <c r="B1961"/>
      <c r="C1961" s="55"/>
      <c r="D1961"/>
      <c r="E1961"/>
      <c r="F1961"/>
      <c r="G1961" s="130"/>
    </row>
    <row r="1962" spans="1:7">
      <c r="A1962"/>
      <c r="B1962"/>
      <c r="C1962" s="55"/>
      <c r="D1962"/>
      <c r="E1962"/>
      <c r="F1962"/>
      <c r="G1962" s="130"/>
    </row>
    <row r="1963" spans="1:7">
      <c r="A1963"/>
      <c r="B1963"/>
      <c r="C1963" s="55"/>
      <c r="D1963"/>
      <c r="E1963"/>
      <c r="F1963"/>
      <c r="G1963" s="130"/>
    </row>
    <row r="1964" spans="1:7">
      <c r="A1964"/>
      <c r="B1964"/>
      <c r="C1964" s="55"/>
      <c r="D1964"/>
      <c r="E1964"/>
      <c r="F1964"/>
      <c r="G1964" s="130"/>
    </row>
    <row r="1965" spans="1:7">
      <c r="A1965"/>
      <c r="B1965"/>
      <c r="C1965" s="55"/>
      <c r="D1965"/>
      <c r="E1965"/>
      <c r="F1965"/>
      <c r="G1965" s="130"/>
    </row>
    <row r="1966" spans="1:7">
      <c r="A1966"/>
      <c r="B1966"/>
      <c r="C1966" s="55"/>
      <c r="D1966"/>
      <c r="E1966"/>
      <c r="F1966"/>
      <c r="G1966" s="130"/>
    </row>
    <row r="1967" spans="1:7">
      <c r="A1967"/>
      <c r="B1967"/>
      <c r="C1967" s="55"/>
      <c r="D1967"/>
      <c r="E1967"/>
      <c r="F1967"/>
      <c r="G1967" s="130"/>
    </row>
    <row r="1968" spans="1:7">
      <c r="A1968"/>
      <c r="B1968"/>
      <c r="C1968" s="55"/>
      <c r="D1968"/>
      <c r="E1968"/>
      <c r="F1968"/>
      <c r="G1968" s="130"/>
    </row>
    <row r="1969" spans="1:7">
      <c r="A1969"/>
      <c r="B1969"/>
      <c r="C1969" s="55"/>
      <c r="D1969"/>
      <c r="E1969"/>
      <c r="F1969"/>
      <c r="G1969" s="130"/>
    </row>
    <row r="1970" spans="1:7">
      <c r="A1970"/>
      <c r="B1970"/>
      <c r="C1970" s="55"/>
      <c r="D1970"/>
      <c r="E1970"/>
      <c r="F1970"/>
      <c r="G1970" s="130"/>
    </row>
    <row r="1971" spans="1:7">
      <c r="A1971"/>
      <c r="B1971"/>
      <c r="C1971" s="55"/>
      <c r="D1971"/>
      <c r="E1971"/>
      <c r="F1971"/>
      <c r="G1971" s="130"/>
    </row>
    <row r="1972" spans="1:7">
      <c r="A1972"/>
      <c r="B1972"/>
      <c r="C1972" s="55"/>
      <c r="D1972"/>
      <c r="E1972"/>
      <c r="F1972"/>
      <c r="G1972" s="130"/>
    </row>
    <row r="1973" spans="1:7">
      <c r="A1973"/>
      <c r="B1973"/>
      <c r="C1973" s="55"/>
      <c r="D1973"/>
      <c r="E1973"/>
      <c r="F1973"/>
      <c r="G1973" s="130"/>
    </row>
    <row r="1974" spans="1:7">
      <c r="A1974"/>
      <c r="B1974"/>
      <c r="C1974" s="55"/>
      <c r="D1974"/>
      <c r="E1974"/>
      <c r="F1974"/>
      <c r="G1974" s="130"/>
    </row>
    <row r="1975" spans="1:7">
      <c r="A1975"/>
      <c r="B1975"/>
      <c r="C1975" s="55"/>
      <c r="D1975"/>
      <c r="E1975"/>
      <c r="F1975"/>
      <c r="G1975" s="130"/>
    </row>
    <row r="1976" spans="1:7">
      <c r="A1976"/>
      <c r="B1976"/>
      <c r="C1976" s="55"/>
      <c r="D1976"/>
      <c r="E1976"/>
      <c r="F1976"/>
      <c r="G1976" s="130"/>
    </row>
    <row r="1977" spans="1:7">
      <c r="A1977"/>
      <c r="B1977"/>
      <c r="C1977" s="55"/>
      <c r="D1977"/>
      <c r="E1977"/>
      <c r="F1977"/>
      <c r="G1977" s="130"/>
    </row>
    <row r="1978" spans="1:7">
      <c r="A1978"/>
      <c r="B1978"/>
      <c r="C1978" s="55"/>
      <c r="D1978"/>
      <c r="E1978"/>
      <c r="F1978"/>
      <c r="G1978" s="130"/>
    </row>
    <row r="1979" spans="1:7">
      <c r="A1979"/>
      <c r="B1979"/>
      <c r="C1979" s="55"/>
      <c r="D1979"/>
      <c r="E1979"/>
      <c r="F1979"/>
      <c r="G1979" s="130"/>
    </row>
    <row r="1980" spans="1:7">
      <c r="A1980"/>
      <c r="B1980"/>
      <c r="C1980" s="55"/>
      <c r="D1980"/>
      <c r="E1980"/>
      <c r="F1980"/>
      <c r="G1980" s="130"/>
    </row>
    <row r="1981" spans="1:7">
      <c r="A1981"/>
      <c r="B1981"/>
      <c r="C1981" s="55"/>
      <c r="D1981"/>
      <c r="E1981"/>
      <c r="F1981"/>
      <c r="G1981" s="130"/>
    </row>
    <row r="1982" spans="1:7">
      <c r="A1982"/>
      <c r="B1982"/>
      <c r="C1982" s="55"/>
      <c r="D1982"/>
      <c r="E1982"/>
      <c r="F1982"/>
      <c r="G1982" s="130"/>
    </row>
    <row r="1983" spans="1:7">
      <c r="A1983"/>
      <c r="B1983"/>
      <c r="C1983" s="55"/>
      <c r="D1983"/>
      <c r="E1983"/>
      <c r="F1983"/>
      <c r="G1983" s="130"/>
    </row>
    <row r="1984" spans="1:7">
      <c r="A1984"/>
      <c r="B1984"/>
      <c r="C1984" s="55"/>
      <c r="D1984"/>
      <c r="E1984"/>
      <c r="F1984"/>
      <c r="G1984" s="130"/>
    </row>
    <row r="1985" spans="1:7">
      <c r="A1985"/>
      <c r="B1985"/>
      <c r="C1985" s="55"/>
      <c r="D1985"/>
      <c r="E1985"/>
      <c r="F1985"/>
      <c r="G1985" s="130"/>
    </row>
    <row r="1986" spans="1:7">
      <c r="A1986"/>
      <c r="B1986"/>
      <c r="C1986" s="55"/>
      <c r="D1986"/>
      <c r="E1986"/>
      <c r="F1986"/>
      <c r="G1986" s="130"/>
    </row>
    <row r="1987" spans="1:7">
      <c r="A1987"/>
      <c r="B1987"/>
      <c r="C1987" s="55"/>
      <c r="D1987"/>
      <c r="E1987"/>
      <c r="F1987"/>
      <c r="G1987" s="130"/>
    </row>
    <row r="1988" spans="1:7">
      <c r="A1988"/>
      <c r="B1988"/>
      <c r="C1988" s="55"/>
      <c r="D1988"/>
      <c r="E1988"/>
      <c r="F1988"/>
      <c r="G1988" s="130"/>
    </row>
    <row r="1989" spans="1:7">
      <c r="A1989"/>
      <c r="B1989"/>
      <c r="C1989" s="55"/>
      <c r="D1989"/>
      <c r="E1989"/>
      <c r="F1989"/>
      <c r="G1989" s="130"/>
    </row>
    <row r="1990" spans="1:7">
      <c r="A1990"/>
      <c r="B1990"/>
      <c r="C1990" s="55"/>
      <c r="D1990"/>
      <c r="E1990"/>
      <c r="F1990"/>
      <c r="G1990" s="130"/>
    </row>
    <row r="1991" spans="1:7">
      <c r="A1991"/>
      <c r="B1991"/>
      <c r="C1991" s="55"/>
      <c r="D1991"/>
      <c r="E1991"/>
      <c r="F1991"/>
      <c r="G1991" s="130"/>
    </row>
    <row r="1992" spans="1:7">
      <c r="A1992"/>
      <c r="B1992"/>
      <c r="C1992" s="55"/>
      <c r="D1992"/>
      <c r="E1992"/>
      <c r="F1992"/>
      <c r="G1992" s="130"/>
    </row>
    <row r="1993" spans="1:7">
      <c r="A1993"/>
      <c r="B1993"/>
      <c r="C1993" s="55"/>
      <c r="D1993"/>
      <c r="E1993"/>
      <c r="F1993"/>
      <c r="G1993" s="130"/>
    </row>
    <row r="1994" spans="1:7">
      <c r="A1994"/>
      <c r="B1994"/>
      <c r="C1994" s="55"/>
      <c r="D1994"/>
      <c r="E1994"/>
      <c r="F1994"/>
      <c r="G1994" s="130"/>
    </row>
    <row r="1995" spans="1:7">
      <c r="A1995"/>
      <c r="B1995"/>
      <c r="C1995" s="55"/>
      <c r="D1995"/>
      <c r="E1995"/>
      <c r="F1995"/>
      <c r="G1995" s="130"/>
    </row>
    <row r="1996" spans="1:7">
      <c r="A1996"/>
      <c r="B1996"/>
      <c r="C1996" s="55"/>
      <c r="D1996"/>
      <c r="E1996"/>
      <c r="F1996"/>
      <c r="G1996" s="130"/>
    </row>
    <row r="1997" spans="1:7">
      <c r="A1997"/>
      <c r="B1997"/>
      <c r="C1997" s="55"/>
      <c r="D1997"/>
      <c r="E1997"/>
      <c r="F1997"/>
      <c r="G1997" s="130"/>
    </row>
    <row r="1998" spans="1:7">
      <c r="A1998"/>
      <c r="B1998"/>
      <c r="C1998" s="55"/>
      <c r="D1998"/>
      <c r="E1998"/>
      <c r="F1998"/>
      <c r="G1998" s="130"/>
    </row>
    <row r="1999" spans="1:7">
      <c r="A1999"/>
      <c r="B1999"/>
      <c r="C1999" s="55"/>
      <c r="D1999"/>
      <c r="E1999"/>
      <c r="F1999"/>
      <c r="G1999" s="130"/>
    </row>
    <row r="2000" spans="1:7">
      <c r="A2000"/>
      <c r="B2000"/>
      <c r="C2000" s="55"/>
      <c r="D2000"/>
      <c r="E2000"/>
      <c r="F2000"/>
      <c r="G2000" s="130"/>
    </row>
    <row r="2001" spans="1:7">
      <c r="A2001"/>
      <c r="B2001"/>
      <c r="C2001" s="55"/>
      <c r="D2001"/>
      <c r="E2001"/>
      <c r="F2001"/>
      <c r="G2001" s="130"/>
    </row>
    <row r="2002" spans="1:7">
      <c r="A2002"/>
      <c r="B2002"/>
      <c r="C2002" s="55"/>
      <c r="D2002"/>
      <c r="E2002"/>
      <c r="F2002"/>
      <c r="G2002" s="130"/>
    </row>
    <row r="2003" spans="1:7">
      <c r="A2003"/>
      <c r="B2003"/>
      <c r="C2003" s="55"/>
      <c r="D2003"/>
      <c r="E2003"/>
      <c r="F2003"/>
      <c r="G2003" s="130"/>
    </row>
    <row r="2004" spans="1:7">
      <c r="A2004"/>
      <c r="B2004"/>
      <c r="C2004" s="55"/>
      <c r="D2004"/>
      <c r="E2004"/>
      <c r="F2004"/>
      <c r="G2004" s="130"/>
    </row>
    <row r="2005" spans="1:7">
      <c r="A2005"/>
      <c r="B2005"/>
      <c r="C2005" s="55"/>
      <c r="D2005"/>
      <c r="E2005"/>
      <c r="F2005"/>
      <c r="G2005" s="130"/>
    </row>
    <row r="2006" spans="1:7">
      <c r="A2006"/>
      <c r="B2006"/>
      <c r="C2006" s="55"/>
      <c r="D2006"/>
      <c r="E2006"/>
      <c r="F2006"/>
      <c r="G2006" s="130"/>
    </row>
    <row r="2007" spans="1:7">
      <c r="A2007"/>
      <c r="B2007"/>
      <c r="C2007" s="55"/>
      <c r="D2007"/>
      <c r="E2007"/>
      <c r="F2007"/>
      <c r="G2007" s="130"/>
    </row>
    <row r="2008" spans="1:7">
      <c r="A2008"/>
      <c r="B2008"/>
      <c r="C2008" s="55"/>
      <c r="D2008"/>
      <c r="E2008"/>
      <c r="F2008"/>
      <c r="G2008" s="130"/>
    </row>
    <row r="2009" spans="1:7">
      <c r="A2009"/>
      <c r="B2009"/>
      <c r="C2009" s="55"/>
      <c r="D2009"/>
      <c r="E2009"/>
      <c r="F2009"/>
      <c r="G2009" s="130"/>
    </row>
    <row r="2010" spans="1:7">
      <c r="A2010"/>
      <c r="B2010"/>
      <c r="C2010" s="55"/>
      <c r="D2010"/>
      <c r="E2010"/>
      <c r="F2010"/>
      <c r="G2010" s="130"/>
    </row>
    <row r="2011" spans="1:7">
      <c r="A2011"/>
      <c r="B2011"/>
      <c r="C2011" s="55"/>
      <c r="D2011"/>
      <c r="E2011"/>
      <c r="F2011"/>
      <c r="G2011" s="130"/>
    </row>
    <row r="2012" spans="1:7">
      <c r="A2012"/>
      <c r="B2012"/>
      <c r="C2012" s="55"/>
      <c r="D2012"/>
      <c r="E2012"/>
      <c r="F2012"/>
      <c r="G2012" s="130"/>
    </row>
    <row r="2013" spans="1:7">
      <c r="A2013"/>
      <c r="B2013"/>
      <c r="C2013" s="55"/>
      <c r="D2013"/>
      <c r="E2013"/>
      <c r="F2013"/>
      <c r="G2013" s="130"/>
    </row>
    <row r="2014" spans="1:7">
      <c r="A2014"/>
      <c r="B2014"/>
      <c r="C2014" s="55"/>
      <c r="D2014"/>
      <c r="E2014"/>
      <c r="F2014"/>
      <c r="G2014" s="130"/>
    </row>
    <row r="2015" spans="1:7">
      <c r="A2015"/>
      <c r="B2015"/>
      <c r="C2015" s="55"/>
      <c r="D2015"/>
      <c r="E2015"/>
      <c r="F2015"/>
      <c r="G2015" s="130"/>
    </row>
    <row r="2016" spans="1:7">
      <c r="A2016"/>
      <c r="B2016"/>
      <c r="C2016" s="55"/>
      <c r="D2016"/>
      <c r="E2016"/>
      <c r="F2016"/>
      <c r="G2016" s="130"/>
    </row>
    <row r="2017" spans="1:7">
      <c r="A2017"/>
      <c r="B2017"/>
      <c r="C2017" s="55"/>
      <c r="D2017"/>
      <c r="E2017"/>
      <c r="F2017"/>
      <c r="G2017" s="130"/>
    </row>
    <row r="2018" spans="1:7">
      <c r="A2018"/>
      <c r="B2018"/>
      <c r="C2018" s="55"/>
      <c r="D2018"/>
      <c r="E2018"/>
      <c r="F2018"/>
      <c r="G2018" s="130"/>
    </row>
    <row r="2019" spans="1:7">
      <c r="A2019"/>
      <c r="B2019"/>
      <c r="C2019" s="55"/>
      <c r="D2019"/>
      <c r="E2019"/>
      <c r="F2019"/>
      <c r="G2019" s="130"/>
    </row>
    <row r="2020" spans="1:7">
      <c r="A2020"/>
      <c r="B2020"/>
      <c r="C2020" s="55"/>
      <c r="D2020"/>
      <c r="E2020"/>
      <c r="F2020"/>
      <c r="G2020" s="130"/>
    </row>
    <row r="2021" spans="1:7">
      <c r="A2021"/>
      <c r="B2021"/>
      <c r="C2021" s="55"/>
      <c r="D2021"/>
      <c r="E2021"/>
      <c r="F2021"/>
      <c r="G2021" s="130"/>
    </row>
    <row r="2022" spans="1:7">
      <c r="A2022"/>
      <c r="B2022"/>
      <c r="C2022" s="55"/>
      <c r="D2022"/>
      <c r="E2022"/>
      <c r="F2022"/>
      <c r="G2022" s="130"/>
    </row>
    <row r="2023" spans="1:7">
      <c r="A2023"/>
      <c r="B2023"/>
      <c r="C2023" s="55"/>
      <c r="D2023"/>
      <c r="E2023"/>
      <c r="F2023"/>
      <c r="G2023" s="130"/>
    </row>
    <row r="2024" spans="1:7">
      <c r="A2024"/>
      <c r="B2024"/>
      <c r="C2024" s="55"/>
      <c r="D2024"/>
      <c r="E2024"/>
      <c r="F2024"/>
      <c r="G2024" s="130"/>
    </row>
    <row r="2025" spans="1:7">
      <c r="A2025"/>
      <c r="B2025"/>
      <c r="C2025" s="55"/>
      <c r="D2025"/>
      <c r="E2025"/>
      <c r="F2025"/>
      <c r="G2025" s="130"/>
    </row>
    <row r="2026" spans="1:7">
      <c r="A2026"/>
      <c r="B2026"/>
      <c r="C2026" s="55"/>
      <c r="D2026"/>
      <c r="E2026"/>
      <c r="F2026"/>
      <c r="G2026" s="130"/>
    </row>
    <row r="2027" spans="1:7">
      <c r="A2027"/>
      <c r="B2027"/>
      <c r="C2027" s="55"/>
      <c r="D2027"/>
      <c r="E2027"/>
      <c r="F2027"/>
      <c r="G2027" s="130"/>
    </row>
    <row r="2028" spans="1:7">
      <c r="A2028"/>
      <c r="B2028"/>
      <c r="C2028" s="55"/>
      <c r="D2028"/>
      <c r="E2028"/>
      <c r="F2028"/>
      <c r="G2028" s="130"/>
    </row>
    <row r="2029" spans="1:7">
      <c r="A2029"/>
      <c r="B2029"/>
      <c r="C2029" s="55"/>
      <c r="D2029"/>
      <c r="E2029"/>
      <c r="F2029"/>
      <c r="G2029" s="130"/>
    </row>
    <row r="2030" spans="1:7">
      <c r="A2030"/>
      <c r="B2030"/>
      <c r="C2030" s="55"/>
      <c r="D2030"/>
      <c r="E2030"/>
      <c r="F2030"/>
      <c r="G2030" s="130"/>
    </row>
    <row r="2031" spans="1:7">
      <c r="A2031"/>
      <c r="B2031"/>
      <c r="C2031" s="55"/>
      <c r="D2031"/>
      <c r="E2031"/>
      <c r="F2031"/>
      <c r="G2031" s="130"/>
    </row>
    <row r="2032" spans="1:7">
      <c r="A2032"/>
      <c r="B2032"/>
      <c r="C2032" s="55"/>
      <c r="D2032"/>
      <c r="E2032"/>
      <c r="F2032"/>
      <c r="G2032" s="130"/>
    </row>
    <row r="2033" spans="1:7">
      <c r="A2033"/>
      <c r="B2033"/>
      <c r="C2033" s="55"/>
      <c r="D2033"/>
      <c r="E2033"/>
      <c r="F2033"/>
      <c r="G2033" s="130"/>
    </row>
    <row r="2034" spans="1:7">
      <c r="A2034"/>
      <c r="B2034"/>
      <c r="C2034" s="55"/>
      <c r="D2034"/>
      <c r="E2034"/>
      <c r="F2034"/>
      <c r="G2034" s="130"/>
    </row>
    <row r="2035" spans="1:7">
      <c r="A2035"/>
      <c r="B2035"/>
      <c r="C2035" s="55"/>
      <c r="D2035"/>
      <c r="E2035"/>
      <c r="F2035"/>
      <c r="G2035" s="130"/>
    </row>
    <row r="2036" spans="1:7">
      <c r="A2036"/>
      <c r="B2036"/>
      <c r="C2036" s="55"/>
      <c r="D2036"/>
      <c r="E2036"/>
      <c r="F2036"/>
      <c r="G2036" s="130"/>
    </row>
    <row r="2037" spans="1:7">
      <c r="A2037"/>
      <c r="B2037"/>
      <c r="C2037" s="55"/>
      <c r="D2037"/>
      <c r="E2037"/>
      <c r="F2037"/>
      <c r="G2037" s="130"/>
    </row>
    <row r="2038" spans="1:7">
      <c r="A2038"/>
      <c r="B2038"/>
      <c r="C2038" s="55"/>
      <c r="D2038"/>
      <c r="E2038"/>
      <c r="F2038"/>
      <c r="G2038" s="130"/>
    </row>
    <row r="2039" spans="1:7">
      <c r="A2039"/>
      <c r="B2039"/>
      <c r="C2039" s="55"/>
      <c r="D2039"/>
      <c r="E2039"/>
      <c r="F2039"/>
      <c r="G2039" s="130"/>
    </row>
    <row r="2040" spans="1:7">
      <c r="A2040"/>
      <c r="B2040"/>
      <c r="C2040" s="55"/>
      <c r="D2040"/>
      <c r="E2040"/>
      <c r="F2040"/>
      <c r="G2040" s="130"/>
    </row>
    <row r="2041" spans="1:7">
      <c r="A2041"/>
      <c r="B2041"/>
      <c r="C2041" s="55"/>
      <c r="D2041"/>
      <c r="E2041"/>
      <c r="F2041"/>
      <c r="G2041" s="130"/>
    </row>
    <row r="2042" spans="1:7">
      <c r="A2042"/>
      <c r="B2042"/>
      <c r="C2042" s="55"/>
      <c r="D2042"/>
      <c r="E2042"/>
      <c r="F2042"/>
      <c r="G2042" s="130"/>
    </row>
    <row r="2043" spans="1:7">
      <c r="A2043"/>
      <c r="B2043"/>
      <c r="C2043" s="55"/>
      <c r="D2043"/>
      <c r="E2043"/>
      <c r="F2043"/>
      <c r="G2043" s="130"/>
    </row>
    <row r="2044" spans="1:7">
      <c r="A2044"/>
      <c r="B2044"/>
      <c r="C2044" s="55"/>
      <c r="D2044"/>
      <c r="E2044"/>
      <c r="F2044"/>
      <c r="G2044" s="130"/>
    </row>
    <row r="2045" spans="1:7">
      <c r="A2045"/>
      <c r="B2045"/>
      <c r="C2045" s="55"/>
      <c r="D2045"/>
      <c r="E2045"/>
      <c r="F2045"/>
      <c r="G2045" s="130"/>
    </row>
    <row r="2046" spans="1:7">
      <c r="A2046"/>
      <c r="B2046"/>
      <c r="C2046" s="55"/>
      <c r="D2046"/>
      <c r="E2046"/>
      <c r="F2046"/>
      <c r="G2046" s="130"/>
    </row>
    <row r="2047" spans="1:7">
      <c r="A2047"/>
      <c r="B2047"/>
      <c r="C2047" s="55"/>
      <c r="D2047"/>
      <c r="E2047"/>
      <c r="F2047"/>
      <c r="G2047" s="130"/>
    </row>
    <row r="2048" spans="1:7">
      <c r="A2048"/>
      <c r="B2048"/>
      <c r="C2048" s="55"/>
      <c r="D2048"/>
      <c r="E2048"/>
      <c r="F2048"/>
      <c r="G2048" s="130"/>
    </row>
    <row r="2049" spans="1:7">
      <c r="A2049"/>
      <c r="B2049"/>
      <c r="C2049" s="55"/>
      <c r="D2049"/>
      <c r="E2049"/>
      <c r="F2049"/>
      <c r="G2049" s="130"/>
    </row>
    <row r="2050" spans="1:7">
      <c r="A2050" s="134"/>
      <c r="B2050" s="134"/>
      <c r="C2050" s="133"/>
      <c r="D2050" s="134"/>
      <c r="E2050" s="134"/>
      <c r="F2050" s="134"/>
      <c r="G2050" s="130"/>
    </row>
    <row r="2051" spans="1:7">
      <c r="A2051" s="134"/>
      <c r="B2051" s="134"/>
      <c r="C2051" s="134"/>
      <c r="D2051" s="134"/>
      <c r="E2051" s="134"/>
      <c r="F2051" s="134"/>
      <c r="G2051" s="130"/>
    </row>
    <row r="2052" spans="1:7">
      <c r="A2052" s="134"/>
      <c r="B2052" s="134"/>
      <c r="C2052" s="133"/>
      <c r="D2052" s="134"/>
      <c r="E2052" s="134"/>
      <c r="F2052" s="134"/>
      <c r="G2052" s="130"/>
    </row>
    <row r="2053" spans="1:7">
      <c r="A2053" s="134"/>
      <c r="B2053" s="134"/>
      <c r="C2053" s="133"/>
      <c r="D2053" s="134"/>
      <c r="E2053" s="134"/>
      <c r="F2053" s="134"/>
      <c r="G2053" s="130"/>
    </row>
    <row r="2054" spans="1:7">
      <c r="A2054" s="134"/>
      <c r="B2054" s="134"/>
      <c r="C2054" s="133"/>
      <c r="D2054" s="134"/>
      <c r="E2054" s="134"/>
      <c r="F2054" s="134"/>
      <c r="G2054" s="130"/>
    </row>
    <row r="2055" spans="1:7">
      <c r="A2055" s="134"/>
      <c r="B2055" s="134"/>
      <c r="C2055" s="133"/>
      <c r="D2055" s="134"/>
      <c r="E2055" s="134"/>
      <c r="F2055" s="134"/>
      <c r="G2055" s="130"/>
    </row>
    <row r="2056" spans="1:7">
      <c r="A2056" s="134"/>
      <c r="B2056" s="134"/>
      <c r="C2056" s="133"/>
      <c r="D2056" s="134"/>
      <c r="E2056" s="134"/>
      <c r="F2056" s="134"/>
      <c r="G2056" s="130"/>
    </row>
    <row r="2057" spans="1:7">
      <c r="A2057" s="134"/>
      <c r="B2057" s="134"/>
      <c r="C2057" s="133"/>
      <c r="D2057" s="134"/>
      <c r="E2057" s="134"/>
      <c r="F2057" s="134"/>
      <c r="G2057" s="130"/>
    </row>
    <row r="2058" spans="1:7">
      <c r="A2058" s="134"/>
      <c r="B2058" s="134"/>
      <c r="C2058" s="133"/>
      <c r="D2058" s="134"/>
      <c r="E2058" s="134"/>
      <c r="F2058" s="134"/>
      <c r="G2058" s="130"/>
    </row>
    <row r="2059" spans="1:7">
      <c r="A2059" s="134"/>
      <c r="B2059" s="134"/>
      <c r="C2059" s="133"/>
      <c r="D2059" s="134"/>
      <c r="E2059" s="134"/>
      <c r="F2059" s="134"/>
      <c r="G2059" s="130"/>
    </row>
    <row r="2060" spans="1:7">
      <c r="A2060" s="134"/>
      <c r="B2060" s="134"/>
      <c r="C2060" s="133"/>
      <c r="D2060" s="134"/>
      <c r="E2060" s="134"/>
      <c r="F2060" s="134"/>
      <c r="G2060" s="130"/>
    </row>
    <row r="2061" spans="1:7">
      <c r="A2061" s="134"/>
      <c r="B2061" s="134"/>
      <c r="C2061" s="133"/>
      <c r="D2061" s="134"/>
      <c r="E2061" s="134"/>
      <c r="F2061" s="134"/>
      <c r="G2061" s="130"/>
    </row>
    <row r="2062" spans="1:7">
      <c r="A2062" s="134"/>
      <c r="B2062" s="134"/>
      <c r="C2062" s="133"/>
      <c r="D2062" s="134"/>
      <c r="E2062" s="134"/>
      <c r="F2062" s="134"/>
      <c r="G2062" s="130"/>
    </row>
    <row r="2063" spans="1:7">
      <c r="A2063" s="134"/>
      <c r="B2063" s="134"/>
      <c r="C2063" s="133"/>
      <c r="D2063" s="134"/>
      <c r="E2063" s="134"/>
      <c r="F2063" s="134"/>
      <c r="G2063" s="130"/>
    </row>
    <row r="2064" spans="1:7">
      <c r="A2064" s="134"/>
      <c r="B2064" s="134"/>
      <c r="C2064" s="133"/>
      <c r="D2064" s="134"/>
      <c r="E2064" s="134"/>
      <c r="F2064" s="134"/>
      <c r="G2064" s="130"/>
    </row>
    <row r="2065" spans="1:7">
      <c r="A2065" s="134"/>
      <c r="B2065" s="134"/>
      <c r="C2065" s="133"/>
      <c r="D2065" s="134"/>
      <c r="E2065" s="134"/>
      <c r="F2065" s="134"/>
      <c r="G2065" s="130"/>
    </row>
    <row r="2066" spans="1:7">
      <c r="A2066" s="134"/>
      <c r="B2066" s="134"/>
      <c r="C2066" s="133"/>
      <c r="D2066" s="134"/>
      <c r="E2066" s="134"/>
      <c r="F2066" s="134"/>
      <c r="G2066" s="130"/>
    </row>
    <row r="2067" spans="1:7">
      <c r="A2067" s="134"/>
      <c r="B2067" s="134"/>
      <c r="C2067" s="133"/>
      <c r="D2067" s="134"/>
      <c r="E2067" s="134"/>
      <c r="F2067" s="134"/>
      <c r="G2067" s="130"/>
    </row>
    <row r="2068" spans="1:7">
      <c r="A2068" s="134"/>
      <c r="B2068" s="134"/>
      <c r="C2068" s="133"/>
      <c r="D2068" s="134"/>
      <c r="E2068" s="134"/>
      <c r="F2068" s="134"/>
      <c r="G2068" s="130"/>
    </row>
    <row r="2069" spans="1:7">
      <c r="A2069" s="134"/>
      <c r="B2069" s="134"/>
      <c r="C2069" s="133"/>
      <c r="D2069" s="134"/>
      <c r="E2069" s="134"/>
      <c r="F2069" s="134"/>
      <c r="G2069" s="130"/>
    </row>
    <row r="2070" spans="1:7">
      <c r="A2070" s="134"/>
      <c r="B2070" s="134"/>
      <c r="C2070" s="133"/>
      <c r="D2070" s="134"/>
      <c r="E2070" s="134"/>
      <c r="F2070" s="134"/>
      <c r="G2070" s="130"/>
    </row>
    <row r="2071" spans="1:7">
      <c r="A2071" s="134"/>
      <c r="B2071" s="134"/>
      <c r="C2071" s="133"/>
      <c r="D2071" s="134"/>
      <c r="E2071" s="134"/>
      <c r="F2071" s="134"/>
      <c r="G2071" s="130"/>
    </row>
    <row r="2072" spans="1:7">
      <c r="A2072" s="134"/>
      <c r="B2072" s="134"/>
      <c r="C2072" s="133"/>
      <c r="D2072" s="134"/>
      <c r="E2072" s="134"/>
      <c r="F2072" s="134"/>
      <c r="G2072" s="130"/>
    </row>
    <row r="2073" spans="1:7">
      <c r="A2073" s="134"/>
      <c r="B2073" s="134"/>
      <c r="C2073" s="133"/>
      <c r="D2073" s="134"/>
      <c r="E2073" s="134"/>
      <c r="F2073" s="134"/>
      <c r="G2073" s="130"/>
    </row>
    <row r="2074" spans="1:7">
      <c r="A2074" s="134"/>
      <c r="B2074" s="134"/>
      <c r="C2074" s="133"/>
      <c r="D2074" s="134"/>
      <c r="E2074" s="134"/>
      <c r="F2074" s="134"/>
      <c r="G2074" s="130"/>
    </row>
    <row r="2075" spans="1:7">
      <c r="A2075" s="134"/>
      <c r="B2075" s="134"/>
      <c r="C2075" s="133"/>
      <c r="D2075" s="134"/>
      <c r="E2075" s="134"/>
      <c r="F2075" s="134"/>
      <c r="G2075" s="130"/>
    </row>
    <row r="2076" spans="1:7">
      <c r="A2076" s="134"/>
      <c r="B2076" s="134"/>
      <c r="C2076" s="133"/>
      <c r="D2076" s="134"/>
      <c r="E2076" s="134"/>
      <c r="F2076" s="134"/>
      <c r="G2076" s="130"/>
    </row>
    <row r="2077" spans="1:7">
      <c r="A2077" s="134"/>
      <c r="B2077" s="134"/>
      <c r="C2077" s="133"/>
      <c r="D2077" s="134"/>
      <c r="E2077" s="134"/>
      <c r="F2077" s="134"/>
      <c r="G2077" s="130"/>
    </row>
    <row r="2078" spans="1:7">
      <c r="A2078" s="134"/>
      <c r="B2078" s="134"/>
      <c r="C2078" s="133"/>
      <c r="D2078" s="134"/>
      <c r="E2078" s="134"/>
      <c r="F2078" s="134"/>
      <c r="G2078" s="130"/>
    </row>
    <row r="2079" spans="1:7">
      <c r="A2079" s="134"/>
      <c r="B2079" s="134"/>
      <c r="C2079" s="133"/>
      <c r="D2079" s="134"/>
      <c r="E2079" s="134"/>
      <c r="F2079" s="134"/>
      <c r="G2079" s="130"/>
    </row>
    <row r="2080" spans="1:7">
      <c r="A2080" s="134"/>
      <c r="B2080" s="134"/>
      <c r="C2080" s="133"/>
      <c r="D2080" s="134"/>
      <c r="E2080" s="134"/>
      <c r="F2080" s="134"/>
      <c r="G2080" s="130"/>
    </row>
    <row r="2081" spans="1:7">
      <c r="A2081" s="134"/>
      <c r="B2081" s="134"/>
      <c r="C2081" s="133"/>
      <c r="D2081" s="134"/>
      <c r="E2081" s="134"/>
      <c r="F2081" s="134"/>
      <c r="G2081" s="130"/>
    </row>
    <row r="2082" spans="1:7">
      <c r="A2082" s="134"/>
      <c r="B2082" s="134"/>
      <c r="C2082" s="133"/>
      <c r="D2082" s="134"/>
      <c r="E2082" s="134"/>
      <c r="F2082" s="134"/>
      <c r="G2082" s="130"/>
    </row>
    <row r="2083" spans="1:7">
      <c r="A2083" s="134"/>
      <c r="B2083" s="134"/>
      <c r="C2083" s="133"/>
      <c r="D2083" s="134"/>
      <c r="E2083" s="134"/>
      <c r="F2083" s="134"/>
      <c r="G2083" s="130"/>
    </row>
    <row r="2084" spans="1:7">
      <c r="A2084" s="134"/>
      <c r="B2084" s="134"/>
      <c r="C2084" s="133"/>
      <c r="D2084" s="134"/>
      <c r="E2084" s="134"/>
      <c r="F2084" s="134"/>
      <c r="G2084" s="130"/>
    </row>
    <row r="2085" spans="1:7">
      <c r="A2085" s="134"/>
      <c r="B2085" s="134"/>
      <c r="C2085" s="133"/>
      <c r="D2085" s="134"/>
      <c r="E2085" s="134"/>
      <c r="F2085" s="134"/>
      <c r="G2085" s="130"/>
    </row>
    <row r="2086" spans="1:7">
      <c r="A2086" s="134"/>
      <c r="B2086" s="134"/>
      <c r="C2086" s="133"/>
      <c r="D2086" s="134"/>
      <c r="E2086" s="134"/>
      <c r="F2086" s="134"/>
      <c r="G2086" s="130"/>
    </row>
    <row r="2087" spans="1:7">
      <c r="A2087" s="134"/>
      <c r="B2087" s="134"/>
      <c r="C2087" s="133"/>
      <c r="D2087" s="134"/>
      <c r="E2087" s="134"/>
      <c r="F2087" s="134"/>
      <c r="G2087" s="130"/>
    </row>
    <row r="2088" spans="1:7">
      <c r="A2088" s="134"/>
      <c r="B2088" s="134"/>
      <c r="C2088" s="133"/>
      <c r="D2088" s="134"/>
      <c r="E2088" s="134"/>
      <c r="F2088" s="134"/>
      <c r="G2088" s="130"/>
    </row>
    <row r="2089" spans="1:7">
      <c r="A2089" s="134"/>
      <c r="B2089" s="134"/>
      <c r="C2089" s="133"/>
      <c r="D2089" s="134"/>
      <c r="E2089" s="134"/>
      <c r="F2089" s="134"/>
      <c r="G2089" s="130"/>
    </row>
    <row r="2090" spans="1:7">
      <c r="A2090" s="134"/>
      <c r="B2090" s="134"/>
      <c r="C2090" s="133"/>
      <c r="D2090" s="134"/>
      <c r="E2090" s="134"/>
      <c r="F2090" s="134"/>
      <c r="G2090" s="130"/>
    </row>
    <row r="2091" spans="1:7">
      <c r="A2091" s="134"/>
      <c r="B2091" s="134"/>
      <c r="C2091" s="133"/>
      <c r="D2091" s="134"/>
      <c r="E2091" s="134"/>
      <c r="F2091" s="134"/>
      <c r="G2091" s="130"/>
    </row>
    <row r="2092" spans="1:7">
      <c r="A2092" s="134"/>
      <c r="B2092" s="134"/>
      <c r="C2092" s="133"/>
      <c r="D2092" s="134"/>
      <c r="E2092" s="134"/>
      <c r="F2092" s="134"/>
      <c r="G2092" s="130"/>
    </row>
    <row r="2093" spans="1:7">
      <c r="A2093" s="134"/>
      <c r="B2093" s="134"/>
      <c r="C2093" s="133"/>
      <c r="D2093" s="134"/>
      <c r="E2093" s="134"/>
      <c r="F2093" s="134"/>
      <c r="G2093" s="130"/>
    </row>
    <row r="2094" spans="1:7">
      <c r="A2094" s="134"/>
      <c r="B2094" s="134"/>
      <c r="C2094" s="133"/>
      <c r="D2094" s="134"/>
      <c r="E2094" s="134"/>
      <c r="F2094" s="134"/>
      <c r="G2094" s="130"/>
    </row>
    <row r="2095" spans="1:7">
      <c r="A2095" s="134"/>
      <c r="B2095" s="134"/>
      <c r="C2095" s="133"/>
      <c r="D2095" s="134"/>
      <c r="E2095" s="134"/>
      <c r="F2095" s="134"/>
      <c r="G2095" s="130"/>
    </row>
    <row r="2096" spans="1:7">
      <c r="A2096" s="134"/>
      <c r="B2096" s="134"/>
      <c r="C2096" s="133"/>
      <c r="D2096" s="134"/>
      <c r="E2096" s="134"/>
      <c r="F2096" s="134"/>
      <c r="G2096" s="130"/>
    </row>
    <row r="2097" spans="1:7">
      <c r="A2097" s="134"/>
      <c r="B2097" s="134"/>
      <c r="C2097" s="133"/>
      <c r="D2097" s="134"/>
      <c r="E2097" s="134"/>
      <c r="F2097" s="134"/>
      <c r="G2097" s="130"/>
    </row>
    <row r="2098" spans="1:7">
      <c r="A2098" s="134"/>
      <c r="B2098" s="134"/>
      <c r="C2098" s="133"/>
      <c r="D2098" s="134"/>
      <c r="E2098" s="134"/>
      <c r="F2098" s="134"/>
      <c r="G2098" s="130"/>
    </row>
    <row r="2099" spans="1:7">
      <c r="A2099" s="134"/>
      <c r="B2099" s="134"/>
      <c r="C2099" s="133"/>
      <c r="D2099" s="134"/>
      <c r="E2099" s="134"/>
      <c r="F2099" s="134"/>
      <c r="G2099" s="130"/>
    </row>
    <row r="2100" spans="1:7">
      <c r="A2100" s="134"/>
      <c r="B2100" s="134"/>
      <c r="C2100" s="133"/>
      <c r="D2100" s="134"/>
      <c r="E2100" s="134"/>
      <c r="F2100" s="134"/>
      <c r="G2100" s="130"/>
    </row>
    <row r="2101" spans="1:7">
      <c r="A2101" s="134"/>
      <c r="B2101" s="134"/>
      <c r="C2101" s="133"/>
      <c r="D2101" s="134"/>
      <c r="E2101" s="134"/>
      <c r="F2101" s="134"/>
      <c r="G2101" s="130"/>
    </row>
    <row r="2102" spans="1:7">
      <c r="A2102" s="134"/>
      <c r="B2102" s="134"/>
      <c r="C2102" s="133"/>
      <c r="D2102" s="134"/>
      <c r="E2102" s="134"/>
      <c r="F2102" s="134"/>
      <c r="G2102" s="130"/>
    </row>
    <row r="2103" spans="1:7">
      <c r="A2103" s="134"/>
      <c r="B2103" s="134"/>
      <c r="C2103" s="133"/>
      <c r="D2103" s="134"/>
      <c r="E2103" s="134"/>
      <c r="F2103" s="134"/>
      <c r="G2103" s="130"/>
    </row>
    <row r="2104" spans="1:7">
      <c r="A2104" s="134"/>
      <c r="B2104" s="134"/>
      <c r="C2104" s="133"/>
      <c r="D2104" s="134"/>
      <c r="E2104" s="134"/>
      <c r="F2104" s="134"/>
      <c r="G2104" s="130"/>
    </row>
    <row r="2105" spans="1:7">
      <c r="A2105" s="134"/>
      <c r="B2105" s="134"/>
      <c r="C2105" s="133"/>
      <c r="D2105" s="134"/>
      <c r="E2105" s="134"/>
      <c r="F2105" s="134"/>
      <c r="G2105" s="130"/>
    </row>
    <row r="2106" spans="1:7">
      <c r="A2106" s="134"/>
      <c r="B2106" s="134"/>
      <c r="C2106" s="133"/>
      <c r="D2106" s="134"/>
      <c r="E2106" s="134"/>
      <c r="F2106" s="134"/>
      <c r="G2106" s="130"/>
    </row>
    <row r="2107" spans="1:7">
      <c r="A2107" s="134"/>
      <c r="B2107" s="134"/>
      <c r="C2107" s="133"/>
      <c r="D2107" s="134"/>
      <c r="E2107" s="134"/>
      <c r="F2107" s="134"/>
      <c r="G2107" s="130"/>
    </row>
    <row r="2108" spans="1:7">
      <c r="A2108" s="134"/>
      <c r="B2108" s="134"/>
      <c r="C2108" s="133"/>
      <c r="D2108" s="134"/>
      <c r="E2108" s="134"/>
      <c r="F2108" s="134"/>
      <c r="G2108" s="130"/>
    </row>
    <row r="2109" spans="1:7">
      <c r="A2109" s="134"/>
      <c r="B2109" s="134"/>
      <c r="C2109" s="133"/>
      <c r="D2109" s="134"/>
      <c r="E2109" s="134"/>
      <c r="F2109" s="134"/>
      <c r="G2109" s="130"/>
    </row>
    <row r="2110" spans="1:7">
      <c r="A2110" s="134"/>
      <c r="B2110" s="134"/>
      <c r="C2110" s="133"/>
      <c r="D2110" s="134"/>
      <c r="E2110" s="134"/>
      <c r="F2110" s="134"/>
      <c r="G2110" s="130"/>
    </row>
    <row r="2111" spans="1:7">
      <c r="A2111" s="134"/>
      <c r="B2111" s="134"/>
      <c r="C2111" s="133"/>
      <c r="D2111" s="134"/>
      <c r="E2111" s="134"/>
      <c r="F2111" s="134"/>
      <c r="G2111" s="130"/>
    </row>
    <row r="2112" spans="1:7">
      <c r="A2112" s="134"/>
      <c r="B2112" s="134"/>
      <c r="C2112" s="134"/>
      <c r="D2112" s="134"/>
      <c r="E2112" s="134"/>
      <c r="F2112" s="134"/>
      <c r="G2112" s="130"/>
    </row>
    <row r="2113" spans="1:7">
      <c r="A2113" s="134"/>
      <c r="B2113" s="134"/>
      <c r="C2113" s="133"/>
      <c r="D2113" s="134"/>
      <c r="E2113" s="134"/>
      <c r="F2113" s="134"/>
      <c r="G2113" s="130"/>
    </row>
    <row r="2114" spans="1:7">
      <c r="A2114" s="134"/>
      <c r="B2114" s="134"/>
      <c r="C2114" s="133"/>
      <c r="D2114" s="134"/>
      <c r="E2114" s="134"/>
      <c r="F2114" s="134"/>
      <c r="G2114" s="130"/>
    </row>
    <row r="2115" spans="1:7">
      <c r="A2115" s="134"/>
      <c r="B2115" s="134"/>
      <c r="C2115" s="133"/>
      <c r="D2115" s="134"/>
      <c r="E2115" s="134"/>
      <c r="F2115" s="134"/>
      <c r="G2115" s="130"/>
    </row>
    <row r="2116" spans="1:7">
      <c r="A2116" s="134"/>
      <c r="B2116" s="134"/>
      <c r="C2116" s="133"/>
      <c r="D2116" s="134"/>
      <c r="E2116" s="134"/>
      <c r="F2116" s="134"/>
      <c r="G2116" s="130"/>
    </row>
    <row r="2117" spans="1:7">
      <c r="A2117" s="134"/>
      <c r="B2117" s="134"/>
      <c r="C2117" s="133"/>
      <c r="D2117" s="134"/>
      <c r="E2117" s="134"/>
      <c r="F2117" s="134"/>
      <c r="G2117" s="130"/>
    </row>
    <row r="2118" spans="1:7">
      <c r="A2118" s="134"/>
      <c r="B2118" s="134"/>
      <c r="C2118" s="133"/>
      <c r="D2118" s="134"/>
      <c r="E2118" s="134"/>
      <c r="F2118" s="134"/>
      <c r="G2118" s="130"/>
    </row>
    <row r="2119" spans="1:7">
      <c r="A2119" s="134"/>
      <c r="B2119" s="134"/>
      <c r="C2119" s="133"/>
      <c r="D2119" s="134"/>
      <c r="E2119" s="134"/>
      <c r="F2119" s="134"/>
      <c r="G2119" s="130"/>
    </row>
    <row r="2120" spans="1:7">
      <c r="A2120" s="134"/>
      <c r="B2120" s="134"/>
      <c r="C2120" s="133"/>
      <c r="D2120" s="134"/>
      <c r="E2120" s="134"/>
      <c r="F2120" s="134"/>
      <c r="G2120" s="130"/>
    </row>
    <row r="2121" spans="1:7">
      <c r="A2121" s="134"/>
      <c r="B2121" s="134"/>
      <c r="C2121" s="133"/>
      <c r="D2121" s="134"/>
      <c r="E2121" s="134"/>
      <c r="F2121" s="134"/>
      <c r="G2121" s="130"/>
    </row>
    <row r="2122" spans="1:7">
      <c r="A2122" s="134"/>
      <c r="B2122" s="134"/>
      <c r="C2122" s="133"/>
      <c r="D2122" s="134"/>
      <c r="E2122" s="134"/>
      <c r="F2122" s="134"/>
      <c r="G2122" s="130"/>
    </row>
    <row r="2123" spans="1:7">
      <c r="A2123" s="134"/>
      <c r="B2123" s="134"/>
      <c r="C2123" s="133"/>
      <c r="D2123" s="134"/>
      <c r="E2123" s="134"/>
      <c r="F2123" s="134"/>
      <c r="G2123" s="130"/>
    </row>
    <row r="2124" spans="1:7">
      <c r="A2124" s="134"/>
      <c r="B2124" s="134"/>
      <c r="C2124" s="133"/>
      <c r="D2124" s="134"/>
      <c r="E2124" s="134"/>
      <c r="F2124" s="134"/>
      <c r="G2124" s="130"/>
    </row>
    <row r="2125" spans="1:7">
      <c r="A2125" s="134"/>
      <c r="B2125" s="134"/>
      <c r="C2125" s="133"/>
      <c r="D2125" s="134"/>
      <c r="E2125" s="134"/>
      <c r="F2125" s="134"/>
      <c r="G2125" s="130"/>
    </row>
    <row r="2126" spans="1:7">
      <c r="A2126" s="134"/>
      <c r="B2126" s="134"/>
      <c r="C2126" s="133"/>
      <c r="D2126" s="134"/>
      <c r="E2126" s="134"/>
      <c r="F2126" s="134"/>
      <c r="G2126" s="130"/>
    </row>
    <row r="2127" spans="1:7">
      <c r="A2127" s="134"/>
      <c r="B2127" s="134"/>
      <c r="C2127" s="133"/>
      <c r="D2127" s="134"/>
      <c r="E2127" s="134"/>
      <c r="F2127" s="134"/>
      <c r="G2127" s="130"/>
    </row>
    <row r="2128" spans="1:7">
      <c r="A2128" s="134"/>
      <c r="B2128" s="134"/>
      <c r="C2128" s="133"/>
      <c r="D2128" s="134"/>
      <c r="E2128" s="134"/>
      <c r="F2128" s="134"/>
      <c r="G2128" s="130"/>
    </row>
    <row r="2129" spans="1:7">
      <c r="A2129" s="134"/>
      <c r="B2129" s="134"/>
      <c r="C2129" s="133"/>
      <c r="D2129" s="134"/>
      <c r="E2129" s="134"/>
      <c r="F2129" s="134"/>
      <c r="G2129" s="130"/>
    </row>
    <row r="2130" spans="1:7">
      <c r="A2130" s="134"/>
      <c r="B2130" s="134"/>
      <c r="C2130" s="133"/>
      <c r="D2130" s="134"/>
      <c r="E2130" s="134"/>
      <c r="F2130" s="134"/>
      <c r="G2130" s="130"/>
    </row>
    <row r="2131" spans="1:7">
      <c r="A2131" s="134"/>
      <c r="B2131" s="134"/>
      <c r="C2131" s="133"/>
      <c r="D2131" s="134"/>
      <c r="E2131" s="134"/>
      <c r="F2131" s="134"/>
      <c r="G2131" s="130"/>
    </row>
    <row r="2132" spans="1:7">
      <c r="A2132" s="134"/>
      <c r="B2132" s="134"/>
      <c r="C2132" s="133"/>
      <c r="D2132" s="134"/>
      <c r="E2132" s="134"/>
      <c r="F2132" s="134"/>
      <c r="G2132" s="130"/>
    </row>
    <row r="2133" spans="1:7">
      <c r="A2133" s="134"/>
      <c r="B2133" s="134"/>
      <c r="C2133" s="133"/>
      <c r="D2133" s="134"/>
      <c r="E2133" s="134"/>
      <c r="F2133" s="134"/>
      <c r="G2133" s="130"/>
    </row>
    <row r="2134" spans="1:7">
      <c r="A2134" s="134"/>
      <c r="B2134" s="134"/>
      <c r="C2134" s="133"/>
      <c r="D2134" s="134"/>
      <c r="E2134" s="134"/>
      <c r="F2134" s="134"/>
      <c r="G2134" s="130"/>
    </row>
    <row r="2135" spans="1:7">
      <c r="A2135" s="134"/>
      <c r="B2135" s="134"/>
      <c r="C2135" s="133"/>
      <c r="D2135" s="134"/>
      <c r="E2135" s="134"/>
      <c r="F2135" s="134"/>
      <c r="G2135" s="130"/>
    </row>
    <row r="2136" spans="1:7">
      <c r="A2136" s="134"/>
      <c r="B2136" s="134"/>
      <c r="C2136" s="133"/>
      <c r="D2136" s="134"/>
      <c r="E2136" s="134"/>
      <c r="F2136" s="134"/>
      <c r="G2136" s="130"/>
    </row>
    <row r="2137" spans="1:7">
      <c r="A2137" s="134"/>
      <c r="B2137" s="134"/>
      <c r="C2137" s="133"/>
      <c r="D2137" s="134"/>
      <c r="E2137" s="134"/>
      <c r="F2137" s="134"/>
      <c r="G2137" s="130"/>
    </row>
    <row r="2138" spans="1:7">
      <c r="A2138" s="134"/>
      <c r="B2138" s="134"/>
      <c r="C2138" s="133"/>
      <c r="D2138" s="134"/>
      <c r="E2138" s="134"/>
      <c r="F2138" s="134"/>
      <c r="G2138" s="130"/>
    </row>
    <row r="2139" spans="1:7">
      <c r="A2139" s="134"/>
      <c r="B2139" s="134"/>
      <c r="C2139" s="133"/>
      <c r="D2139" s="134"/>
      <c r="E2139" s="134"/>
      <c r="F2139" s="134"/>
      <c r="G2139" s="130"/>
    </row>
    <row r="2140" spans="1:7">
      <c r="A2140" s="134"/>
      <c r="B2140" s="134"/>
      <c r="C2140" s="133"/>
      <c r="D2140" s="134"/>
      <c r="E2140" s="134"/>
      <c r="F2140" s="134"/>
      <c r="G2140" s="130"/>
    </row>
    <row r="2141" spans="1:7">
      <c r="A2141" s="134"/>
      <c r="B2141" s="134"/>
      <c r="C2141" s="133"/>
      <c r="D2141" s="134"/>
      <c r="E2141" s="134"/>
      <c r="F2141" s="134"/>
      <c r="G2141" s="130"/>
    </row>
    <row r="2142" spans="1:7">
      <c r="A2142" s="134"/>
      <c r="B2142" s="134"/>
      <c r="C2142" s="133"/>
      <c r="D2142" s="134"/>
      <c r="E2142" s="134"/>
      <c r="F2142" s="134"/>
      <c r="G2142" s="130"/>
    </row>
    <row r="2143" spans="1:7">
      <c r="A2143" s="134"/>
      <c r="B2143" s="134"/>
      <c r="C2143" s="133"/>
      <c r="D2143" s="134"/>
      <c r="E2143" s="134"/>
      <c r="F2143" s="134"/>
      <c r="G2143" s="130"/>
    </row>
    <row r="2144" spans="1:7">
      <c r="A2144" s="134"/>
      <c r="B2144" s="134"/>
      <c r="C2144" s="133"/>
      <c r="D2144" s="134"/>
      <c r="E2144" s="134"/>
      <c r="F2144" s="134"/>
      <c r="G2144" s="130"/>
    </row>
    <row r="2145" spans="1:7">
      <c r="A2145" s="134"/>
      <c r="B2145" s="134"/>
      <c r="C2145" s="133"/>
      <c r="D2145" s="134"/>
      <c r="E2145" s="134"/>
      <c r="F2145" s="134"/>
      <c r="G2145" s="130"/>
    </row>
    <row r="2146" spans="1:7">
      <c r="A2146" s="134"/>
      <c r="B2146" s="134"/>
      <c r="C2146" s="133"/>
      <c r="D2146" s="134"/>
      <c r="E2146" s="134"/>
      <c r="F2146" s="134"/>
      <c r="G2146" s="130"/>
    </row>
    <row r="2147" spans="1:7">
      <c r="A2147" s="134"/>
      <c r="B2147" s="134"/>
      <c r="C2147" s="133"/>
      <c r="D2147" s="134"/>
      <c r="E2147" s="134"/>
      <c r="F2147" s="134"/>
      <c r="G2147" s="130"/>
    </row>
    <row r="2148" spans="1:7">
      <c r="A2148" s="134"/>
      <c r="B2148" s="134"/>
      <c r="C2148" s="133"/>
      <c r="D2148" s="134"/>
      <c r="E2148" s="134"/>
      <c r="F2148" s="134"/>
      <c r="G2148" s="130"/>
    </row>
    <row r="2149" spans="1:7">
      <c r="A2149" s="134"/>
      <c r="B2149" s="134"/>
      <c r="C2149" s="133"/>
      <c r="D2149" s="134"/>
      <c r="E2149" s="134"/>
      <c r="F2149" s="134"/>
      <c r="G2149" s="130"/>
    </row>
    <row r="2150" spans="1:7">
      <c r="A2150" s="134"/>
      <c r="B2150" s="134"/>
      <c r="C2150" s="133"/>
      <c r="D2150" s="134"/>
      <c r="E2150" s="134"/>
      <c r="F2150" s="134"/>
      <c r="G2150" s="130"/>
    </row>
    <row r="2151" spans="1:7">
      <c r="A2151" s="134"/>
      <c r="B2151" s="134"/>
      <c r="C2151" s="133"/>
      <c r="D2151" s="134"/>
      <c r="E2151" s="134"/>
      <c r="F2151" s="134"/>
      <c r="G2151" s="130"/>
    </row>
    <row r="2152" spans="1:7">
      <c r="A2152" s="134"/>
      <c r="B2152" s="134"/>
      <c r="C2152" s="133"/>
      <c r="D2152" s="134"/>
      <c r="E2152" s="134"/>
      <c r="F2152" s="134"/>
      <c r="G2152" s="130"/>
    </row>
    <row r="2153" spans="1:7">
      <c r="A2153" s="134"/>
      <c r="B2153" s="134"/>
      <c r="C2153" s="133"/>
      <c r="D2153" s="134"/>
      <c r="E2153" s="134"/>
      <c r="F2153" s="134"/>
      <c r="G2153" s="130"/>
    </row>
    <row r="2154" spans="1:7">
      <c r="A2154" s="134"/>
      <c r="B2154" s="134"/>
      <c r="C2154" s="133"/>
      <c r="D2154" s="134"/>
      <c r="E2154" s="134"/>
      <c r="F2154" s="134"/>
      <c r="G2154" s="130"/>
    </row>
    <row r="2155" spans="1:7">
      <c r="A2155" s="134"/>
      <c r="B2155" s="134"/>
      <c r="C2155" s="133"/>
      <c r="D2155" s="134"/>
      <c r="E2155" s="134"/>
      <c r="F2155" s="134"/>
      <c r="G2155" s="130"/>
    </row>
    <row r="2156" spans="1:7">
      <c r="A2156" s="134"/>
      <c r="B2156" s="134"/>
      <c r="C2156" s="133"/>
      <c r="D2156" s="134"/>
      <c r="E2156" s="134"/>
      <c r="F2156" s="134"/>
      <c r="G2156" s="130"/>
    </row>
    <row r="2157" spans="1:7">
      <c r="A2157" s="134"/>
      <c r="B2157" s="134"/>
      <c r="C2157" s="133"/>
      <c r="D2157" s="134"/>
      <c r="E2157" s="134"/>
      <c r="F2157" s="134"/>
      <c r="G2157" s="130"/>
    </row>
    <row r="2158" spans="1:7">
      <c r="A2158" s="134"/>
      <c r="B2158" s="134"/>
      <c r="C2158" s="133"/>
      <c r="D2158" s="134"/>
      <c r="E2158" s="134"/>
      <c r="F2158" s="134"/>
      <c r="G2158" s="130"/>
    </row>
    <row r="2159" spans="1:7">
      <c r="A2159" s="134"/>
      <c r="B2159" s="134"/>
      <c r="C2159" s="133"/>
      <c r="D2159" s="134"/>
      <c r="E2159" s="134"/>
      <c r="F2159" s="134"/>
      <c r="G2159" s="130"/>
    </row>
    <row r="2160" spans="1:7">
      <c r="A2160" s="134"/>
      <c r="B2160" s="134"/>
      <c r="C2160" s="133"/>
      <c r="D2160" s="134"/>
      <c r="E2160" s="134"/>
      <c r="F2160" s="134"/>
      <c r="G2160" s="130"/>
    </row>
    <row r="2161" spans="1:7">
      <c r="A2161" s="134"/>
      <c r="B2161" s="134"/>
      <c r="C2161" s="133"/>
      <c r="D2161" s="134"/>
      <c r="E2161" s="134"/>
      <c r="F2161" s="134"/>
      <c r="G2161" s="130"/>
    </row>
    <row r="2162" spans="1:7">
      <c r="A2162" s="134"/>
      <c r="B2162" s="134"/>
      <c r="C2162" s="133"/>
      <c r="D2162" s="134"/>
      <c r="E2162" s="134"/>
      <c r="F2162" s="134"/>
      <c r="G2162" s="130"/>
    </row>
    <row r="2163" spans="1:7">
      <c r="A2163" s="134"/>
      <c r="B2163" s="134"/>
      <c r="C2163" s="133"/>
      <c r="D2163" s="134"/>
      <c r="E2163" s="134"/>
      <c r="F2163" s="134"/>
      <c r="G2163" s="130"/>
    </row>
    <row r="2164" spans="1:7">
      <c r="A2164" s="134"/>
      <c r="B2164" s="134"/>
      <c r="C2164" s="133"/>
      <c r="D2164" s="134"/>
      <c r="E2164" s="134"/>
      <c r="F2164" s="134"/>
      <c r="G2164" s="130"/>
    </row>
    <row r="2165" spans="1:7">
      <c r="A2165" s="134"/>
      <c r="B2165" s="134"/>
      <c r="C2165" s="133"/>
      <c r="D2165" s="134"/>
      <c r="E2165" s="134"/>
      <c r="F2165" s="134"/>
      <c r="G2165" s="130"/>
    </row>
    <row r="2166" spans="1:7">
      <c r="A2166" s="134"/>
      <c r="B2166" s="134"/>
      <c r="C2166" s="133"/>
      <c r="D2166" s="134"/>
      <c r="E2166" s="134"/>
      <c r="F2166" s="134"/>
      <c r="G2166" s="130"/>
    </row>
    <row r="2167" spans="1:7">
      <c r="A2167" s="134"/>
      <c r="B2167" s="134"/>
      <c r="C2167" s="133"/>
      <c r="D2167" s="134"/>
      <c r="E2167" s="134"/>
      <c r="F2167" s="134"/>
      <c r="G2167" s="130"/>
    </row>
    <row r="2168" spans="1:7">
      <c r="A2168" s="134"/>
      <c r="B2168" s="134"/>
      <c r="C2168" s="133"/>
      <c r="D2168" s="134"/>
      <c r="E2168" s="134"/>
      <c r="F2168" s="134"/>
      <c r="G2168" s="130"/>
    </row>
    <row r="2169" spans="1:7">
      <c r="A2169" s="134"/>
      <c r="B2169" s="134"/>
      <c r="C2169" s="133"/>
      <c r="D2169" s="134"/>
      <c r="E2169" s="134"/>
      <c r="F2169" s="134"/>
      <c r="G2169" s="130"/>
    </row>
    <row r="2170" spans="1:7">
      <c r="A2170" s="134"/>
      <c r="B2170" s="134"/>
      <c r="C2170" s="133"/>
      <c r="D2170" s="134"/>
      <c r="E2170" s="134"/>
      <c r="F2170" s="134"/>
      <c r="G2170" s="130"/>
    </row>
    <row r="2171" spans="1:7">
      <c r="G2171" s="130"/>
    </row>
    <row r="2172" spans="1:7">
      <c r="G2172" s="130"/>
    </row>
    <row r="2173" spans="1:7">
      <c r="G2173" s="130"/>
    </row>
    <row r="2174" spans="1:7">
      <c r="G2174" s="130"/>
    </row>
    <row r="2175" spans="1:7">
      <c r="B2175" s="134"/>
      <c r="C2175" s="134"/>
      <c r="D2175" s="133"/>
      <c r="E2175" s="134"/>
      <c r="F2175" s="134"/>
      <c r="G2175" s="134"/>
    </row>
    <row r="2176" spans="1:7">
      <c r="B2176" s="134"/>
      <c r="C2176" s="134"/>
      <c r="D2176" s="133"/>
      <c r="E2176" s="134"/>
      <c r="F2176" s="134"/>
      <c r="G2176" s="134"/>
    </row>
    <row r="2177" spans="2:7">
      <c r="B2177" s="134"/>
      <c r="C2177" s="134"/>
      <c r="D2177" s="133"/>
      <c r="E2177" s="134"/>
      <c r="F2177" s="134"/>
      <c r="G2177" s="134"/>
    </row>
    <row r="2178" spans="2:7">
      <c r="B2178" s="134"/>
      <c r="C2178" s="134"/>
      <c r="D2178" s="133"/>
      <c r="E2178" s="134"/>
      <c r="F2178" s="134"/>
      <c r="G2178" s="134"/>
    </row>
    <row r="2179" spans="2:7">
      <c r="B2179" s="134"/>
      <c r="C2179" s="134"/>
      <c r="D2179" s="133"/>
      <c r="E2179" s="134"/>
      <c r="F2179" s="134"/>
      <c r="G2179" s="134"/>
    </row>
    <row r="2180" spans="2:7">
      <c r="B2180" s="134"/>
      <c r="C2180" s="134"/>
      <c r="D2180" s="133"/>
      <c r="E2180" s="134"/>
      <c r="F2180" s="134"/>
      <c r="G2180" s="134"/>
    </row>
    <row r="2181" spans="2:7">
      <c r="B2181" s="134"/>
      <c r="C2181" s="134"/>
      <c r="D2181" s="133"/>
      <c r="E2181" s="134"/>
      <c r="F2181" s="134"/>
      <c r="G2181" s="134"/>
    </row>
    <row r="2182" spans="2:7">
      <c r="B2182" s="134"/>
      <c r="C2182" s="134"/>
      <c r="D2182" s="133"/>
      <c r="E2182" s="134"/>
      <c r="F2182" s="134"/>
      <c r="G2182" s="134"/>
    </row>
    <row r="2183" spans="2:7">
      <c r="B2183" s="134"/>
      <c r="C2183" s="134"/>
      <c r="D2183" s="133"/>
      <c r="E2183" s="134"/>
      <c r="F2183" s="134"/>
      <c r="G2183" s="134"/>
    </row>
    <row r="2184" spans="2:7">
      <c r="B2184" s="134"/>
      <c r="C2184" s="134"/>
      <c r="D2184" s="133"/>
      <c r="E2184" s="134"/>
      <c r="F2184" s="134"/>
      <c r="G2184" s="134"/>
    </row>
    <row r="2185" spans="2:7">
      <c r="B2185" s="134"/>
      <c r="C2185" s="134"/>
      <c r="D2185" s="133"/>
      <c r="E2185" s="134"/>
      <c r="F2185" s="134"/>
      <c r="G2185" s="134"/>
    </row>
    <row r="2186" spans="2:7">
      <c r="B2186" s="134"/>
      <c r="C2186" s="134"/>
      <c r="D2186" s="133"/>
      <c r="E2186" s="134"/>
      <c r="F2186" s="134"/>
      <c r="G2186" s="134"/>
    </row>
    <row r="2187" spans="2:7">
      <c r="B2187" s="134"/>
      <c r="C2187" s="134"/>
      <c r="D2187" s="133"/>
      <c r="E2187" s="134"/>
      <c r="F2187" s="134"/>
      <c r="G2187" s="134"/>
    </row>
    <row r="2188" spans="2:7">
      <c r="B2188" s="134"/>
      <c r="C2188" s="134"/>
      <c r="D2188" s="133"/>
      <c r="E2188" s="134"/>
      <c r="F2188" s="134"/>
      <c r="G2188" s="134"/>
    </row>
    <row r="2189" spans="2:7">
      <c r="G2189" s="130"/>
    </row>
    <row r="2190" spans="2:7">
      <c r="G2190" s="130"/>
    </row>
    <row r="2191" spans="2:7">
      <c r="G2191" s="130"/>
    </row>
    <row r="2192" spans="2:7">
      <c r="G2192" s="130"/>
    </row>
    <row r="2193" spans="7:7">
      <c r="G2193" s="130"/>
    </row>
    <row r="2194" spans="7:7">
      <c r="G2194" s="130"/>
    </row>
    <row r="2195" spans="7:7">
      <c r="G2195" s="130"/>
    </row>
    <row r="2196" spans="7:7">
      <c r="G2196" s="130"/>
    </row>
    <row r="2197" spans="7:7">
      <c r="G2197" s="130"/>
    </row>
    <row r="2198" spans="7:7">
      <c r="G2198" s="130"/>
    </row>
    <row r="2199" spans="7:7">
      <c r="G2199" s="130"/>
    </row>
    <row r="2200" spans="7:7">
      <c r="G2200" s="130"/>
    </row>
    <row r="2201" spans="7:7">
      <c r="G2201" s="130"/>
    </row>
    <row r="2202" spans="7:7">
      <c r="G2202" s="130"/>
    </row>
    <row r="2203" spans="7:7">
      <c r="G2203" s="130"/>
    </row>
    <row r="2204" spans="7:7">
      <c r="G2204" s="130"/>
    </row>
    <row r="2205" spans="7:7">
      <c r="G2205" s="130"/>
    </row>
    <row r="2206" spans="7:7">
      <c r="G2206" s="130"/>
    </row>
    <row r="2207" spans="7:7">
      <c r="G2207" s="130"/>
    </row>
    <row r="2208" spans="7:7">
      <c r="G2208" s="130"/>
    </row>
    <row r="2209" spans="7:7">
      <c r="G2209" s="130"/>
    </row>
    <row r="2210" spans="7:7">
      <c r="G2210" s="130"/>
    </row>
    <row r="2211" spans="7:7">
      <c r="G2211" s="130"/>
    </row>
    <row r="2212" spans="7:7">
      <c r="G2212" s="130"/>
    </row>
    <row r="2213" spans="7:7">
      <c r="G2213" s="130"/>
    </row>
    <row r="2214" spans="7:7">
      <c r="G2214" s="130"/>
    </row>
    <row r="2215" spans="7:7">
      <c r="G2215" s="130"/>
    </row>
    <row r="2216" spans="7:7">
      <c r="G2216" s="130"/>
    </row>
    <row r="2217" spans="7:7">
      <c r="G2217" s="130"/>
    </row>
    <row r="2218" spans="7:7">
      <c r="G2218" s="130"/>
    </row>
    <row r="2219" spans="7:7">
      <c r="G2219" s="130"/>
    </row>
    <row r="2220" spans="7:7">
      <c r="G2220" s="130"/>
    </row>
    <row r="2221" spans="7:7">
      <c r="G2221" s="130"/>
    </row>
    <row r="2222" spans="7:7">
      <c r="G2222" s="130"/>
    </row>
    <row r="2223" spans="7:7">
      <c r="G2223" s="130"/>
    </row>
    <row r="2224" spans="7:7">
      <c r="G2224" s="130"/>
    </row>
    <row r="2225" spans="7:7">
      <c r="G2225" s="130"/>
    </row>
    <row r="2226" spans="7:7">
      <c r="G2226" s="130"/>
    </row>
    <row r="2227" spans="7:7">
      <c r="G2227" s="130"/>
    </row>
    <row r="2228" spans="7:7">
      <c r="G2228" s="130"/>
    </row>
    <row r="2229" spans="7:7">
      <c r="G2229" s="130"/>
    </row>
    <row r="2230" spans="7:7">
      <c r="G2230" s="130"/>
    </row>
    <row r="2231" spans="7:7">
      <c r="G2231" s="130"/>
    </row>
    <row r="2232" spans="7:7">
      <c r="G2232" s="130"/>
    </row>
    <row r="2233" spans="7:7">
      <c r="G2233" s="130"/>
    </row>
    <row r="2234" spans="7:7">
      <c r="G2234" s="130"/>
    </row>
    <row r="2235" spans="7:7">
      <c r="G2235" s="130"/>
    </row>
    <row r="2236" spans="7:7">
      <c r="G2236" s="130"/>
    </row>
    <row r="2237" spans="7:7">
      <c r="G2237" s="130"/>
    </row>
    <row r="2238" spans="7:7">
      <c r="G2238" s="130"/>
    </row>
    <row r="2239" spans="7:7">
      <c r="G2239" s="130"/>
    </row>
    <row r="2240" spans="7:7">
      <c r="G2240" s="130"/>
    </row>
    <row r="2241" spans="7:7">
      <c r="G2241" s="130"/>
    </row>
    <row r="2242" spans="7:7">
      <c r="G2242" s="130"/>
    </row>
    <row r="2243" spans="7:7">
      <c r="G2243" s="130"/>
    </row>
    <row r="2244" spans="7:7">
      <c r="G2244" s="130"/>
    </row>
    <row r="2245" spans="7:7">
      <c r="G2245" s="130"/>
    </row>
    <row r="2246" spans="7:7">
      <c r="G2246" s="130"/>
    </row>
    <row r="2247" spans="7:7">
      <c r="G2247" s="130"/>
    </row>
    <row r="2248" spans="7:7">
      <c r="G2248" s="130"/>
    </row>
    <row r="2249" spans="7:7">
      <c r="G2249" s="130"/>
    </row>
    <row r="2250" spans="7:7">
      <c r="G2250" s="130"/>
    </row>
    <row r="2251" spans="7:7">
      <c r="G2251" s="130"/>
    </row>
    <row r="2252" spans="7:7">
      <c r="G2252" s="130"/>
    </row>
    <row r="2253" spans="7:7">
      <c r="G2253" s="130"/>
    </row>
    <row r="2254" spans="7:7">
      <c r="G2254" s="130"/>
    </row>
    <row r="2255" spans="7:7">
      <c r="G2255" s="130"/>
    </row>
    <row r="2256" spans="7:7">
      <c r="G2256" s="130"/>
    </row>
    <row r="2257" spans="7:7">
      <c r="G2257" s="130"/>
    </row>
    <row r="2258" spans="7:7">
      <c r="G2258" s="130"/>
    </row>
    <row r="2259" spans="7:7">
      <c r="G2259" s="130"/>
    </row>
    <row r="2260" spans="7:7">
      <c r="G2260" s="130"/>
    </row>
    <row r="2261" spans="7:7">
      <c r="G2261" s="130"/>
    </row>
    <row r="2262" spans="7:7">
      <c r="G2262" s="130"/>
    </row>
    <row r="2263" spans="7:7">
      <c r="G2263" s="130"/>
    </row>
    <row r="2264" spans="7:7">
      <c r="G2264" s="130"/>
    </row>
    <row r="2265" spans="7:7">
      <c r="G2265" s="130"/>
    </row>
    <row r="2266" spans="7:7">
      <c r="G2266" s="130"/>
    </row>
    <row r="2267" spans="7:7">
      <c r="G2267" s="130"/>
    </row>
    <row r="2268" spans="7:7">
      <c r="G2268" s="130"/>
    </row>
    <row r="2269" spans="7:7">
      <c r="G2269" s="130"/>
    </row>
    <row r="2270" spans="7:7">
      <c r="G2270" s="130"/>
    </row>
    <row r="2271" spans="7:7">
      <c r="G2271" s="130"/>
    </row>
    <row r="2272" spans="7:7">
      <c r="G2272" s="130"/>
    </row>
    <row r="2273" spans="7:7">
      <c r="G2273" s="130"/>
    </row>
    <row r="2274" spans="7:7">
      <c r="G2274" s="130"/>
    </row>
    <row r="2275" spans="7:7">
      <c r="G2275" s="130"/>
    </row>
    <row r="2276" spans="7:7">
      <c r="G2276" s="130"/>
    </row>
    <row r="2277" spans="7:7">
      <c r="G2277" s="130"/>
    </row>
    <row r="2278" spans="7:7">
      <c r="G2278" s="130"/>
    </row>
    <row r="2279" spans="7:7">
      <c r="G2279" s="130"/>
    </row>
    <row r="2280" spans="7:7">
      <c r="G2280" s="130"/>
    </row>
    <row r="2281" spans="7:7">
      <c r="G2281" s="130"/>
    </row>
    <row r="2282" spans="7:7">
      <c r="G2282" s="130"/>
    </row>
    <row r="2283" spans="7:7">
      <c r="G2283" s="130"/>
    </row>
    <row r="2284" spans="7:7">
      <c r="G2284" s="130"/>
    </row>
    <row r="2285" spans="7:7">
      <c r="G2285" s="130"/>
    </row>
    <row r="2286" spans="7:7">
      <c r="G2286" s="130"/>
    </row>
    <row r="2287" spans="7:7">
      <c r="G2287" s="130"/>
    </row>
    <row r="2288" spans="7:7">
      <c r="G2288" s="130"/>
    </row>
    <row r="2289" spans="7:7">
      <c r="G2289" s="130"/>
    </row>
    <row r="2290" spans="7:7">
      <c r="G2290" s="130"/>
    </row>
    <row r="2291" spans="7:7">
      <c r="G2291" s="130"/>
    </row>
    <row r="2292" spans="7:7">
      <c r="G2292" s="130"/>
    </row>
    <row r="2293" spans="7:7">
      <c r="G2293" s="130"/>
    </row>
    <row r="2294" spans="7:7">
      <c r="G2294" s="130"/>
    </row>
    <row r="2295" spans="7:7">
      <c r="G2295" s="130"/>
    </row>
    <row r="2296" spans="7:7">
      <c r="G2296" s="130"/>
    </row>
    <row r="2297" spans="7:7">
      <c r="G2297" s="130"/>
    </row>
    <row r="2298" spans="7:7">
      <c r="G2298" s="130"/>
    </row>
    <row r="2299" spans="7:7">
      <c r="G2299" s="130"/>
    </row>
    <row r="2300" spans="7:7">
      <c r="G2300" s="130"/>
    </row>
    <row r="2301" spans="7:7">
      <c r="G2301" s="130"/>
    </row>
    <row r="2302" spans="7:7">
      <c r="G2302" s="130"/>
    </row>
    <row r="2303" spans="7:7">
      <c r="G2303" s="130"/>
    </row>
    <row r="2304" spans="7:7">
      <c r="G2304" s="130"/>
    </row>
    <row r="2305" spans="1:7">
      <c r="G2305" s="130"/>
    </row>
    <row r="2306" spans="1:7">
      <c r="G2306" s="130"/>
    </row>
    <row r="2307" spans="1:7">
      <c r="G2307" s="130"/>
    </row>
    <row r="2308" spans="1:7">
      <c r="G2308" s="130"/>
    </row>
    <row r="2309" spans="1:7">
      <c r="G2309" s="130"/>
    </row>
    <row r="2310" spans="1:7">
      <c r="G2310" s="130"/>
    </row>
    <row r="2311" spans="1:7">
      <c r="G2311" s="130"/>
    </row>
    <row r="2312" spans="1:7">
      <c r="F2312" s="130"/>
      <c r="G2312" s="130"/>
    </row>
    <row r="2313" spans="1:7">
      <c r="A2313" s="130"/>
      <c r="B2313" s="130"/>
      <c r="C2313" s="130"/>
      <c r="D2313" s="130"/>
      <c r="E2313" s="130"/>
      <c r="F2313" s="130"/>
      <c r="G2313" s="130"/>
    </row>
    <row r="2314" spans="1:7">
      <c r="A2314" s="130"/>
      <c r="B2314" s="130"/>
      <c r="C2314" s="130"/>
      <c r="D2314" s="130"/>
      <c r="E2314" s="130"/>
      <c r="F2314" s="130"/>
      <c r="G2314" s="130"/>
    </row>
    <row r="2315" spans="1:7">
      <c r="A2315" s="130"/>
      <c r="B2315" s="130"/>
      <c r="C2315" s="130"/>
      <c r="D2315" s="130"/>
      <c r="E2315" s="130"/>
      <c r="F2315" s="130"/>
      <c r="G2315" s="130"/>
    </row>
    <row r="2316" spans="1:7">
      <c r="A2316" s="130"/>
      <c r="B2316" s="130"/>
      <c r="C2316" s="130"/>
      <c r="D2316" s="130"/>
      <c r="E2316" s="130"/>
      <c r="F2316" s="130"/>
      <c r="G2316" s="130"/>
    </row>
    <row r="2317" spans="1:7">
      <c r="A2317" s="130"/>
      <c r="B2317" s="130"/>
      <c r="C2317" s="130"/>
      <c r="D2317" s="130"/>
      <c r="E2317" s="130"/>
      <c r="F2317" s="130"/>
      <c r="G2317" s="130"/>
    </row>
    <row r="2318" spans="1:7">
      <c r="A2318" s="130"/>
      <c r="B2318" s="130"/>
      <c r="C2318" s="130"/>
      <c r="D2318" s="130"/>
      <c r="E2318" s="130"/>
      <c r="F2318" s="130"/>
      <c r="G2318" s="130"/>
    </row>
    <row r="2319" spans="1:7">
      <c r="A2319" s="130"/>
      <c r="B2319" s="130"/>
      <c r="C2319" s="130"/>
      <c r="D2319" s="130"/>
      <c r="E2319" s="130"/>
      <c r="F2319" s="130"/>
      <c r="G2319" s="130"/>
    </row>
    <row r="2320" spans="1:7">
      <c r="A2320" s="130"/>
      <c r="B2320" s="130"/>
      <c r="C2320" s="130"/>
      <c r="D2320" s="130"/>
      <c r="E2320" s="130"/>
    </row>
  </sheetData>
  <phoneticPr fontId="4" type="noConversion"/>
  <pageMargins left="0.74803149606299213" right="0.74803149606299213" top="0.39370078740157483" bottom="0.39370078740157483" header="0.51181102362204722" footer="0.51181102362204722"/>
  <pageSetup paperSize="9" scale="75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1" name="Button 2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2" name="Button 2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3" name="Button 2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" name="Button 2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Button 3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Button 3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Button 3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Button 3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Button 3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Button 3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1" name="Button 3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2" name="Button 3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3" name="Button 3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4" name="Button 4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5" name="Button 4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6" name="Button 4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7" name="Button 4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8" name="Button 4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9" name="Button 4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0" name="Button 4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1" name="Button 4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2" name="Button 4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3" name="Button 5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4" name="Button 5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51" name="Button 7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2" name="Button 7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3" name="Button 7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4" name="Button 7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5" name="Button 7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6" name="Button 7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7" name="Button 7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58" name="Button 7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9" name="Button 7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60" name="Button 8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1" name="Button 8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62" name="Button 8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3" name="Button 8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64" name="Button 8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65" name="Button 9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6" name="Button 10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7" name="Button 10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8" name="Button 10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9" name="Button 10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70" name="Button 10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71" name="Button 10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72" name="Button 10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73" name="Button 10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74" name="Button 10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5" name="Button 10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76" name="Button 11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77" name="Button 11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78" name="Button 11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9" name="Button 11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80" name="Button 11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81" name="Button 11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2" name="Button 11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3" name="Button 11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4" name="Button 12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85" name="Button 13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86" name="Button 13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87" name="Button 13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88" name="Button 13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89" name="Button 13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90" name="Button 13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91" name="Button 13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92" name="Button 14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93" name="Button 14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94" name="Button 14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95" name="Button 14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96" name="Button 14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7" name="Button 14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98" name="Button 14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9" name="Button 14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0" name="Button 14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01" name="Button 14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02" name="Button 15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03" name="Button 15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04" name="Button 15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05" name="Button 16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06" name="Button 16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07" name="Button 16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08" name="Button 17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09" name="Button 17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10" name="Button 17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11" name="Button 17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2" name="Button 17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13" name="Button 17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14" name="Button 17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5" name="Button 17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16" name="Button 17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17" name="Button 17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18" name="Button 18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9" name="Button 18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20" name="Button 18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21" name="Button 19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22" name="Button 19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3" name="Button 19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4" name="Button 19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5" name="Button 19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6" name="Button 20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27" name="Button 20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28" name="Button 20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29" name="Button 20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0" name="Button 20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1" name="Button 20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2" name="Button 20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33" name="Button 21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34" name="Button 21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35" name="Button 21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36" name="Button 21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37" name="Button 22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38" name="Button 22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39" name="Button 22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40" name="Button 23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41" name="Button 23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42" name="Button 23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43" name="Button 23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44" name="Button 23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45" name="Button 23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46" name="Button 23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47" name="Button 23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48" name="Button 23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49" name="Button 23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50" name="Button 24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51" name="Button 24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52" name="Button 24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53" name="Button 24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54" name="Button 24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55" name="Button 24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56" name="Button 24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57" name="Button 24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58" name="Button 25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59" name="Button 25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60" name="Button 27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161" name="Button 27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62" name="Button 27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163" name="Button 28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164" name="Button 28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165" name="Button 28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166" name="Button 28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167" name="Button 28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168" name="Button 28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169" name="Button 28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170" name="Button 28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171" name="Button 28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172" name="Button 28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173" name="Button 29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174" name="Button 29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175" name="Button 29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176" name="Button 29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177" name="Button 29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178" name="Button 29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179" name="Button 29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180" name="Button 31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181" name="Button 31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82" name="Button 31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183" name="Button 31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184" name="Button 31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185" name="Button 31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186" name="Button 31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87" name="Button 31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88" name="Button 31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89" name="Button 32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190" name="Button 32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191" name="Button 32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192" name="Button 32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193" name="Button 32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194" name="Button 32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195" name="Button 32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196" name="Button 32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197" name="Button 32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198" name="Button 33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199" name="Button 33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00" name="Button 34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01" name="Button 34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02" name="Button 34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03" name="Button 34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04" name="Button 34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05" name="Button 35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06" name="Button 35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07" name="Button 35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08" name="Button 35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09" name="Button 35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10" name="Button 35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11" name="Button 35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12" name="Button 35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13" name="Button 35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14" name="Button 35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15" name="Button 36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16" name="Button 36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17" name="Button 36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18" name="Button 36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19" name="Button 36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220" name="Button 37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221" name="Button 38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222" name="Button 38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223" name="Button 38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224" name="Button 38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225" name="Button 38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226" name="Button 38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227" name="Button 38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228" name="Button 38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229" name="Button 38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230" name="Button 38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231" name="Button 39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232" name="Button 39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233" name="Button 39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234" name="Button 39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235" name="Button 39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236" name="Button 39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237" name="Button 39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238" name="Button 39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239" name="Button 40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240" name="Button 42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241" name="Button 42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242" name="Button 42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243" name="Button 42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244" name="Button 42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245" name="Button 42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246" name="Button 42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247" name="Button 42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248" name="Button 42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249" name="Button 42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250" name="Button 43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251" name="Button 43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252" name="Button 43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253" name="Button 43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254" name="Button 43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55" name="Button 43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56" name="Button 43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57" name="Button 43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58" name="Button 44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59" name="Button 44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260" name="Button 44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261" name="Button 44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262" name="Button 44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263" name="Button 45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264" name="Button 45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265" name="Button 45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266" name="Button 45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267" name="Button 45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268" name="Button 45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269" name="Button 45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270" name="Button 45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271" name="Button 45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272" name="Button 45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273" name="Button 46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274" name="Button 46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275" name="Button 46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276" name="Button 46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277" name="Button 46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278" name="Button 46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279" name="Button 46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280" name="Button 47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281" name="Button 47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282" name="Button 47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283" name="Button 47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284" name="Button 47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285" name="Button 47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286" name="Button 48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287" name="Button 48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288" name="Button 48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289" name="Button 48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290" name="Button 48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291" name="Button 48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292" name="Button 48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293" name="Button 48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294" name="Button 48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295" name="Button 48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296" name="Button 49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297" name="Button 49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298" name="Button 49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299" name="Button 49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300" name="Button 50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301" name="Button 50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302" name="Button 50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303" name="Button 50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304" name="Button 50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305" name="Button 50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306" name="Button 50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307" name="Button 50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308" name="Button 50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309" name="Button 51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310" name="Button 51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311" name="Button 51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312" name="Button 51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313" name="Button 51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314" name="Button 51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315" name="Button 51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316" name="Button 51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317" name="Button 51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318" name="Button 52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319" name="Button 52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320" name="Button 52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321" name="Button 52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322" name="Button 53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323" name="Button 53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324" name="Button 53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325" name="Button 53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326" name="Button 53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327" name="Button 53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328" name="Button 53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329" name="Button 53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330" name="Button 53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331" name="Button 53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332" name="Button 54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333" name="Button 54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334" name="Button 54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335" name="Button 54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336" name="Button 54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337" name="Button 54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338" name="Button 54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339" name="Button 54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340" name="Button 55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341" name="Button 55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342" name="Button 55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343" name="Button 55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344" name="Button 55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345" name="Button 56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346" name="Button 56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347" name="Button 56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348" name="Button 56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349" name="Button 56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350" name="Button 56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351" name="Button 56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352" name="Button 56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353" name="Button 56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354" name="Button 56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355" name="Button 57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356" name="Button 57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357" name="Button 57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358" name="Button 57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359" name="Button 57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360" name="Button 57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361" name="Button 57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362" name="Button 57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363" name="Button 57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364" name="Button 57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365" name="Button 58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366" name="Button 58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367" name="Button 58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368" name="Button 58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369" name="Button 58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370" name="Button 58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371" name="Button 58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372" name="Button 58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373" name="Button 58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374" name="Button 58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12700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375" name="Button 59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376" name="Button 59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377" name="Button 59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378" name="Button 59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379" name="Button 59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380" name="Button 59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381" name="Button 59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382" name="Button 59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383" name="Button 59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384" name="Button 59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385" name="Button 60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386" name="Button 60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387" name="Button 60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388" name="Button 60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389" name="Button 60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390" name="Button 60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391" name="Button 60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392" name="Button 60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393" name="Button 61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394" name="Button 61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395" name="Button 61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396" name="Button 61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397" name="Button 61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398" name="Button 62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399" name="Button 62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400" name="Button 62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401" name="Button 62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402" name="Button 62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403" name="Button 62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404" name="Button 62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405" name="Button 62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406" name="Button 62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407" name="Button 62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408" name="Button 63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409" name="Button 63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410" name="Button 63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411" name="Button 63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412" name="Button 63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413" name="Button 63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414" name="Button 63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415" name="Button 64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416" name="Button 64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417" name="Button 64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418" name="Button 64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419" name="Button 64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420" name="Button 64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421" name="Button 65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422" name="Button 65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423" name="Button 65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424" name="Button 65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425" name="Button 65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426" name="Button 65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427" name="Button 65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428" name="Button 65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429" name="Button 65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430" name="Button 65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431" name="Button 66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432" name="Button 66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433" name="Button 66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434" name="Button 66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435" name="Button 67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436" name="Button 67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437" name="Button 67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438" name="Button 67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439" name="Button 67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440" name="Button 67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441" name="Button 67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442" name="Button 67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443" name="Button 67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444" name="Button 68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445" name="Button 68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446" name="Button 68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447" name="Button 68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448" name="Button 68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449" name="Button 68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450" name="Button 68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451" name="Button 68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452" name="Button 68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453" name="Button 69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454" name="Button 69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455" name="Button 69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456" name="Button 69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457" name="Button 70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458" name="Button 70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459" name="Button 70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460" name="Button 70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461" name="Button 70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462" name="Button 70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463" name="Button 706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464" name="Button 707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465" name="Button 70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466" name="Button 70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67" name="Button 710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68" name="Button 711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69" name="Button 712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70" name="Button 713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71" name="Button 714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72" name="Button 715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3" name="Button 718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74" name="Button 719">
              <controlPr defaultSize="0" print="0" autoFill="0" autoPict="0">
                <anchor moveWithCells="1" sizeWithCells="1">
                  <from>
                    <xdr:col>4</xdr:col>
                    <xdr:colOff>25400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475" name="Button 758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1</xdr:row>
                    <xdr:rowOff>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476" name="Button 759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1</xdr:row>
                    <xdr:rowOff>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477" name="Button 760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1</xdr:row>
                    <xdr:rowOff>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478" name="Button 761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1</xdr:row>
                    <xdr:rowOff>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479" name="Button 762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1</xdr:row>
                    <xdr:rowOff>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480" name="Button 763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1</xdr:row>
                    <xdr:rowOff>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481" name="Button 764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1</xdr:row>
                    <xdr:rowOff>0</xdr:rowOff>
                  </from>
                  <to>
                    <xdr:col>1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S40"/>
  <sheetViews>
    <sheetView view="pageBreakPreview" zoomScale="70" zoomScaleNormal="100" zoomScaleSheetLayoutView="70" workbookViewId="0">
      <selection activeCell="V22" sqref="V22"/>
    </sheetView>
  </sheetViews>
  <sheetFormatPr baseColWidth="10" defaultColWidth="10.33203125" defaultRowHeight="19.25" customHeight="1"/>
  <cols>
    <col min="1" max="16384" width="10.33203125" style="80"/>
  </cols>
  <sheetData>
    <row r="1" spans="1:19" s="78" customFormat="1" ht="29" customHeight="1">
      <c r="A1" s="369" t="s">
        <v>4420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</row>
    <row r="2" spans="1:19" ht="10.5" customHeight="1" thickBo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</row>
    <row r="3" spans="1:19" s="85" customFormat="1" ht="20" customHeight="1" thickTop="1" thickBot="1">
      <c r="A3" s="81" t="s">
        <v>15</v>
      </c>
      <c r="B3" s="82" t="s">
        <v>16</v>
      </c>
      <c r="C3" s="82" t="s">
        <v>17</v>
      </c>
      <c r="D3" s="82" t="s">
        <v>18</v>
      </c>
      <c r="E3" s="83" t="s">
        <v>19</v>
      </c>
      <c r="F3" s="84" t="s">
        <v>1072</v>
      </c>
      <c r="G3" s="213" t="s">
        <v>1062</v>
      </c>
      <c r="H3" s="214" t="s">
        <v>1063</v>
      </c>
      <c r="I3" s="214" t="s">
        <v>1064</v>
      </c>
      <c r="J3" s="214" t="s">
        <v>1065</v>
      </c>
      <c r="K3" s="215" t="s">
        <v>1066</v>
      </c>
      <c r="L3" s="216" t="s">
        <v>1073</v>
      </c>
      <c r="M3" s="213" t="s">
        <v>1062</v>
      </c>
      <c r="N3" s="214" t="s">
        <v>1063</v>
      </c>
      <c r="O3" s="214" t="s">
        <v>1067</v>
      </c>
      <c r="P3" s="214" t="s">
        <v>1065</v>
      </c>
      <c r="Q3" s="215" t="s">
        <v>1066</v>
      </c>
      <c r="R3" s="216" t="s">
        <v>1073</v>
      </c>
    </row>
    <row r="4" spans="1:19" s="85" customFormat="1" ht="20" customHeight="1">
      <c r="A4" s="217" t="s">
        <v>5</v>
      </c>
      <c r="B4" s="218" t="s">
        <v>4333</v>
      </c>
      <c r="C4" s="218">
        <f>GETPIVOTDATA("性別",查表!$K$3,"班級","電子一忠","性別","男")</f>
        <v>33</v>
      </c>
      <c r="D4" s="218">
        <f>GETPIVOTDATA("性別",查表!$K$3,"班級","電子一忠","性別","女")</f>
        <v>5</v>
      </c>
      <c r="E4" s="219">
        <f>SUM(C4:D4)</f>
        <v>38</v>
      </c>
      <c r="F4" s="87"/>
      <c r="G4" s="310" t="s">
        <v>62</v>
      </c>
      <c r="H4" s="218" t="s">
        <v>3416</v>
      </c>
      <c r="I4" s="305">
        <f>GETPIVOTDATA("性別",查表!$K$3,"班級","電子二忠","性別","男")</f>
        <v>29</v>
      </c>
      <c r="J4" s="305">
        <f>GETPIVOTDATA("性別",查表!$K$3,"班級","電子二忠","性別","女")</f>
        <v>4</v>
      </c>
      <c r="K4" s="306">
        <f>SUM(I4:J4)</f>
        <v>33</v>
      </c>
      <c r="L4" s="87"/>
      <c r="M4" s="221" t="s">
        <v>81</v>
      </c>
      <c r="N4" s="305" t="s">
        <v>4354</v>
      </c>
      <c r="O4" s="218">
        <f>GETPIVOTDATA("性別",查表!$K$3,"班級","電子三忠","性別","男")</f>
        <v>29</v>
      </c>
      <c r="P4" s="218">
        <f>GETPIVOTDATA("性別",查表!$K$3,"班級","電子三忠","性別","女")</f>
        <v>4</v>
      </c>
      <c r="Q4" s="219">
        <f>SUM(O4:P4)</f>
        <v>33</v>
      </c>
      <c r="R4" s="220"/>
    </row>
    <row r="5" spans="1:19" s="85" customFormat="1" ht="20" customHeight="1">
      <c r="A5" s="222" t="s">
        <v>46</v>
      </c>
      <c r="B5" s="218" t="s">
        <v>4334</v>
      </c>
      <c r="C5" s="218">
        <f>GETPIVOTDATA("性別",查表!$K$3,"班級","電子一孝","性別","男")</f>
        <v>31</v>
      </c>
      <c r="D5" s="218">
        <f>GETPIVOTDATA("性別",查表!$K$3,"班級","電子一孝","性別","女")</f>
        <v>6</v>
      </c>
      <c r="E5" s="223">
        <f>SUM(C5:D5)</f>
        <v>37</v>
      </c>
      <c r="F5" s="91"/>
      <c r="G5" s="315" t="s">
        <v>63</v>
      </c>
      <c r="H5" s="218" t="s">
        <v>3417</v>
      </c>
      <c r="I5" s="305">
        <f>GETPIVOTDATA("性別",查表!$K$3,"班級","電子二孝","性別","男")</f>
        <v>28</v>
      </c>
      <c r="J5" s="305">
        <f>GETPIVOTDATA("性別",查表!$K$3,"班級","電子二孝","性別","女")</f>
        <v>3</v>
      </c>
      <c r="K5" s="316">
        <f t="shared" ref="K5:K20" si="0">SUM(I5:J5)</f>
        <v>31</v>
      </c>
      <c r="L5" s="322"/>
      <c r="M5" s="225" t="s">
        <v>82</v>
      </c>
      <c r="N5" s="305" t="s">
        <v>2743</v>
      </c>
      <c r="O5" s="218">
        <f>GETPIVOTDATA("性別",查表!$K$3,"班級","電子三孝","性別","男")</f>
        <v>26</v>
      </c>
      <c r="P5" s="218">
        <f>GETPIVOTDATA("性別",查表!$K$3,"班級","電子三孝","性別","女")</f>
        <v>1</v>
      </c>
      <c r="Q5" s="223">
        <f t="shared" ref="Q5:Q20" si="1">SUM(O5:P5)</f>
        <v>27</v>
      </c>
      <c r="R5" s="224"/>
    </row>
    <row r="6" spans="1:19" s="85" customFormat="1" ht="20" customHeight="1">
      <c r="A6" s="222" t="s">
        <v>47</v>
      </c>
      <c r="B6" s="218" t="s">
        <v>4335</v>
      </c>
      <c r="C6" s="218">
        <f>GETPIVOTDATA("性別",查表!$K$3,"班級","電子一仁","性別","男")</f>
        <v>32</v>
      </c>
      <c r="D6" s="218">
        <f>GETPIVOTDATA("性別",查表!$K$3,"班級","電子一仁","性別","女")</f>
        <v>5</v>
      </c>
      <c r="E6" s="223">
        <f>SUM(C6:D6)</f>
        <v>37</v>
      </c>
      <c r="F6" s="91"/>
      <c r="G6" s="315" t="s">
        <v>729</v>
      </c>
      <c r="H6" s="218" t="s">
        <v>3484</v>
      </c>
      <c r="I6" s="305">
        <f>GETPIVOTDATA("性別",查表!$K$3,"班級","電子二仁","性別","男")</f>
        <v>29</v>
      </c>
      <c r="J6" s="305">
        <f>GETPIVOTDATA("性別",查表!$K$3,"班級","電子二仁","性別","女")</f>
        <v>4</v>
      </c>
      <c r="K6" s="316">
        <f t="shared" si="0"/>
        <v>33</v>
      </c>
      <c r="L6" s="322"/>
      <c r="M6" s="225" t="s">
        <v>83</v>
      </c>
      <c r="N6" s="305" t="s">
        <v>2744</v>
      </c>
      <c r="O6" s="218">
        <f>GETPIVOTDATA("性別",查表!$K$3,"班級","電子三仁","性別","男")</f>
        <v>30</v>
      </c>
      <c r="P6" s="218">
        <f>GETPIVOTDATA("性別",查表!$K$3,"班級","電子三仁","性別","女")</f>
        <v>4</v>
      </c>
      <c r="Q6" s="223">
        <f t="shared" si="1"/>
        <v>34</v>
      </c>
      <c r="R6" s="224"/>
    </row>
    <row r="7" spans="1:19" s="85" customFormat="1" ht="20" customHeight="1" thickBot="1">
      <c r="A7" s="226" t="s">
        <v>48</v>
      </c>
      <c r="B7" s="227" t="s">
        <v>4336</v>
      </c>
      <c r="C7" s="227">
        <f>GETPIVOTDATA("性別",查表!$K$3,"班級","電子一愛","性別","男")</f>
        <v>31</v>
      </c>
      <c r="D7" s="227">
        <f>GETPIVOTDATA("性別",查表!$K$3,"班級","電子一愛","性別","女")</f>
        <v>6</v>
      </c>
      <c r="E7" s="228">
        <f>SUM(C7:D7)</f>
        <v>37</v>
      </c>
      <c r="F7" s="93"/>
      <c r="G7" s="307" t="s">
        <v>68</v>
      </c>
      <c r="H7" s="227" t="s">
        <v>3418</v>
      </c>
      <c r="I7" s="308">
        <f>GETPIVOTDATA("性別",查表!$K$3,"班級","電子二愛","性別","男")</f>
        <v>26</v>
      </c>
      <c r="J7" s="308">
        <f>GETPIVOTDATA("性別",查表!$K$3,"班級","電子二愛","性別","女")</f>
        <v>5</v>
      </c>
      <c r="K7" s="309">
        <f t="shared" si="0"/>
        <v>31</v>
      </c>
      <c r="L7" s="323"/>
      <c r="M7" s="230" t="s">
        <v>84</v>
      </c>
      <c r="N7" s="305" t="s">
        <v>2745</v>
      </c>
      <c r="O7" s="227">
        <f>GETPIVOTDATA("性別",查表!$K$3,"班級","電子三愛","性別","男")</f>
        <v>28</v>
      </c>
      <c r="P7" s="227">
        <f>GETPIVOTDATA("性別",查表!$K$3,"班級","電子三愛","性別","女")</f>
        <v>4</v>
      </c>
      <c r="Q7" s="228">
        <f t="shared" si="1"/>
        <v>32</v>
      </c>
      <c r="R7" s="229"/>
    </row>
    <row r="8" spans="1:19" s="85" customFormat="1" ht="20" customHeight="1">
      <c r="A8" s="217" t="s">
        <v>49</v>
      </c>
      <c r="B8" s="218" t="s">
        <v>4337</v>
      </c>
      <c r="C8" s="218">
        <f>GETPIVOTDATA("性別",查表!$K$3,"班級","電機一忠","性別","男")</f>
        <v>33</v>
      </c>
      <c r="D8" s="218">
        <f>GETPIVOTDATA("性別",查表!$K$3,"班級","電機一忠","性別","女")</f>
        <v>6</v>
      </c>
      <c r="E8" s="219">
        <f t="shared" ref="E8:E18" si="2">SUM(C8:D8)</f>
        <v>39</v>
      </c>
      <c r="F8" s="87"/>
      <c r="G8" s="217" t="s">
        <v>69</v>
      </c>
      <c r="H8" s="218" t="s">
        <v>3419</v>
      </c>
      <c r="I8" s="218">
        <f>GETPIVOTDATA("性別",查表!$K$3,"班級","電機二忠","性別","男")</f>
        <v>29</v>
      </c>
      <c r="J8" s="218">
        <f>GETPIVOTDATA("性別",查表!$K$3,"班級","電機二忠","性別","女")</f>
        <v>5</v>
      </c>
      <c r="K8" s="219">
        <f t="shared" si="0"/>
        <v>34</v>
      </c>
      <c r="L8" s="220"/>
      <c r="M8" s="221" t="s">
        <v>85</v>
      </c>
      <c r="N8" s="231" t="s">
        <v>2746</v>
      </c>
      <c r="O8" s="218">
        <f>GETPIVOTDATA("性別",查表!$K$3,"班級","電機三忠","性別","男")</f>
        <v>35</v>
      </c>
      <c r="P8" s="218">
        <f>GETPIVOTDATA("性別",查表!$K$3,"班級","電機三忠","性別","女")</f>
        <v>0</v>
      </c>
      <c r="Q8" s="219">
        <f t="shared" si="1"/>
        <v>35</v>
      </c>
      <c r="R8" s="220"/>
    </row>
    <row r="9" spans="1:19" s="85" customFormat="1" ht="20" customHeight="1">
      <c r="A9" s="222" t="s">
        <v>50</v>
      </c>
      <c r="B9" s="218" t="s">
        <v>4338</v>
      </c>
      <c r="C9" s="218">
        <f>GETPIVOTDATA("性別",查表!$K$3,"班級","電機一孝","性別","男")</f>
        <v>38</v>
      </c>
      <c r="D9" s="218">
        <f>GETPIVOTDATA("性別",查表!$K$3,"班級","電機一孝","性別","女")</f>
        <v>0</v>
      </c>
      <c r="E9" s="223">
        <f t="shared" si="2"/>
        <v>38</v>
      </c>
      <c r="F9" s="91"/>
      <c r="G9" s="222" t="s">
        <v>70</v>
      </c>
      <c r="H9" s="218" t="s">
        <v>3420</v>
      </c>
      <c r="I9" s="218">
        <f>GETPIVOTDATA("性別",查表!$K$3,"班級","電機二孝","性別","男")</f>
        <v>32</v>
      </c>
      <c r="J9" s="218">
        <f>GETPIVOTDATA("性別",查表!$K$3,"班級","電機二孝","性別","女")</f>
        <v>0</v>
      </c>
      <c r="K9" s="219">
        <f t="shared" si="0"/>
        <v>32</v>
      </c>
      <c r="L9" s="224"/>
      <c r="M9" s="225" t="s">
        <v>86</v>
      </c>
      <c r="N9" s="218" t="s">
        <v>4355</v>
      </c>
      <c r="O9" s="218">
        <f>GETPIVOTDATA("性別",查表!$K$3,"班級","電機三孝","性別","男")</f>
        <v>37</v>
      </c>
      <c r="P9" s="218">
        <f>GETPIVOTDATA("性別",查表!$K$3,"班級","電機三孝","性別","女")</f>
        <v>0</v>
      </c>
      <c r="Q9" s="223">
        <f t="shared" si="1"/>
        <v>37</v>
      </c>
      <c r="R9" s="224"/>
    </row>
    <row r="10" spans="1:19" s="85" customFormat="1" ht="20" customHeight="1">
      <c r="A10" s="222" t="s">
        <v>51</v>
      </c>
      <c r="B10" s="218" t="s">
        <v>4339</v>
      </c>
      <c r="C10" s="218">
        <f>GETPIVOTDATA("性別",查表!$K$3,"班級","電機一仁","性別","男")</f>
        <v>39</v>
      </c>
      <c r="D10" s="218">
        <f>GETPIVOTDATA("性別",查表!$K$3,"班級","電機一仁","性別","女")</f>
        <v>0</v>
      </c>
      <c r="E10" s="223">
        <f t="shared" si="2"/>
        <v>39</v>
      </c>
      <c r="F10" s="91"/>
      <c r="G10" s="222" t="s">
        <v>71</v>
      </c>
      <c r="H10" s="218" t="s">
        <v>3421</v>
      </c>
      <c r="I10" s="218">
        <f>GETPIVOTDATA("性別",查表!$K$3,"班級","電機二仁","性別","男")</f>
        <v>35</v>
      </c>
      <c r="J10" s="218">
        <f>GETPIVOTDATA("性別",查表!$K$3,"班級","電機二仁","性別","女")</f>
        <v>0</v>
      </c>
      <c r="K10" s="223">
        <f t="shared" si="0"/>
        <v>35</v>
      </c>
      <c r="L10" s="224"/>
      <c r="M10" s="225" t="s">
        <v>87</v>
      </c>
      <c r="N10" s="218" t="s">
        <v>2747</v>
      </c>
      <c r="O10" s="218">
        <f>GETPIVOTDATA("性別",查表!$K$3,"班級","電機三仁","性別","男")</f>
        <v>31</v>
      </c>
      <c r="P10" s="218">
        <f>GETPIVOTDATA("性別",查表!$K$3,"班級","電機三仁","性別","女")</f>
        <v>0</v>
      </c>
      <c r="Q10" s="223">
        <f t="shared" si="1"/>
        <v>31</v>
      </c>
      <c r="R10" s="224"/>
    </row>
    <row r="11" spans="1:19" s="85" customFormat="1" ht="20" customHeight="1" thickBot="1">
      <c r="A11" s="226" t="s">
        <v>52</v>
      </c>
      <c r="B11" s="232" t="s">
        <v>4340</v>
      </c>
      <c r="C11" s="232">
        <f>GETPIVOTDATA("性別",查表!$K$3,"班級","電機一愛","性別","男")</f>
        <v>38</v>
      </c>
      <c r="D11" s="232">
        <f>GETPIVOTDATA("性別",查表!$K$3,"班級","電機一愛","性別","女")</f>
        <v>0</v>
      </c>
      <c r="E11" s="228">
        <f t="shared" si="2"/>
        <v>38</v>
      </c>
      <c r="F11" s="93"/>
      <c r="G11" s="226" t="s">
        <v>72</v>
      </c>
      <c r="H11" s="232" t="s">
        <v>3422</v>
      </c>
      <c r="I11" s="232">
        <f>GETPIVOTDATA("性別",查表!$K$3,"班級","電機二愛","性別","男")</f>
        <v>36</v>
      </c>
      <c r="J11" s="232">
        <f>GETPIVOTDATA("性別",查表!$K$3,"班級","電機二愛","性別","女")</f>
        <v>0</v>
      </c>
      <c r="K11" s="228">
        <f t="shared" si="0"/>
        <v>36</v>
      </c>
      <c r="L11" s="229"/>
      <c r="M11" s="230" t="s">
        <v>88</v>
      </c>
      <c r="N11" s="232" t="s">
        <v>2748</v>
      </c>
      <c r="O11" s="232">
        <f>GETPIVOTDATA("性別",查表!$K$3,"班級","電機三愛","性別","男")</f>
        <v>32</v>
      </c>
      <c r="P11" s="232">
        <f>GETPIVOTDATA("性別",查表!$K$3,"班級","電機三愛","性別","女")</f>
        <v>2</v>
      </c>
      <c r="Q11" s="228">
        <f t="shared" si="1"/>
        <v>34</v>
      </c>
      <c r="R11" s="229"/>
    </row>
    <row r="12" spans="1:19" s="85" customFormat="1" ht="20" customHeight="1">
      <c r="A12" s="217" t="s">
        <v>53</v>
      </c>
      <c r="B12" s="218" t="s">
        <v>4353</v>
      </c>
      <c r="C12" s="218">
        <f>GETPIVOTDATA("性別",查表!$K$3,"班級","資訊一忠","性別","男")</f>
        <v>34</v>
      </c>
      <c r="D12" s="218">
        <f>GETPIVOTDATA("性別",查表!$K$3,"班級","資訊一忠","性別","女")</f>
        <v>4</v>
      </c>
      <c r="E12" s="219">
        <f t="shared" si="2"/>
        <v>38</v>
      </c>
      <c r="F12" s="87"/>
      <c r="G12" s="217" t="s">
        <v>73</v>
      </c>
      <c r="H12" s="218" t="s">
        <v>3423</v>
      </c>
      <c r="I12" s="218">
        <f>GETPIVOTDATA("性別",查表!$K$3,"班級","資訊二忠","性別","男")</f>
        <v>29</v>
      </c>
      <c r="J12" s="218">
        <f>GETPIVOTDATA("性別",查表!$K$3,"班級","資訊二忠","性別","女")</f>
        <v>5</v>
      </c>
      <c r="K12" s="219">
        <f t="shared" si="0"/>
        <v>34</v>
      </c>
      <c r="L12" s="220"/>
      <c r="M12" s="221" t="s">
        <v>89</v>
      </c>
      <c r="N12" s="218" t="s">
        <v>2749</v>
      </c>
      <c r="O12" s="218">
        <f>GETPIVOTDATA("性別",查表!$K$3,"班級","資訊三忠","性別","男")</f>
        <v>34</v>
      </c>
      <c r="P12" s="218">
        <f>GETPIVOTDATA("性別",查表!$K$3,"班級","資訊三忠","性別","女")</f>
        <v>3</v>
      </c>
      <c r="Q12" s="219">
        <f t="shared" si="1"/>
        <v>37</v>
      </c>
      <c r="R12" s="220"/>
    </row>
    <row r="13" spans="1:19" s="85" customFormat="1" ht="20" customHeight="1">
      <c r="A13" s="222" t="s">
        <v>54</v>
      </c>
      <c r="B13" s="218" t="s">
        <v>4341</v>
      </c>
      <c r="C13" s="218">
        <f>GETPIVOTDATA("性別",查表!$K$3,"班級","資訊一孝","性別","男")</f>
        <v>34</v>
      </c>
      <c r="D13" s="218">
        <f>GETPIVOTDATA("性別",查表!$K$3,"班級","資訊一孝","性別","女")</f>
        <v>3</v>
      </c>
      <c r="E13" s="223">
        <f t="shared" si="2"/>
        <v>37</v>
      </c>
      <c r="F13" s="91"/>
      <c r="G13" s="222" t="s">
        <v>74</v>
      </c>
      <c r="H13" s="218" t="s">
        <v>3424</v>
      </c>
      <c r="I13" s="218">
        <f>GETPIVOTDATA("性別",查表!$K$3,"班級","資訊二孝","性別","男")</f>
        <v>29</v>
      </c>
      <c r="J13" s="218">
        <f>GETPIVOTDATA("性別",查表!$K$3,"班級","資訊二孝","性別","女")</f>
        <v>5</v>
      </c>
      <c r="K13" s="223">
        <f t="shared" si="0"/>
        <v>34</v>
      </c>
      <c r="L13" s="224"/>
      <c r="M13" s="225" t="s">
        <v>90</v>
      </c>
      <c r="N13" s="218" t="s">
        <v>2750</v>
      </c>
      <c r="O13" s="218">
        <f>GETPIVOTDATA("性別",查表!$K$3,"班級","資訊三孝","性別","男")</f>
        <v>34</v>
      </c>
      <c r="P13" s="218">
        <f>GETPIVOTDATA("性別",查表!$K$3,"班級","資訊三孝","性別","女")</f>
        <v>3</v>
      </c>
      <c r="Q13" s="223">
        <f t="shared" si="1"/>
        <v>37</v>
      </c>
      <c r="R13" s="224"/>
    </row>
    <row r="14" spans="1:19" s="85" customFormat="1" ht="20" customHeight="1" thickBot="1">
      <c r="A14" s="226" t="s">
        <v>61</v>
      </c>
      <c r="B14" s="232" t="s">
        <v>4342</v>
      </c>
      <c r="C14" s="227">
        <f>GETPIVOTDATA("性別",查表!$K$3,"班級","資訊一仁","性別","男")</f>
        <v>35</v>
      </c>
      <c r="D14" s="227">
        <f>GETPIVOTDATA("性別",查表!$K$3,"班級","資訊一仁","性別","女")</f>
        <v>3</v>
      </c>
      <c r="E14" s="228">
        <f t="shared" si="2"/>
        <v>38</v>
      </c>
      <c r="F14" s="93"/>
      <c r="G14" s="226" t="s">
        <v>75</v>
      </c>
      <c r="H14" s="232" t="s">
        <v>3425</v>
      </c>
      <c r="I14" s="227">
        <f>GETPIVOTDATA("性別",查表!$K$3,"班級","資訊二仁","性別","男")</f>
        <v>29</v>
      </c>
      <c r="J14" s="227">
        <f>GETPIVOTDATA("性別",查表!$K$3,"班級","資訊二仁","性別","女")</f>
        <v>5</v>
      </c>
      <c r="K14" s="228">
        <f t="shared" si="0"/>
        <v>34</v>
      </c>
      <c r="L14" s="229"/>
      <c r="M14" s="230" t="s">
        <v>91</v>
      </c>
      <c r="N14" s="232" t="s">
        <v>2751</v>
      </c>
      <c r="O14" s="227">
        <f>GETPIVOTDATA("性別",查表!$K$3,"班級","資訊三仁","性別","男")</f>
        <v>34</v>
      </c>
      <c r="P14" s="227">
        <f>GETPIVOTDATA("性別",查表!$K$3,"班級","資訊三仁","性別","女")</f>
        <v>2</v>
      </c>
      <c r="Q14" s="228">
        <f t="shared" si="1"/>
        <v>36</v>
      </c>
      <c r="R14" s="229"/>
    </row>
    <row r="15" spans="1:19" s="85" customFormat="1" ht="20" customHeight="1">
      <c r="A15" s="303" t="s">
        <v>55</v>
      </c>
      <c r="B15" s="304" t="s">
        <v>4343</v>
      </c>
      <c r="C15" s="305">
        <f>GETPIVOTDATA("性別",查表!$K$3,"班級","控制一忠","性別","男")</f>
        <v>35</v>
      </c>
      <c r="D15" s="305">
        <f>GETPIVOTDATA("性別",查表!$K$3,"班級","控制一忠","性別","女")</f>
        <v>3</v>
      </c>
      <c r="E15" s="306">
        <f t="shared" si="2"/>
        <v>38</v>
      </c>
      <c r="F15" s="317"/>
      <c r="G15" s="233" t="s">
        <v>76</v>
      </c>
      <c r="H15" s="304" t="s">
        <v>3426</v>
      </c>
      <c r="I15" s="218">
        <f>GETPIVOTDATA("性別",查表!$K$3,"班級","控制二忠","性別","男")</f>
        <v>29</v>
      </c>
      <c r="J15" s="218">
        <f>GETPIVOTDATA("性別",查表!$K$3,"班級","控制二忠","性別","女")</f>
        <v>3</v>
      </c>
      <c r="K15" s="219">
        <f t="shared" si="0"/>
        <v>32</v>
      </c>
      <c r="L15" s="220"/>
      <c r="M15" s="221" t="s">
        <v>92</v>
      </c>
      <c r="N15" s="231" t="s">
        <v>2752</v>
      </c>
      <c r="O15" s="218">
        <f>GETPIVOTDATA("性別",查表!$K$3,"班級","控制三忠","性別","男")</f>
        <v>27</v>
      </c>
      <c r="P15" s="218">
        <f>GETPIVOTDATA("性別",查表!$K$3,"班級","控制三忠","性別","女")</f>
        <v>3</v>
      </c>
      <c r="Q15" s="219">
        <f t="shared" si="1"/>
        <v>30</v>
      </c>
      <c r="R15" s="220"/>
    </row>
    <row r="16" spans="1:19" s="85" customFormat="1" ht="20" customHeight="1" thickBot="1">
      <c r="A16" s="307" t="s">
        <v>56</v>
      </c>
      <c r="B16" s="308" t="s">
        <v>4344</v>
      </c>
      <c r="C16" s="308">
        <f>GETPIVOTDATA("性別",查表!$K$3,"班級","控制一孝","性別","男")</f>
        <v>34</v>
      </c>
      <c r="D16" s="308">
        <f>GETPIVOTDATA("性別",查表!$K$3,"班級","控制一孝","性別","女")</f>
        <v>4</v>
      </c>
      <c r="E16" s="309">
        <f t="shared" si="2"/>
        <v>38</v>
      </c>
      <c r="F16" s="318"/>
      <c r="G16" s="226" t="s">
        <v>77</v>
      </c>
      <c r="H16" s="308" t="s">
        <v>3427</v>
      </c>
      <c r="I16" s="227">
        <f>GETPIVOTDATA("性別",查表!$K$3,"班級","控制二孝","性別","男")</f>
        <v>27</v>
      </c>
      <c r="J16" s="227">
        <f>GETPIVOTDATA("性別",查表!$K$3,"班級","控制二孝","性別","女")</f>
        <v>2</v>
      </c>
      <c r="K16" s="228">
        <f t="shared" si="0"/>
        <v>29</v>
      </c>
      <c r="L16" s="229"/>
      <c r="M16" s="230" t="s">
        <v>93</v>
      </c>
      <c r="N16" s="234" t="s">
        <v>2753</v>
      </c>
      <c r="O16" s="227">
        <f>GETPIVOTDATA("性別",查表!$K$3,"班級","控制三孝","性別","男")</f>
        <v>25</v>
      </c>
      <c r="P16" s="227">
        <f>GETPIVOTDATA("性別",查表!$K$3,"班級","控制三孝","性別","女")</f>
        <v>4</v>
      </c>
      <c r="Q16" s="228">
        <f t="shared" si="1"/>
        <v>29</v>
      </c>
      <c r="R16" s="229"/>
    </row>
    <row r="17" spans="1:19" s="85" customFormat="1" ht="20" customHeight="1">
      <c r="A17" s="310" t="s">
        <v>57</v>
      </c>
      <c r="B17" s="305" t="s">
        <v>4345</v>
      </c>
      <c r="C17" s="305">
        <f>GETPIVOTDATA("性別",查表!$K$3,"班級","冷凍一忠","性別","男")</f>
        <v>35</v>
      </c>
      <c r="D17" s="305">
        <f>GETPIVOTDATA("性別",查表!$K$3,"班級","冷凍一忠","性別","女")</f>
        <v>4</v>
      </c>
      <c r="E17" s="306">
        <f t="shared" si="2"/>
        <v>39</v>
      </c>
      <c r="F17" s="317"/>
      <c r="G17" s="217" t="s">
        <v>78</v>
      </c>
      <c r="H17" s="305" t="s">
        <v>3428</v>
      </c>
      <c r="I17" s="218">
        <f>GETPIVOTDATA("性別",查表!$K$3,"班級","冷凍二忠","性別","男")</f>
        <v>30</v>
      </c>
      <c r="J17" s="218">
        <f>GETPIVOTDATA("性別",查表!$K$3,"班級","冷凍二忠","性別","女")</f>
        <v>3</v>
      </c>
      <c r="K17" s="219">
        <f t="shared" si="0"/>
        <v>33</v>
      </c>
      <c r="L17" s="220"/>
      <c r="M17" s="221" t="s">
        <v>94</v>
      </c>
      <c r="N17" s="231" t="s">
        <v>2754</v>
      </c>
      <c r="O17" s="218">
        <f>GETPIVOTDATA("性別",查表!$K$3,"班級","冷凍三忠","性別","男")</f>
        <v>31</v>
      </c>
      <c r="P17" s="218">
        <f>GETPIVOTDATA("性別",查表!$K$3,"班級","冷凍三忠","性別","女")</f>
        <v>0</v>
      </c>
      <c r="Q17" s="219">
        <f t="shared" si="1"/>
        <v>31</v>
      </c>
      <c r="R17" s="220"/>
    </row>
    <row r="18" spans="1:19" s="85" customFormat="1" ht="20" customHeight="1" thickBot="1">
      <c r="A18" s="307" t="s">
        <v>58</v>
      </c>
      <c r="B18" s="308" t="s">
        <v>4346</v>
      </c>
      <c r="C18" s="308">
        <f>GETPIVOTDATA("性別",查表!$K$3,"班級","冷凍一孝","性別","男")</f>
        <v>38</v>
      </c>
      <c r="D18" s="308">
        <f>GETPIVOTDATA("性別",查表!$K$3,"班級","冷凍一孝","性別","女")</f>
        <v>0</v>
      </c>
      <c r="E18" s="309">
        <f t="shared" si="2"/>
        <v>38</v>
      </c>
      <c r="F18" s="318"/>
      <c r="G18" s="226" t="s">
        <v>79</v>
      </c>
      <c r="H18" s="308" t="s">
        <v>3429</v>
      </c>
      <c r="I18" s="227">
        <f>GETPIVOTDATA("性別",查表!$K$3,"班級","冷凍二孝","性別","男")</f>
        <v>34</v>
      </c>
      <c r="J18" s="227">
        <f>GETPIVOTDATA("性別",查表!$K$3,"班級","冷凍二孝","性別","女")</f>
        <v>0</v>
      </c>
      <c r="K18" s="228">
        <f t="shared" si="0"/>
        <v>34</v>
      </c>
      <c r="L18" s="229"/>
      <c r="M18" s="230" t="s">
        <v>95</v>
      </c>
      <c r="N18" s="227" t="s">
        <v>4350</v>
      </c>
      <c r="O18" s="227">
        <f>GETPIVOTDATA("性別",查表!$K$3,"班級","冷凍三孝","性別","男")</f>
        <v>28</v>
      </c>
      <c r="P18" s="227">
        <f>GETPIVOTDATA("性別",查表!$K$3,"班級","冷凍三孝","性別","女")</f>
        <v>3</v>
      </c>
      <c r="Q18" s="228">
        <f t="shared" si="1"/>
        <v>31</v>
      </c>
      <c r="R18" s="229"/>
    </row>
    <row r="19" spans="1:19" s="85" customFormat="1" ht="20" customHeight="1">
      <c r="A19" s="303" t="s">
        <v>1084</v>
      </c>
      <c r="B19" s="304" t="s">
        <v>4347</v>
      </c>
      <c r="C19" s="305">
        <f>GETPIVOTDATA("性別",查表!$K$3,"班級","應英一忠","性別","男")</f>
        <v>14</v>
      </c>
      <c r="D19" s="305">
        <f>GETPIVOTDATA("性別",查表!$K$3,"班級","應英一忠","性別","女")</f>
        <v>19</v>
      </c>
      <c r="E19" s="311">
        <f>SUM(C19:D19)</f>
        <v>33</v>
      </c>
      <c r="F19" s="319"/>
      <c r="G19" s="233" t="s">
        <v>1303</v>
      </c>
      <c r="H19" s="304" t="s">
        <v>3454</v>
      </c>
      <c r="I19" s="218">
        <f>GETPIVOTDATA("性別",查表!$K$3,"班級","應英二忠","性別","男")</f>
        <v>16</v>
      </c>
      <c r="J19" s="218">
        <f>GETPIVOTDATA("性別",查表!$K$3,"班級","應英二忠","性別","女")</f>
        <v>16</v>
      </c>
      <c r="K19" s="235">
        <f t="shared" si="0"/>
        <v>32</v>
      </c>
      <c r="L19" s="236"/>
      <c r="M19" s="233" t="s">
        <v>2740</v>
      </c>
      <c r="N19" s="231" t="s">
        <v>4351</v>
      </c>
      <c r="O19" s="218">
        <f>GETPIVOTDATA("性別",查表!$K$3,"班級","應英三忠","性別","男")</f>
        <v>12</v>
      </c>
      <c r="P19" s="218">
        <f>GETPIVOTDATA("性別",查表!$K$3,"班級","應英三忠","性別","女")</f>
        <v>20</v>
      </c>
      <c r="Q19" s="219">
        <f t="shared" si="1"/>
        <v>32</v>
      </c>
      <c r="R19" s="236"/>
    </row>
    <row r="20" spans="1:19" s="85" customFormat="1" ht="20" customHeight="1" thickBot="1">
      <c r="A20" s="312" t="s">
        <v>1086</v>
      </c>
      <c r="B20" s="313" t="s">
        <v>4348</v>
      </c>
      <c r="C20" s="305">
        <f>GETPIVOTDATA("性別",查表!$K$3,"班級","應英一孝","性別","男")</f>
        <v>14</v>
      </c>
      <c r="D20" s="305">
        <f>GETPIVOTDATA("性別",查表!$K$3,"班級","應英一孝","性別","女")</f>
        <v>18</v>
      </c>
      <c r="E20" s="314">
        <f>SUM(C20:D20)</f>
        <v>32</v>
      </c>
      <c r="F20" s="320"/>
      <c r="G20" s="237" t="s">
        <v>1304</v>
      </c>
      <c r="H20" s="313" t="s">
        <v>4349</v>
      </c>
      <c r="I20" s="218">
        <f>GETPIVOTDATA("性別",查表!$K$3,"班級","應英二孝","性別","男")</f>
        <v>17</v>
      </c>
      <c r="J20" s="218">
        <f>GETPIVOTDATA("性別",查表!$K$3,"班級","應英二孝","性別","女")</f>
        <v>15</v>
      </c>
      <c r="K20" s="238">
        <f t="shared" si="0"/>
        <v>32</v>
      </c>
      <c r="L20" s="239"/>
      <c r="M20" s="237" t="s">
        <v>2741</v>
      </c>
      <c r="N20" s="240" t="s">
        <v>4352</v>
      </c>
      <c r="O20" s="218">
        <f>GETPIVOTDATA("性別",查表!$K$3,"班級","應英三孝","性別","男")</f>
        <v>11</v>
      </c>
      <c r="P20" s="218">
        <f>GETPIVOTDATA("性別",查表!$K$3,"班級","應英三孝","性別","女")</f>
        <v>18</v>
      </c>
      <c r="Q20" s="228">
        <f t="shared" si="1"/>
        <v>29</v>
      </c>
      <c r="R20" s="239"/>
    </row>
    <row r="21" spans="1:19" s="96" customFormat="1" ht="20" customHeight="1" thickTop="1" thickBot="1">
      <c r="A21" s="271" t="s">
        <v>12</v>
      </c>
      <c r="B21" s="242"/>
      <c r="C21" s="242">
        <f>SUM(C4:C20)</f>
        <v>548</v>
      </c>
      <c r="D21" s="242">
        <f>SUM(D4:D20)</f>
        <v>86</v>
      </c>
      <c r="E21" s="260">
        <f>SUM(E4:E20)</f>
        <v>634</v>
      </c>
      <c r="F21" s="95" t="s">
        <v>10</v>
      </c>
      <c r="G21" s="241" t="s">
        <v>13</v>
      </c>
      <c r="H21" s="242"/>
      <c r="I21" s="242">
        <f>SUM(I4:I20)</f>
        <v>484</v>
      </c>
      <c r="J21" s="242">
        <f>SUM(J4:J20)</f>
        <v>75</v>
      </c>
      <c r="K21" s="242">
        <f>SUM(K4:K20)</f>
        <v>559</v>
      </c>
      <c r="L21" s="243" t="s">
        <v>10</v>
      </c>
      <c r="M21" s="242" t="s">
        <v>14</v>
      </c>
      <c r="N21" s="242"/>
      <c r="O21" s="242">
        <f>SUM(O4:O20)</f>
        <v>484</v>
      </c>
      <c r="P21" s="242">
        <f>SUM(P4:P20)</f>
        <v>71</v>
      </c>
      <c r="Q21" s="242">
        <f>SUM(Q4:Q20)</f>
        <v>555</v>
      </c>
      <c r="R21" s="243" t="s">
        <v>11</v>
      </c>
    </row>
    <row r="22" spans="1:19" s="85" customFormat="1" ht="20" customHeight="1" thickTop="1">
      <c r="A22" s="244" t="s">
        <v>1191</v>
      </c>
      <c r="B22" s="245" t="s">
        <v>4359</v>
      </c>
      <c r="C22" s="246">
        <f>GETPIVOTDATA("性別",查表!$K$3,"班級","門服一忠","性別","男")</f>
        <v>9</v>
      </c>
      <c r="D22" s="246">
        <f>GETPIVOTDATA("性別",查表!$K$3,"班級","門服一忠","性別","女")</f>
        <v>2</v>
      </c>
      <c r="E22" s="247">
        <f>SUM(C22:D22)</f>
        <v>11</v>
      </c>
      <c r="F22" s="97" t="s">
        <v>10</v>
      </c>
      <c r="G22" s="244" t="s">
        <v>1302</v>
      </c>
      <c r="H22" s="245" t="s">
        <v>3430</v>
      </c>
      <c r="I22" s="246">
        <f>GETPIVOTDATA("性別",查表!$K$3,"班級","門服二忠","性別","男")</f>
        <v>8</v>
      </c>
      <c r="J22" s="246">
        <f>GETPIVOTDATA("性別",查表!$K$3,"班級","門服二忠","性別","女")</f>
        <v>2</v>
      </c>
      <c r="K22" s="247">
        <f>SUM(I22:J22)</f>
        <v>10</v>
      </c>
      <c r="L22" s="248" t="s">
        <v>11</v>
      </c>
      <c r="M22" s="249" t="s">
        <v>2742</v>
      </c>
      <c r="N22" s="245" t="s">
        <v>2755</v>
      </c>
      <c r="O22" s="246">
        <f>GETPIVOTDATA("性別",查表!$K$3,"班級","門服三忠","性別","男")</f>
        <v>10</v>
      </c>
      <c r="P22" s="246">
        <f>GETPIVOTDATA("性別",查表!$K$3,"班級","門服三忠","性別","女")</f>
        <v>3</v>
      </c>
      <c r="Q22" s="250">
        <f>SUM(O22:P22)</f>
        <v>13</v>
      </c>
      <c r="R22" s="251" t="s">
        <v>11</v>
      </c>
    </row>
    <row r="23" spans="1:19" s="85" customFormat="1" ht="20" customHeight="1" thickBot="1">
      <c r="A23" s="227"/>
      <c r="B23" s="227"/>
      <c r="C23" s="227"/>
      <c r="D23" s="227"/>
      <c r="E23" s="227"/>
      <c r="F23" s="93" t="s">
        <v>10</v>
      </c>
      <c r="G23" s="227" t="s">
        <v>3699</v>
      </c>
      <c r="H23" s="227" t="s">
        <v>3431</v>
      </c>
      <c r="I23" s="227">
        <f>GETPIVOTDATA("性別",查表!$K$3,"班級","微電二忠","性別","男")</f>
        <v>12</v>
      </c>
      <c r="J23" s="227">
        <f>GETPIVOTDATA("性別",查表!$K$3,"班級","微電二忠","性別","女")</f>
        <v>1</v>
      </c>
      <c r="K23" s="227">
        <f>SUM(I23:J23)</f>
        <v>13</v>
      </c>
      <c r="L23" s="229" t="s">
        <v>10</v>
      </c>
      <c r="M23" s="227"/>
      <c r="N23" s="227"/>
      <c r="O23" s="227"/>
      <c r="P23" s="227"/>
      <c r="Q23" s="227"/>
      <c r="R23" s="252" t="s">
        <v>11</v>
      </c>
    </row>
    <row r="24" spans="1:19" s="85" customFormat="1" ht="20" customHeight="1" thickBot="1">
      <c r="A24" s="324" t="s">
        <v>112</v>
      </c>
      <c r="B24" s="325" t="s">
        <v>4360</v>
      </c>
      <c r="C24" s="305">
        <f>GETPIVOTDATA("性別",查表!$K$3,"班級","體育一忠","性別","男")</f>
        <v>14</v>
      </c>
      <c r="D24" s="305">
        <f>GETPIVOTDATA("性別",查表!$K$3,"班級","體育一忠","性別","女")</f>
        <v>3</v>
      </c>
      <c r="E24" s="326">
        <f>SUM(C24:D24)</f>
        <v>17</v>
      </c>
      <c r="F24" s="321"/>
      <c r="G24" s="253" t="s">
        <v>1</v>
      </c>
      <c r="H24" s="325" t="s">
        <v>3432</v>
      </c>
      <c r="I24" s="218">
        <f>GETPIVOTDATA("性別",查表!$K$3,"班級","體育二忠","性別","男")</f>
        <v>20</v>
      </c>
      <c r="J24" s="218">
        <f>GETPIVOTDATA("性別",查表!$K$3,"班級","體育二忠","性別","女")</f>
        <v>4</v>
      </c>
      <c r="K24" s="254">
        <f>SUM(I24:J24)</f>
        <v>24</v>
      </c>
      <c r="L24" s="255"/>
      <c r="M24" s="253" t="s">
        <v>227</v>
      </c>
      <c r="N24" s="329" t="s">
        <v>3415</v>
      </c>
      <c r="O24" s="218">
        <f>GETPIVOTDATA("性別",查表!$K$3,"班級","體育三忠","性別","男")</f>
        <v>20</v>
      </c>
      <c r="P24" s="218">
        <f>GETPIVOTDATA("性別",查表!$K$3,"班級","體育三忠","性別","女")</f>
        <v>5</v>
      </c>
      <c r="Q24" s="256">
        <f>SUM(O24:P24)</f>
        <v>25</v>
      </c>
      <c r="R24" s="257"/>
    </row>
    <row r="25" spans="1:19" s="96" customFormat="1" ht="20" customHeight="1" thickTop="1" thickBot="1">
      <c r="A25" s="271" t="s">
        <v>20</v>
      </c>
      <c r="B25" s="98"/>
      <c r="C25" s="242">
        <f>SUM(C21:C24)</f>
        <v>571</v>
      </c>
      <c r="D25" s="242">
        <f>SUM(D21:D24)</f>
        <v>91</v>
      </c>
      <c r="E25" s="260">
        <f>SUM(E21:E24)</f>
        <v>662</v>
      </c>
      <c r="F25" s="99"/>
      <c r="G25" s="258" t="s">
        <v>21</v>
      </c>
      <c r="H25" s="259"/>
      <c r="I25" s="242">
        <f>SUM(I21:I24)</f>
        <v>524</v>
      </c>
      <c r="J25" s="242">
        <f>SUM(J21:J24)</f>
        <v>82</v>
      </c>
      <c r="K25" s="260">
        <f>SUM(K21:K24)</f>
        <v>606</v>
      </c>
      <c r="L25" s="261"/>
      <c r="M25" s="258" t="s">
        <v>22</v>
      </c>
      <c r="N25" s="259"/>
      <c r="O25" s="242">
        <f>SUM(O21:O24)</f>
        <v>514</v>
      </c>
      <c r="P25" s="242">
        <f>SUM(P21:P24)</f>
        <v>79</v>
      </c>
      <c r="Q25" s="260">
        <f>SUM(Q21:Q24)</f>
        <v>593</v>
      </c>
      <c r="R25" s="261"/>
    </row>
    <row r="26" spans="1:19" s="85" customFormat="1" ht="20" customHeight="1" thickTop="1">
      <c r="A26" s="100"/>
      <c r="B26" s="100"/>
      <c r="C26" s="101"/>
      <c r="D26" s="101"/>
      <c r="E26" s="101"/>
      <c r="F26" s="101"/>
      <c r="G26" s="100"/>
      <c r="H26" s="100"/>
      <c r="I26" s="101"/>
      <c r="J26" s="101"/>
      <c r="K26" s="101"/>
      <c r="L26" s="101"/>
      <c r="M26" s="100"/>
      <c r="N26" s="100"/>
      <c r="O26" s="101"/>
      <c r="P26" s="101"/>
      <c r="Q26" s="101"/>
      <c r="R26" s="101"/>
    </row>
    <row r="27" spans="1:19" s="85" customFormat="1" ht="20" customHeight="1" thickBo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</row>
    <row r="28" spans="1:19" s="85" customFormat="1" ht="20" customHeight="1" thickTop="1">
      <c r="A28" s="103" t="s">
        <v>23</v>
      </c>
      <c r="B28" s="370" t="s">
        <v>24</v>
      </c>
      <c r="C28" s="371"/>
      <c r="D28" s="372"/>
      <c r="F28" s="103" t="s">
        <v>23</v>
      </c>
      <c r="G28" s="370" t="s">
        <v>25</v>
      </c>
      <c r="H28" s="371"/>
      <c r="I28" s="372"/>
      <c r="K28" s="103" t="s">
        <v>23</v>
      </c>
      <c r="L28" s="370" t="s">
        <v>26</v>
      </c>
      <c r="M28" s="371"/>
      <c r="N28" s="372"/>
      <c r="P28" s="366" t="s">
        <v>3390</v>
      </c>
      <c r="Q28" s="367"/>
      <c r="R28" s="367"/>
      <c r="S28" s="368"/>
    </row>
    <row r="29" spans="1:19" s="85" customFormat="1" ht="20" customHeight="1">
      <c r="A29" s="104"/>
      <c r="B29" s="105" t="s">
        <v>17</v>
      </c>
      <c r="C29" s="105" t="s">
        <v>27</v>
      </c>
      <c r="D29" s="90" t="s">
        <v>28</v>
      </c>
      <c r="F29" s="104"/>
      <c r="G29" s="89" t="s">
        <v>42</v>
      </c>
      <c r="H29" s="105" t="s">
        <v>27</v>
      </c>
      <c r="I29" s="90" t="s">
        <v>28</v>
      </c>
      <c r="K29" s="104"/>
      <c r="L29" s="89" t="s">
        <v>29</v>
      </c>
      <c r="M29" s="105" t="s">
        <v>27</v>
      </c>
      <c r="N29" s="90" t="s">
        <v>30</v>
      </c>
      <c r="P29" s="104"/>
      <c r="Q29" s="89" t="s">
        <v>42</v>
      </c>
      <c r="R29" s="105" t="s">
        <v>27</v>
      </c>
      <c r="S29" s="90" t="s">
        <v>31</v>
      </c>
    </row>
    <row r="30" spans="1:19" s="85" customFormat="1" ht="20" customHeight="1">
      <c r="A30" s="88" t="s">
        <v>32</v>
      </c>
      <c r="B30" s="105">
        <f>SUM(C4:C7)</f>
        <v>127</v>
      </c>
      <c r="C30" s="105">
        <f>SUM(D4:D7)</f>
        <v>22</v>
      </c>
      <c r="D30" s="106">
        <f>SUM(B30:C30)</f>
        <v>149</v>
      </c>
      <c r="F30" s="88" t="s">
        <v>32</v>
      </c>
      <c r="G30" s="105">
        <f>SUM(C12:C14)</f>
        <v>103</v>
      </c>
      <c r="H30" s="105">
        <f>SUM(D12:D14)</f>
        <v>10</v>
      </c>
      <c r="I30" s="106">
        <f>SUM(G30:H30)</f>
        <v>113</v>
      </c>
      <c r="K30" s="88" t="s">
        <v>32</v>
      </c>
      <c r="L30" s="105">
        <f>SUM(C17:C18)</f>
        <v>73</v>
      </c>
      <c r="M30" s="105">
        <f>SUM(D17:D18)</f>
        <v>4</v>
      </c>
      <c r="N30" s="106">
        <f>SUM(L30:M30)</f>
        <v>77</v>
      </c>
      <c r="P30" s="88" t="s">
        <v>32</v>
      </c>
      <c r="Q30" s="105">
        <f>C21</f>
        <v>548</v>
      </c>
      <c r="R30" s="105">
        <f>D21</f>
        <v>86</v>
      </c>
      <c r="S30" s="106">
        <f>SUM(Q30:R30)</f>
        <v>634</v>
      </c>
    </row>
    <row r="31" spans="1:19" s="85" customFormat="1" ht="20" customHeight="1">
      <c r="A31" s="88" t="s">
        <v>33</v>
      </c>
      <c r="B31" s="105">
        <f>SUM(I4:I7)</f>
        <v>112</v>
      </c>
      <c r="C31" s="105">
        <f>SUM(J4:J7)</f>
        <v>16</v>
      </c>
      <c r="D31" s="106">
        <f>SUM(B31:C31)</f>
        <v>128</v>
      </c>
      <c r="F31" s="88" t="s">
        <v>33</v>
      </c>
      <c r="G31" s="105">
        <f>SUM(I12:I14)</f>
        <v>87</v>
      </c>
      <c r="H31" s="105">
        <f>SUM(J12:J14)</f>
        <v>15</v>
      </c>
      <c r="I31" s="106">
        <f>SUM(G31:H31)</f>
        <v>102</v>
      </c>
      <c r="K31" s="88" t="s">
        <v>33</v>
      </c>
      <c r="L31" s="105">
        <f>SUM(I17:I18)</f>
        <v>64</v>
      </c>
      <c r="M31" s="105">
        <f>SUM(J17:J18)</f>
        <v>3</v>
      </c>
      <c r="N31" s="106">
        <f>SUM(L31:M31)</f>
        <v>67</v>
      </c>
      <c r="P31" s="88" t="s">
        <v>33</v>
      </c>
      <c r="Q31" s="105">
        <f>I21</f>
        <v>484</v>
      </c>
      <c r="R31" s="105">
        <f>J21</f>
        <v>75</v>
      </c>
      <c r="S31" s="106">
        <f>SUM(Q31:R31)</f>
        <v>559</v>
      </c>
    </row>
    <row r="32" spans="1:19" s="85" customFormat="1" ht="20" customHeight="1">
      <c r="A32" s="88" t="s">
        <v>34</v>
      </c>
      <c r="B32" s="105">
        <f>SUM(O4:O7)</f>
        <v>113</v>
      </c>
      <c r="C32" s="105">
        <f>SUM(P4:P7)</f>
        <v>13</v>
      </c>
      <c r="D32" s="106">
        <f>SUM(B32:C32)</f>
        <v>126</v>
      </c>
      <c r="F32" s="88" t="s">
        <v>34</v>
      </c>
      <c r="G32" s="105">
        <f>SUM(O12:O14)</f>
        <v>102</v>
      </c>
      <c r="H32" s="105">
        <f>SUM(P12:P14)</f>
        <v>8</v>
      </c>
      <c r="I32" s="106">
        <f>SUM(G32:H32)</f>
        <v>110</v>
      </c>
      <c r="K32" s="88" t="s">
        <v>34</v>
      </c>
      <c r="L32" s="105">
        <f>SUM(O17:O18)</f>
        <v>59</v>
      </c>
      <c r="M32" s="105">
        <f>SUM(P17:P18)</f>
        <v>3</v>
      </c>
      <c r="N32" s="106">
        <f>SUM(L32:M32)</f>
        <v>62</v>
      </c>
      <c r="P32" s="88" t="s">
        <v>34</v>
      </c>
      <c r="Q32" s="105">
        <f>O21</f>
        <v>484</v>
      </c>
      <c r="R32" s="105">
        <f>P21</f>
        <v>71</v>
      </c>
      <c r="S32" s="106">
        <f>SUM(Q32:R32)</f>
        <v>555</v>
      </c>
    </row>
    <row r="33" spans="1:19" s="85" customFormat="1" ht="20" customHeight="1" thickBot="1">
      <c r="A33" s="92" t="s">
        <v>35</v>
      </c>
      <c r="B33" s="107">
        <f>SUM(B30:B32)</f>
        <v>352</v>
      </c>
      <c r="C33" s="107">
        <f>SUM(C30:C32)</f>
        <v>51</v>
      </c>
      <c r="D33" s="108">
        <f>SUM(B33:C33)</f>
        <v>403</v>
      </c>
      <c r="F33" s="92" t="s">
        <v>35</v>
      </c>
      <c r="G33" s="107">
        <f>SUM(G30:G32)</f>
        <v>292</v>
      </c>
      <c r="H33" s="107">
        <f>SUM(H30:H32)</f>
        <v>33</v>
      </c>
      <c r="I33" s="108">
        <f>SUM(I30:I32)</f>
        <v>325</v>
      </c>
      <c r="K33" s="92" t="s">
        <v>35</v>
      </c>
      <c r="L33" s="107">
        <f>SUM(L30:L32)</f>
        <v>196</v>
      </c>
      <c r="M33" s="107">
        <f>SUM(M30:M32)</f>
        <v>10</v>
      </c>
      <c r="N33" s="108">
        <f>SUM(N30:N32)</f>
        <v>206</v>
      </c>
      <c r="P33" s="94" t="s">
        <v>35</v>
      </c>
      <c r="Q33" s="109">
        <f>SUM(Q30:Q32)</f>
        <v>1516</v>
      </c>
      <c r="R33" s="109">
        <f>SUM(R30:R32)</f>
        <v>232</v>
      </c>
      <c r="S33" s="110">
        <f>SUM(Q33:R33)</f>
        <v>1748</v>
      </c>
    </row>
    <row r="34" spans="1:19" s="85" customFormat="1" ht="20" customHeight="1">
      <c r="A34" s="86" t="s">
        <v>23</v>
      </c>
      <c r="B34" s="363" t="s">
        <v>36</v>
      </c>
      <c r="C34" s="364"/>
      <c r="D34" s="365"/>
      <c r="F34" s="86" t="s">
        <v>23</v>
      </c>
      <c r="G34" s="363" t="s">
        <v>37</v>
      </c>
      <c r="H34" s="364"/>
      <c r="I34" s="365"/>
      <c r="K34" s="86" t="s">
        <v>23</v>
      </c>
      <c r="L34" s="363" t="s">
        <v>3388</v>
      </c>
      <c r="M34" s="364"/>
      <c r="N34" s="365"/>
      <c r="P34" s="366" t="s">
        <v>3389</v>
      </c>
      <c r="Q34" s="367"/>
      <c r="R34" s="367"/>
      <c r="S34" s="368"/>
    </row>
    <row r="35" spans="1:19" s="85" customFormat="1" ht="20" customHeight="1">
      <c r="A35" s="104"/>
      <c r="B35" s="105" t="s">
        <v>17</v>
      </c>
      <c r="C35" s="105" t="s">
        <v>27</v>
      </c>
      <c r="D35" s="90" t="s">
        <v>28</v>
      </c>
      <c r="F35" s="104"/>
      <c r="G35" s="89" t="s">
        <v>42</v>
      </c>
      <c r="H35" s="105" t="s">
        <v>27</v>
      </c>
      <c r="I35" s="90" t="s">
        <v>28</v>
      </c>
      <c r="K35" s="104"/>
      <c r="L35" s="89" t="s">
        <v>29</v>
      </c>
      <c r="M35" s="105" t="s">
        <v>27</v>
      </c>
      <c r="N35" s="90" t="s">
        <v>30</v>
      </c>
      <c r="P35" s="104"/>
      <c r="Q35" s="89" t="s">
        <v>42</v>
      </c>
      <c r="R35" s="105" t="s">
        <v>27</v>
      </c>
      <c r="S35" s="90" t="s">
        <v>31</v>
      </c>
    </row>
    <row r="36" spans="1:19" s="85" customFormat="1" ht="20" customHeight="1">
      <c r="A36" s="88" t="s">
        <v>32</v>
      </c>
      <c r="B36" s="105">
        <f>SUM(C8:C11)</f>
        <v>148</v>
      </c>
      <c r="C36" s="105">
        <f>SUM(D8:D11)</f>
        <v>6</v>
      </c>
      <c r="D36" s="106">
        <f>SUM(B36:C36)</f>
        <v>154</v>
      </c>
      <c r="F36" s="88" t="s">
        <v>32</v>
      </c>
      <c r="G36" s="105">
        <f>SUM(C15:C16)</f>
        <v>69</v>
      </c>
      <c r="H36" s="105">
        <f>SUM(D15:D16)</f>
        <v>7</v>
      </c>
      <c r="I36" s="106">
        <f>SUM(G36:H36)</f>
        <v>76</v>
      </c>
      <c r="K36" s="88" t="s">
        <v>32</v>
      </c>
      <c r="L36" s="105">
        <f>SUM(C19:C20)</f>
        <v>28</v>
      </c>
      <c r="M36" s="105">
        <f>SUM(D19:D20)</f>
        <v>37</v>
      </c>
      <c r="N36" s="106">
        <f>SUM(L36:M36)</f>
        <v>65</v>
      </c>
      <c r="P36" s="88" t="s">
        <v>32</v>
      </c>
      <c r="Q36" s="105">
        <f>Q30+C22+C23+C24</f>
        <v>571</v>
      </c>
      <c r="R36" s="105">
        <f>R30+D22+D23+D24</f>
        <v>91</v>
      </c>
      <c r="S36" s="106">
        <f>SUM(Q36:R36)</f>
        <v>662</v>
      </c>
    </row>
    <row r="37" spans="1:19" s="85" customFormat="1" ht="20" customHeight="1">
      <c r="A37" s="88" t="s">
        <v>33</v>
      </c>
      <c r="B37" s="105">
        <f>SUM(I8:I11)</f>
        <v>132</v>
      </c>
      <c r="C37" s="105">
        <f>SUM(J8:J11)</f>
        <v>5</v>
      </c>
      <c r="D37" s="106">
        <f>SUM(B37:C37)</f>
        <v>137</v>
      </c>
      <c r="F37" s="88" t="s">
        <v>33</v>
      </c>
      <c r="G37" s="105">
        <f>SUM(I15:I16)</f>
        <v>56</v>
      </c>
      <c r="H37" s="105">
        <f>SUM(J15:J16)</f>
        <v>5</v>
      </c>
      <c r="I37" s="106">
        <f>SUM(G37:H37)</f>
        <v>61</v>
      </c>
      <c r="K37" s="88" t="s">
        <v>33</v>
      </c>
      <c r="L37" s="105">
        <f>SUM(I19:I20)</f>
        <v>33</v>
      </c>
      <c r="M37" s="105">
        <f>SUM(J19:J20)</f>
        <v>31</v>
      </c>
      <c r="N37" s="106">
        <f>SUM(L37:M37)</f>
        <v>64</v>
      </c>
      <c r="P37" s="88" t="s">
        <v>33</v>
      </c>
      <c r="Q37" s="105">
        <f>Q31+I22+I23+I24</f>
        <v>524</v>
      </c>
      <c r="R37" s="105">
        <f>R31+J22+J23+J24</f>
        <v>82</v>
      </c>
      <c r="S37" s="106">
        <f>SUM(Q37:R37)</f>
        <v>606</v>
      </c>
    </row>
    <row r="38" spans="1:19" s="85" customFormat="1" ht="20" customHeight="1">
      <c r="A38" s="88" t="s">
        <v>34</v>
      </c>
      <c r="B38" s="105">
        <f>SUM(O8:O11)</f>
        <v>135</v>
      </c>
      <c r="C38" s="105">
        <f>SUM(P8:P11)</f>
        <v>2</v>
      </c>
      <c r="D38" s="106">
        <f>SUM(B38:C38)</f>
        <v>137</v>
      </c>
      <c r="F38" s="88" t="s">
        <v>34</v>
      </c>
      <c r="G38" s="105">
        <f>SUM(O15:O16)</f>
        <v>52</v>
      </c>
      <c r="H38" s="105">
        <f>SUM(P15:P16)</f>
        <v>7</v>
      </c>
      <c r="I38" s="106">
        <f>SUM(G38:H38)</f>
        <v>59</v>
      </c>
      <c r="K38" s="88" t="s">
        <v>34</v>
      </c>
      <c r="L38" s="105">
        <f>SUM(O19:O20)</f>
        <v>23</v>
      </c>
      <c r="M38" s="105">
        <f>SUM(P19:P20)</f>
        <v>38</v>
      </c>
      <c r="N38" s="106">
        <f>SUM(L38:M38)</f>
        <v>61</v>
      </c>
      <c r="P38" s="88" t="s">
        <v>34</v>
      </c>
      <c r="Q38" s="105">
        <f>Q32+O22+O23+O24</f>
        <v>514</v>
      </c>
      <c r="R38" s="105">
        <f>R32+P22+P23+P24</f>
        <v>79</v>
      </c>
      <c r="S38" s="106">
        <f>SUM(Q38:R38)</f>
        <v>593</v>
      </c>
    </row>
    <row r="39" spans="1:19" s="85" customFormat="1" ht="20" customHeight="1" thickBot="1">
      <c r="A39" s="94" t="s">
        <v>35</v>
      </c>
      <c r="B39" s="109">
        <f>SUM(B36:B38)</f>
        <v>415</v>
      </c>
      <c r="C39" s="109">
        <f>SUM(C36:C38)</f>
        <v>13</v>
      </c>
      <c r="D39" s="110">
        <f>SUM(D36:D38)</f>
        <v>428</v>
      </c>
      <c r="F39" s="94" t="s">
        <v>35</v>
      </c>
      <c r="G39" s="109">
        <f>SUM(G36:G38)</f>
        <v>177</v>
      </c>
      <c r="H39" s="109">
        <f>SUM(H36:H38)</f>
        <v>19</v>
      </c>
      <c r="I39" s="110">
        <f>SUM(I36:I38)</f>
        <v>196</v>
      </c>
      <c r="K39" s="94" t="s">
        <v>35</v>
      </c>
      <c r="L39" s="109">
        <f>SUM(L36:L38)</f>
        <v>84</v>
      </c>
      <c r="M39" s="109">
        <f>SUM(M36:M38)</f>
        <v>106</v>
      </c>
      <c r="N39" s="110">
        <f>SUM(N36:N38)</f>
        <v>190</v>
      </c>
      <c r="P39" s="94" t="s">
        <v>35</v>
      </c>
      <c r="Q39" s="109">
        <f>SUM(Q36:Q38)</f>
        <v>1609</v>
      </c>
      <c r="R39" s="109">
        <f>SUM(R36:R38)</f>
        <v>252</v>
      </c>
      <c r="S39" s="110">
        <f>SUM(Q39:R39)</f>
        <v>1861</v>
      </c>
    </row>
    <row r="40" spans="1:19" ht="19.25" customHeight="1" thickTop="1">
      <c r="A40" s="111"/>
      <c r="B40" s="102"/>
      <c r="C40" s="102"/>
      <c r="D40" s="102"/>
      <c r="E40" s="102"/>
      <c r="F40" s="102"/>
      <c r="G40" s="102"/>
      <c r="H40" s="102"/>
      <c r="I40" s="102"/>
      <c r="J40" s="102"/>
      <c r="P40" s="111"/>
      <c r="Q40" s="102"/>
      <c r="R40" s="101"/>
      <c r="S40" s="102"/>
    </row>
  </sheetData>
  <mergeCells count="9">
    <mergeCell ref="B34:D34"/>
    <mergeCell ref="G34:I34"/>
    <mergeCell ref="L34:N34"/>
    <mergeCell ref="P34:S34"/>
    <mergeCell ref="A1:S1"/>
    <mergeCell ref="B28:D28"/>
    <mergeCell ref="G28:I28"/>
    <mergeCell ref="L28:N28"/>
    <mergeCell ref="P28:S28"/>
  </mergeCells>
  <phoneticPr fontId="2" type="noConversion"/>
  <conditionalFormatting sqref="A5:R25 A4:K4 M4:R4">
    <cfRule type="cellIs" dxfId="1" priority="4" stopIfTrue="1" operator="equal">
      <formula>0</formula>
    </cfRule>
  </conditionalFormatting>
  <conditionalFormatting sqref="L4">
    <cfRule type="cellIs" dxfId="0" priority="1" stopIfTrue="1" operator="equal">
      <formula>0</formula>
    </cfRule>
  </conditionalFormatting>
  <printOptions horizontalCentered="1"/>
  <pageMargins left="0.35433070866141736" right="0.35433070866141736" top="0.39370078740157483" bottom="0.39370078740157483" header="0.51181102362204722" footer="0.51181102362204722"/>
  <pageSetup paperSize="9" scale="6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2"/>
  <dimension ref="A1:E20"/>
  <sheetViews>
    <sheetView workbookViewId="0">
      <selection activeCell="B20" sqref="B20"/>
    </sheetView>
  </sheetViews>
  <sheetFormatPr baseColWidth="10" defaultColWidth="8.83203125" defaultRowHeight="15"/>
  <sheetData>
    <row r="1" spans="1:5">
      <c r="A1" s="33" t="s">
        <v>5</v>
      </c>
      <c r="B1" s="33" t="s">
        <v>62</v>
      </c>
      <c r="C1" s="33" t="s">
        <v>81</v>
      </c>
      <c r="E1" s="33"/>
    </row>
    <row r="2" spans="1:5">
      <c r="A2" s="33" t="s">
        <v>46</v>
      </c>
      <c r="B2" s="33" t="s">
        <v>63</v>
      </c>
      <c r="C2" s="33" t="s">
        <v>82</v>
      </c>
      <c r="E2" s="33"/>
    </row>
    <row r="3" spans="1:5">
      <c r="A3" s="33" t="s">
        <v>47</v>
      </c>
      <c r="B3" s="33" t="s">
        <v>64</v>
      </c>
      <c r="C3" s="33" t="s">
        <v>83</v>
      </c>
      <c r="E3" s="33"/>
    </row>
    <row r="4" spans="1:5">
      <c r="A4" s="33" t="s">
        <v>48</v>
      </c>
      <c r="B4" s="33" t="s">
        <v>68</v>
      </c>
      <c r="C4" s="33" t="s">
        <v>84</v>
      </c>
      <c r="E4" s="33"/>
    </row>
    <row r="5" spans="1:5">
      <c r="A5" s="33" t="s">
        <v>49</v>
      </c>
      <c r="B5" s="33" t="s">
        <v>69</v>
      </c>
      <c r="C5" s="33" t="s">
        <v>85</v>
      </c>
      <c r="E5" s="33"/>
    </row>
    <row r="6" spans="1:5">
      <c r="A6" s="33" t="s">
        <v>50</v>
      </c>
      <c r="B6" s="33" t="s">
        <v>70</v>
      </c>
      <c r="C6" s="33" t="s">
        <v>86</v>
      </c>
      <c r="E6" s="33"/>
    </row>
    <row r="7" spans="1:5">
      <c r="A7" s="33" t="s">
        <v>51</v>
      </c>
      <c r="B7" s="33" t="s">
        <v>71</v>
      </c>
      <c r="C7" s="33" t="s">
        <v>87</v>
      </c>
      <c r="E7" s="33"/>
    </row>
    <row r="8" spans="1:5">
      <c r="A8" s="33" t="s">
        <v>52</v>
      </c>
      <c r="B8" s="33" t="s">
        <v>72</v>
      </c>
      <c r="C8" s="33" t="s">
        <v>88</v>
      </c>
      <c r="E8" s="33"/>
    </row>
    <row r="9" spans="1:5">
      <c r="A9" s="33" t="s">
        <v>53</v>
      </c>
      <c r="B9" s="33" t="s">
        <v>73</v>
      </c>
      <c r="C9" s="33" t="s">
        <v>89</v>
      </c>
      <c r="E9" s="33"/>
    </row>
    <row r="10" spans="1:5">
      <c r="A10" s="33" t="s">
        <v>54</v>
      </c>
      <c r="B10" s="33" t="s">
        <v>74</v>
      </c>
      <c r="C10" s="33" t="s">
        <v>90</v>
      </c>
      <c r="E10" s="33"/>
    </row>
    <row r="11" spans="1:5">
      <c r="A11" s="33" t="s">
        <v>61</v>
      </c>
      <c r="B11" s="33" t="s">
        <v>75</v>
      </c>
      <c r="C11" s="33" t="s">
        <v>91</v>
      </c>
      <c r="E11" s="33"/>
    </row>
    <row r="12" spans="1:5">
      <c r="A12" s="33" t="s">
        <v>55</v>
      </c>
      <c r="B12" s="33" t="s">
        <v>76</v>
      </c>
      <c r="C12" s="33" t="s">
        <v>92</v>
      </c>
      <c r="E12" s="33"/>
    </row>
    <row r="13" spans="1:5">
      <c r="A13" s="33" t="s">
        <v>56</v>
      </c>
      <c r="B13" s="33" t="s">
        <v>77</v>
      </c>
      <c r="C13" s="33" t="s">
        <v>93</v>
      </c>
      <c r="E13" s="33"/>
    </row>
    <row r="14" spans="1:5">
      <c r="A14" s="33" t="s">
        <v>57</v>
      </c>
      <c r="B14" s="33" t="s">
        <v>78</v>
      </c>
      <c r="C14" s="33" t="s">
        <v>94</v>
      </c>
      <c r="E14" s="33"/>
    </row>
    <row r="15" spans="1:5">
      <c r="A15" s="33" t="s">
        <v>58</v>
      </c>
      <c r="B15" s="33" t="s">
        <v>79</v>
      </c>
      <c r="C15" s="33" t="s">
        <v>95</v>
      </c>
      <c r="E15" s="33"/>
    </row>
    <row r="16" spans="1:5">
      <c r="A16" s="33" t="s">
        <v>3382</v>
      </c>
      <c r="B16" s="33" t="s">
        <v>3384</v>
      </c>
      <c r="C16" s="33" t="s">
        <v>3386</v>
      </c>
      <c r="E16" s="33"/>
    </row>
    <row r="17" spans="1:5">
      <c r="A17" s="33" t="s">
        <v>3383</v>
      </c>
      <c r="B17" s="33" t="s">
        <v>3385</v>
      </c>
      <c r="C17" s="33" t="s">
        <v>3387</v>
      </c>
      <c r="E17" s="33"/>
    </row>
    <row r="18" spans="1:5">
      <c r="A18" s="33" t="s">
        <v>2617</v>
      </c>
      <c r="B18" s="33" t="s">
        <v>2618</v>
      </c>
      <c r="C18" s="33" t="s">
        <v>3381</v>
      </c>
      <c r="E18" s="33"/>
    </row>
    <row r="19" spans="1:5">
      <c r="A19" s="33" t="s">
        <v>6</v>
      </c>
      <c r="B19" s="33" t="s">
        <v>4328</v>
      </c>
      <c r="C19" s="33" t="s">
        <v>227</v>
      </c>
      <c r="E19" s="33"/>
    </row>
    <row r="20" spans="1:5">
      <c r="A20" s="33"/>
      <c r="B20" s="33" t="s">
        <v>80</v>
      </c>
      <c r="C20" s="33"/>
      <c r="E20" s="3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3"/>
  <dimension ref="B2:D3"/>
  <sheetViews>
    <sheetView workbookViewId="0">
      <selection activeCell="F10" sqref="F10"/>
    </sheetView>
  </sheetViews>
  <sheetFormatPr baseColWidth="10" defaultColWidth="8.83203125" defaultRowHeight="15"/>
  <cols>
    <col min="8" max="8" width="29.33203125" bestFit="1" customWidth="1"/>
    <col min="9" max="9" width="12.1640625" bestFit="1" customWidth="1"/>
    <col min="10" max="10" width="7.5" bestFit="1" customWidth="1"/>
  </cols>
  <sheetData>
    <row r="2" spans="2:4">
      <c r="B2" s="26">
        <v>112224</v>
      </c>
      <c r="C2" s="10" t="s">
        <v>4011</v>
      </c>
      <c r="D2" s="263" t="s">
        <v>4388</v>
      </c>
    </row>
    <row r="3" spans="2:4">
      <c r="B3" s="21">
        <v>112418</v>
      </c>
      <c r="C3" s="10" t="s">
        <v>4011</v>
      </c>
      <c r="D3" s="202" t="s">
        <v>4389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8</vt:i4>
      </vt:variant>
    </vt:vector>
  </HeadingPairs>
  <TitlesOfParts>
    <vt:vector size="18" baseType="lpstr">
      <vt:lpstr>一年級</vt:lpstr>
      <vt:lpstr>二年級</vt:lpstr>
      <vt:lpstr>三年級</vt:lpstr>
      <vt:lpstr>休退轉出</vt:lpstr>
      <vt:lpstr>復學轉入</vt:lpstr>
      <vt:lpstr>更正</vt:lpstr>
      <vt:lpstr>查表</vt:lpstr>
      <vt:lpstr>總表</vt:lpstr>
      <vt:lpstr>班級</vt:lpstr>
      <vt:lpstr>同科同名</vt:lpstr>
      <vt:lpstr>一年級!Print_Area</vt:lpstr>
      <vt:lpstr>二年級!Print_Area</vt:lpstr>
      <vt:lpstr>三年級!Print_Area</vt:lpstr>
      <vt:lpstr>休退轉出!Print_Area</vt:lpstr>
      <vt:lpstr>更正!Print_Area</vt:lpstr>
      <vt:lpstr>查表!Print_Area</vt:lpstr>
      <vt:lpstr>復學轉入!Print_Area</vt:lpstr>
      <vt:lpstr>總表!Print_Area</vt:lpstr>
    </vt:vector>
  </TitlesOfParts>
  <Company>陳氏家族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內湖高工</dc:creator>
  <cp:lastModifiedBy>Microsoft Office User</cp:lastModifiedBy>
  <cp:lastPrinted>2022-08-24T09:19:28Z</cp:lastPrinted>
  <dcterms:created xsi:type="dcterms:W3CDTF">2005-06-15T02:07:59Z</dcterms:created>
  <dcterms:modified xsi:type="dcterms:W3CDTF">2022-09-07T00:59:54Z</dcterms:modified>
</cp:coreProperties>
</file>